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16" codeName="{00000000-0000-0000-0000-000000000000}"/>
  <workbookPr codeName="ThisWorkbook"/>
  <mc:AlternateContent xmlns:mc="http://schemas.openxmlformats.org/markup-compatibility/2006">
    <mc:Choice Requires="x15">
      <x15ac:absPath xmlns:x15ac="http://schemas.microsoft.com/office/spreadsheetml/2010/11/ac" url="C:\Users\Kimoshawbi\Documents\Homework\Spring_2024\ITCS2200\Project 4\Final_Versions\"/>
    </mc:Choice>
  </mc:AlternateContent>
  <xr:revisionPtr revIDLastSave="0" documentId="8_{37DE1F3A-093E-4A42-A7BF-9161B747C2B3}" xr6:coauthVersionLast="47" xr6:coauthVersionMax="47" xr10:uidLastSave="{00000000-0000-0000-0000-000000000000}"/>
  <bookViews>
    <workbookView xWindow="38280" yWindow="-120" windowWidth="38640" windowHeight="21240" firstSheet="3" xr2:uid="{00000000-000D-0000-FFFF-FFFF00000000}"/>
  </bookViews>
  <sheets>
    <sheet name="Unified Data" sheetId="7" r:id="rId1"/>
    <sheet name="Averages by City (Data Table)" sheetId="17" r:id="rId2"/>
    <sheet name="Averages by City Charts" sheetId="18" r:id="rId3"/>
    <sheet name="Averages by County" sheetId="20" r:id="rId4"/>
    <sheet name="PPSF Analysis Chart" sheetId="10" r:id="rId5"/>
    <sheet name="Total Sold by County" sheetId="14" r:id="rId6"/>
    <sheet name="Match City and Budget Goal Seek" sheetId="16" r:id="rId7"/>
    <sheet name="Min-Max-Avg by County and City" sheetId="15" r:id="rId8"/>
    <sheet name="Data Explaination" sheetId="19" r:id="rId9"/>
  </sheets>
  <definedNames>
    <definedName name="Slicer_City">#N/A</definedName>
    <definedName name="Slicer_City1">#N/A</definedName>
    <definedName name="Slicer_County">#N/A</definedName>
  </definedNames>
  <calcPr calcId="191028"/>
  <pivotCaches>
    <pivotCache cacheId="957"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6" i="16" l="1"/>
  <c r="V5" i="16"/>
  <c r="C4" i="16"/>
  <c r="V2" i="16"/>
  <c r="W2" i="16"/>
  <c r="Y2" i="16" s="1"/>
  <c r="C2" i="16"/>
  <c r="C3"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I6" i="7"/>
  <c r="J6" i="7"/>
  <c r="B3" i="14"/>
  <c r="A3" i="14"/>
  <c r="I3546" i="7"/>
  <c r="I3545" i="7"/>
  <c r="I3544" i="7"/>
  <c r="I3543" i="7"/>
  <c r="I3542" i="7"/>
  <c r="I3541" i="7"/>
  <c r="I3540" i="7"/>
  <c r="I3539" i="7"/>
  <c r="I3538" i="7"/>
  <c r="I3537" i="7"/>
  <c r="I3536" i="7"/>
  <c r="I3535" i="7"/>
  <c r="I3534" i="7"/>
  <c r="I3533" i="7"/>
  <c r="I3532" i="7"/>
  <c r="I3531" i="7"/>
  <c r="I3530" i="7"/>
  <c r="I3529" i="7"/>
  <c r="I3528" i="7"/>
  <c r="I3527" i="7"/>
  <c r="I3526" i="7"/>
  <c r="I3525" i="7"/>
  <c r="I3524" i="7"/>
  <c r="I3523" i="7"/>
  <c r="I3522" i="7"/>
  <c r="I3521" i="7"/>
  <c r="I3520" i="7"/>
  <c r="I3519" i="7"/>
  <c r="I3518" i="7"/>
  <c r="I3517" i="7"/>
  <c r="I3516" i="7"/>
  <c r="I3515" i="7"/>
  <c r="I3514" i="7"/>
  <c r="I3513" i="7"/>
  <c r="I3512" i="7"/>
  <c r="I3511" i="7"/>
  <c r="I3510" i="7"/>
  <c r="I3509" i="7"/>
  <c r="I3508" i="7"/>
  <c r="I3507" i="7"/>
  <c r="I3506" i="7"/>
  <c r="I3505" i="7"/>
  <c r="I3504" i="7"/>
  <c r="I3503" i="7"/>
  <c r="I3502" i="7"/>
  <c r="I3501" i="7"/>
  <c r="I3500" i="7"/>
  <c r="I3499" i="7"/>
  <c r="I3498" i="7"/>
  <c r="I3497" i="7"/>
  <c r="I3496" i="7"/>
  <c r="I3495" i="7"/>
  <c r="I3494" i="7"/>
  <c r="I3493" i="7"/>
  <c r="I3492" i="7"/>
  <c r="I3491" i="7"/>
  <c r="I3490" i="7"/>
  <c r="I3489" i="7"/>
  <c r="I3488" i="7"/>
  <c r="I3487" i="7"/>
  <c r="I3486" i="7"/>
  <c r="I3485" i="7"/>
  <c r="I3484" i="7"/>
  <c r="I3483" i="7"/>
  <c r="I3482" i="7"/>
  <c r="I3481" i="7"/>
  <c r="I3480" i="7"/>
  <c r="I3479" i="7"/>
  <c r="I3478" i="7"/>
  <c r="I3477" i="7"/>
  <c r="I3476" i="7"/>
  <c r="I3475" i="7"/>
  <c r="I3474" i="7"/>
  <c r="I3473" i="7"/>
  <c r="I3472" i="7"/>
  <c r="I3471" i="7"/>
  <c r="I3470" i="7"/>
  <c r="I3469" i="7"/>
  <c r="I3468" i="7"/>
  <c r="I3467" i="7"/>
  <c r="I3466" i="7"/>
  <c r="I3465" i="7"/>
  <c r="I3464" i="7"/>
  <c r="I3463" i="7"/>
  <c r="I3462" i="7"/>
  <c r="I3461" i="7"/>
  <c r="I3460" i="7"/>
  <c r="I3459" i="7"/>
  <c r="I3458" i="7"/>
  <c r="I3457" i="7"/>
  <c r="I3456" i="7"/>
  <c r="I3455" i="7"/>
  <c r="I3454" i="7"/>
  <c r="I3453" i="7"/>
  <c r="I3452" i="7"/>
  <c r="I3451" i="7"/>
  <c r="I3450" i="7"/>
  <c r="I3449" i="7"/>
  <c r="I3448" i="7"/>
  <c r="I3447" i="7"/>
  <c r="I3446" i="7"/>
  <c r="I3445" i="7"/>
  <c r="I3444" i="7"/>
  <c r="I3443" i="7"/>
  <c r="I3442" i="7"/>
  <c r="I3441" i="7"/>
  <c r="I3440" i="7"/>
  <c r="I3439" i="7"/>
  <c r="I3438" i="7"/>
  <c r="I3437" i="7"/>
  <c r="I3436" i="7"/>
  <c r="I3435" i="7"/>
  <c r="I3434" i="7"/>
  <c r="I3433" i="7"/>
  <c r="I3432" i="7"/>
  <c r="I3431" i="7"/>
  <c r="I3430" i="7"/>
  <c r="I3429" i="7"/>
  <c r="I3428" i="7"/>
  <c r="I3427" i="7"/>
  <c r="I3426" i="7"/>
  <c r="I3425" i="7"/>
  <c r="I3424" i="7"/>
  <c r="I3423" i="7"/>
  <c r="I3422" i="7"/>
  <c r="I3421" i="7"/>
  <c r="I3420" i="7"/>
  <c r="I3419" i="7"/>
  <c r="I3418" i="7"/>
  <c r="I3417" i="7"/>
  <c r="I3416" i="7"/>
  <c r="I3415" i="7"/>
  <c r="I3414" i="7"/>
  <c r="I3413" i="7"/>
  <c r="I3412" i="7"/>
  <c r="I3411" i="7"/>
  <c r="I3410" i="7"/>
  <c r="I3409" i="7"/>
  <c r="I3408" i="7"/>
  <c r="I3407" i="7"/>
  <c r="I3406" i="7"/>
  <c r="I3405" i="7"/>
  <c r="I3404" i="7"/>
  <c r="I3403" i="7"/>
  <c r="I3402" i="7"/>
  <c r="I3401" i="7"/>
  <c r="I3400" i="7"/>
  <c r="I3399" i="7"/>
  <c r="I3398" i="7"/>
  <c r="I3397" i="7"/>
  <c r="I3396" i="7"/>
  <c r="I3395" i="7"/>
  <c r="I3394" i="7"/>
  <c r="I3393" i="7"/>
  <c r="I3392" i="7"/>
  <c r="I3391" i="7"/>
  <c r="I3390" i="7"/>
  <c r="I3389" i="7"/>
  <c r="I3388" i="7"/>
  <c r="I3387" i="7"/>
  <c r="I3386" i="7"/>
  <c r="I3385" i="7"/>
  <c r="I3384" i="7"/>
  <c r="I3383" i="7"/>
  <c r="I3382" i="7"/>
  <c r="I3381" i="7"/>
  <c r="I3380" i="7"/>
  <c r="I3379" i="7"/>
  <c r="I3378" i="7"/>
  <c r="I3377" i="7"/>
  <c r="I3376" i="7"/>
  <c r="I3375" i="7"/>
  <c r="I3374" i="7"/>
  <c r="I3373" i="7"/>
  <c r="I3372" i="7"/>
  <c r="I3371" i="7"/>
  <c r="I3370" i="7"/>
  <c r="I3369" i="7"/>
  <c r="I3368" i="7"/>
  <c r="I3367" i="7"/>
  <c r="I3366" i="7"/>
  <c r="I3365" i="7"/>
  <c r="I3364" i="7"/>
  <c r="I3363" i="7"/>
  <c r="I3362" i="7"/>
  <c r="I3361" i="7"/>
  <c r="I3360" i="7"/>
  <c r="I3359" i="7"/>
  <c r="I3358" i="7"/>
  <c r="I3357" i="7"/>
  <c r="I3356" i="7"/>
  <c r="I3355" i="7"/>
  <c r="I3354" i="7"/>
  <c r="I3353" i="7"/>
  <c r="I3352" i="7"/>
  <c r="I3351" i="7"/>
  <c r="I3350" i="7"/>
  <c r="I3349" i="7"/>
  <c r="I3348" i="7"/>
  <c r="I3347" i="7"/>
  <c r="I3346" i="7"/>
  <c r="I3345" i="7"/>
  <c r="I3344" i="7"/>
  <c r="I3343" i="7"/>
  <c r="I3342" i="7"/>
  <c r="I3341" i="7"/>
  <c r="I3340" i="7"/>
  <c r="I3339" i="7"/>
  <c r="I3338" i="7"/>
  <c r="I3337" i="7"/>
  <c r="I3336" i="7"/>
  <c r="I3335" i="7"/>
  <c r="I3334" i="7"/>
  <c r="I3333" i="7"/>
  <c r="I3332" i="7"/>
  <c r="I3331" i="7"/>
  <c r="I3330" i="7"/>
  <c r="I3329" i="7"/>
  <c r="I3328" i="7"/>
  <c r="I3327" i="7"/>
  <c r="I3326" i="7"/>
  <c r="I3325" i="7"/>
  <c r="I3324" i="7"/>
  <c r="I3323" i="7"/>
  <c r="I3322" i="7"/>
  <c r="I3321" i="7"/>
  <c r="I3320" i="7"/>
  <c r="I3319" i="7"/>
  <c r="I3318" i="7"/>
  <c r="I3317" i="7"/>
  <c r="I3316" i="7"/>
  <c r="I3315" i="7"/>
  <c r="I3314" i="7"/>
  <c r="I3313" i="7"/>
  <c r="I3312" i="7"/>
  <c r="I3311" i="7"/>
  <c r="I3310" i="7"/>
  <c r="I3309" i="7"/>
  <c r="I3308" i="7"/>
  <c r="I3307" i="7"/>
  <c r="I3306" i="7"/>
  <c r="I3305" i="7"/>
  <c r="I3304" i="7"/>
  <c r="I3303" i="7"/>
  <c r="I3302" i="7"/>
  <c r="I3301" i="7"/>
  <c r="I3300" i="7"/>
  <c r="I3299" i="7"/>
  <c r="I3298" i="7"/>
  <c r="I3297" i="7"/>
  <c r="I3296" i="7"/>
  <c r="I3295" i="7"/>
  <c r="I3294" i="7"/>
  <c r="I3293" i="7"/>
  <c r="I3292" i="7"/>
  <c r="I3291" i="7"/>
  <c r="I3290" i="7"/>
  <c r="I3289" i="7"/>
  <c r="I3288" i="7"/>
  <c r="I3287" i="7"/>
  <c r="I3286" i="7"/>
  <c r="I3285" i="7"/>
  <c r="I3284" i="7"/>
  <c r="I3283" i="7"/>
  <c r="I3282" i="7"/>
  <c r="I3281" i="7"/>
  <c r="I3280" i="7"/>
  <c r="I3279" i="7"/>
  <c r="I3278" i="7"/>
  <c r="I3277" i="7"/>
  <c r="I3276" i="7"/>
  <c r="I3275" i="7"/>
  <c r="I3274" i="7"/>
  <c r="I3273" i="7"/>
  <c r="I3272" i="7"/>
  <c r="I3271" i="7"/>
  <c r="I3270" i="7"/>
  <c r="I3269" i="7"/>
  <c r="I3268" i="7"/>
  <c r="I3267" i="7"/>
  <c r="I3266" i="7"/>
  <c r="I3265" i="7"/>
  <c r="I3264" i="7"/>
  <c r="I3263" i="7"/>
  <c r="I3262" i="7"/>
  <c r="I3261" i="7"/>
  <c r="I3260" i="7"/>
  <c r="I3259" i="7"/>
  <c r="I3258" i="7"/>
  <c r="I3257" i="7"/>
  <c r="I3256" i="7"/>
  <c r="I3255" i="7"/>
  <c r="I3254" i="7"/>
  <c r="I3253" i="7"/>
  <c r="I3252" i="7"/>
  <c r="I3251" i="7"/>
  <c r="I3250" i="7"/>
  <c r="I3249" i="7"/>
  <c r="I3248" i="7"/>
  <c r="I3247" i="7"/>
  <c r="I3246" i="7"/>
  <c r="I3245" i="7"/>
  <c r="I3244" i="7"/>
  <c r="I3243" i="7"/>
  <c r="I3242" i="7"/>
  <c r="I3241" i="7"/>
  <c r="I3240" i="7"/>
  <c r="I3239" i="7"/>
  <c r="I3238" i="7"/>
  <c r="I3237" i="7"/>
  <c r="I3236" i="7"/>
  <c r="I3235" i="7"/>
  <c r="I3234" i="7"/>
  <c r="I3233" i="7"/>
  <c r="I3232" i="7"/>
  <c r="I3231" i="7"/>
  <c r="I3230" i="7"/>
  <c r="I3229" i="7"/>
  <c r="I3228" i="7"/>
  <c r="I3227" i="7"/>
  <c r="I3226" i="7"/>
  <c r="I3225" i="7"/>
  <c r="I3224" i="7"/>
  <c r="I3223" i="7"/>
  <c r="I3222" i="7"/>
  <c r="I3221" i="7"/>
  <c r="I3220" i="7"/>
  <c r="I3219" i="7"/>
  <c r="I3218" i="7"/>
  <c r="I3217" i="7"/>
  <c r="I3216" i="7"/>
  <c r="I3215" i="7"/>
  <c r="I3214" i="7"/>
  <c r="I3213" i="7"/>
  <c r="I3212" i="7"/>
  <c r="I3211" i="7"/>
  <c r="I3210" i="7"/>
  <c r="I3209" i="7"/>
  <c r="I3208" i="7"/>
  <c r="I3207" i="7"/>
  <c r="I3206" i="7"/>
  <c r="I3205" i="7"/>
  <c r="I3204" i="7"/>
  <c r="I3203" i="7"/>
  <c r="I3202" i="7"/>
  <c r="I3201" i="7"/>
  <c r="I3200" i="7"/>
  <c r="I3199" i="7"/>
  <c r="I3198" i="7"/>
  <c r="I3197" i="7"/>
  <c r="I3196" i="7"/>
  <c r="I3195" i="7"/>
  <c r="I3194" i="7"/>
  <c r="I3193" i="7"/>
  <c r="I3192" i="7"/>
  <c r="I3191" i="7"/>
  <c r="I3190" i="7"/>
  <c r="I3189" i="7"/>
  <c r="I3188" i="7"/>
  <c r="I3187" i="7"/>
  <c r="I3186" i="7"/>
  <c r="I3185" i="7"/>
  <c r="I3184" i="7"/>
  <c r="I3183" i="7"/>
  <c r="I3182" i="7"/>
  <c r="I3181" i="7"/>
  <c r="I3180" i="7"/>
  <c r="I3179" i="7"/>
  <c r="I3178" i="7"/>
  <c r="I3177" i="7"/>
  <c r="I3176" i="7"/>
  <c r="I3175" i="7"/>
  <c r="I3174" i="7"/>
  <c r="I3173" i="7"/>
  <c r="I3172" i="7"/>
  <c r="I3171" i="7"/>
  <c r="I3170" i="7"/>
  <c r="I3169" i="7"/>
  <c r="I3168" i="7"/>
  <c r="I3167" i="7"/>
  <c r="I3166" i="7"/>
  <c r="I3165" i="7"/>
  <c r="I3164" i="7"/>
  <c r="I3163" i="7"/>
  <c r="I3162" i="7"/>
  <c r="I3161" i="7"/>
  <c r="I3160" i="7"/>
  <c r="I3159" i="7"/>
  <c r="I3158" i="7"/>
  <c r="I3157" i="7"/>
  <c r="I3156" i="7"/>
  <c r="I3155" i="7"/>
  <c r="I3154" i="7"/>
  <c r="I3153" i="7"/>
  <c r="I3152" i="7"/>
  <c r="I3151" i="7"/>
  <c r="I3150" i="7"/>
  <c r="I3149" i="7"/>
  <c r="I3148" i="7"/>
  <c r="I3147" i="7"/>
  <c r="I3146" i="7"/>
  <c r="I3145" i="7"/>
  <c r="I3144" i="7"/>
  <c r="I3143" i="7"/>
  <c r="I3142" i="7"/>
  <c r="I3141" i="7"/>
  <c r="I3140" i="7"/>
  <c r="I3139" i="7"/>
  <c r="I3138" i="7"/>
  <c r="I3137" i="7"/>
  <c r="I3136" i="7"/>
  <c r="I3135" i="7"/>
  <c r="I3134" i="7"/>
  <c r="I3133" i="7"/>
  <c r="I3132" i="7"/>
  <c r="I3131" i="7"/>
  <c r="I3130" i="7"/>
  <c r="I3129" i="7"/>
  <c r="I3128" i="7"/>
  <c r="I3127" i="7"/>
  <c r="I3126" i="7"/>
  <c r="I3125" i="7"/>
  <c r="I3124" i="7"/>
  <c r="I3123" i="7"/>
  <c r="I3122" i="7"/>
  <c r="I3121" i="7"/>
  <c r="I3120" i="7"/>
  <c r="I3119" i="7"/>
  <c r="I3118" i="7"/>
  <c r="I3117" i="7"/>
  <c r="I3116" i="7"/>
  <c r="I3115" i="7"/>
  <c r="I3114" i="7"/>
  <c r="I3113" i="7"/>
  <c r="I3112" i="7"/>
  <c r="I3111" i="7"/>
  <c r="I3110" i="7"/>
  <c r="I3109" i="7"/>
  <c r="I3108" i="7"/>
  <c r="I3107" i="7"/>
  <c r="I3106" i="7"/>
  <c r="I3105" i="7"/>
  <c r="I3104" i="7"/>
  <c r="I3103" i="7"/>
  <c r="I3102" i="7"/>
  <c r="I3101" i="7"/>
  <c r="I3100" i="7"/>
  <c r="I3099" i="7"/>
  <c r="I3098" i="7"/>
  <c r="I3097" i="7"/>
  <c r="I3096" i="7"/>
  <c r="I3095" i="7"/>
  <c r="I3094" i="7"/>
  <c r="I3093" i="7"/>
  <c r="I3092" i="7"/>
  <c r="I3091" i="7"/>
  <c r="I3090" i="7"/>
  <c r="I3089" i="7"/>
  <c r="I3088" i="7"/>
  <c r="I3087" i="7"/>
  <c r="I3086" i="7"/>
  <c r="I3085" i="7"/>
  <c r="I3084" i="7"/>
  <c r="I3083" i="7"/>
  <c r="I3082" i="7"/>
  <c r="I3081" i="7"/>
  <c r="I3080" i="7"/>
  <c r="I3079" i="7"/>
  <c r="I3078" i="7"/>
  <c r="I3077" i="7"/>
  <c r="I3076" i="7"/>
  <c r="I3075" i="7"/>
  <c r="I3074" i="7"/>
  <c r="I3073" i="7"/>
  <c r="I3072" i="7"/>
  <c r="I3071" i="7"/>
  <c r="I3070" i="7"/>
  <c r="I3069" i="7"/>
  <c r="I3068" i="7"/>
  <c r="I3067" i="7"/>
  <c r="I3066" i="7"/>
  <c r="I3065" i="7"/>
  <c r="I3064" i="7"/>
  <c r="I3063" i="7"/>
  <c r="I3062" i="7"/>
  <c r="I3061" i="7"/>
  <c r="I3060" i="7"/>
  <c r="I3059" i="7"/>
  <c r="I3058" i="7"/>
  <c r="I3057" i="7"/>
  <c r="I3056" i="7"/>
  <c r="I3055" i="7"/>
  <c r="I3054" i="7"/>
  <c r="I3053" i="7"/>
  <c r="I3052" i="7"/>
  <c r="I3051" i="7"/>
  <c r="I3050" i="7"/>
  <c r="I3049" i="7"/>
  <c r="I3048" i="7"/>
  <c r="I3047" i="7"/>
  <c r="I3046" i="7"/>
  <c r="I3045" i="7"/>
  <c r="I3044" i="7"/>
  <c r="I3043" i="7"/>
  <c r="I3042" i="7"/>
  <c r="I3041" i="7"/>
  <c r="I3040" i="7"/>
  <c r="I3039" i="7"/>
  <c r="I3038" i="7"/>
  <c r="I3037" i="7"/>
  <c r="I3036" i="7"/>
  <c r="I3035" i="7"/>
  <c r="I3034" i="7"/>
  <c r="I3033" i="7"/>
  <c r="I3032" i="7"/>
  <c r="I3031" i="7"/>
  <c r="I3030" i="7"/>
  <c r="I3029" i="7"/>
  <c r="I3028" i="7"/>
  <c r="I3027" i="7"/>
  <c r="I3026" i="7"/>
  <c r="I3025" i="7"/>
  <c r="I3024" i="7"/>
  <c r="I3023" i="7"/>
  <c r="I3022" i="7"/>
  <c r="I3021" i="7"/>
  <c r="I3020" i="7"/>
  <c r="I3019" i="7"/>
  <c r="I3018" i="7"/>
  <c r="I3017" i="7"/>
  <c r="I3016" i="7"/>
  <c r="I3015" i="7"/>
  <c r="I3014" i="7"/>
  <c r="I3013" i="7"/>
  <c r="I3012" i="7"/>
  <c r="I3011" i="7"/>
  <c r="I3010" i="7"/>
  <c r="I3009" i="7"/>
  <c r="I3008" i="7"/>
  <c r="I3007" i="7"/>
  <c r="I3006" i="7"/>
  <c r="I3005" i="7"/>
  <c r="I3004" i="7"/>
  <c r="I3003" i="7"/>
  <c r="I3002" i="7"/>
  <c r="I3001" i="7"/>
  <c r="I3000" i="7"/>
  <c r="I2999" i="7"/>
  <c r="I2998" i="7"/>
  <c r="I2997" i="7"/>
  <c r="I2996" i="7"/>
  <c r="I2995" i="7"/>
  <c r="I2994" i="7"/>
  <c r="I2993" i="7"/>
  <c r="I2992" i="7"/>
  <c r="I2991" i="7"/>
  <c r="I2990" i="7"/>
  <c r="I2989" i="7"/>
  <c r="I2988" i="7"/>
  <c r="I2987" i="7"/>
  <c r="I2986" i="7"/>
  <c r="I2985" i="7"/>
  <c r="I2984" i="7"/>
  <c r="I2983" i="7"/>
  <c r="I2982" i="7"/>
  <c r="I2981" i="7"/>
  <c r="I2980" i="7"/>
  <c r="I2979" i="7"/>
  <c r="I2978" i="7"/>
  <c r="I2977" i="7"/>
  <c r="I2976" i="7"/>
  <c r="I2975" i="7"/>
  <c r="I2974" i="7"/>
  <c r="I2973" i="7"/>
  <c r="I2972" i="7"/>
  <c r="I2971" i="7"/>
  <c r="I2970" i="7"/>
  <c r="I2969" i="7"/>
  <c r="I2968" i="7"/>
  <c r="I2967" i="7"/>
  <c r="I2966" i="7"/>
  <c r="I2965" i="7"/>
  <c r="I2964" i="7"/>
  <c r="I2963" i="7"/>
  <c r="I2962" i="7"/>
  <c r="I2961" i="7"/>
  <c r="I2960" i="7"/>
  <c r="I2959" i="7"/>
  <c r="I2958" i="7"/>
  <c r="I2957" i="7"/>
  <c r="I2956" i="7"/>
  <c r="I2955" i="7"/>
  <c r="I2954" i="7"/>
  <c r="I2953" i="7"/>
  <c r="I2952" i="7"/>
  <c r="I2951" i="7"/>
  <c r="I2950" i="7"/>
  <c r="I2949" i="7"/>
  <c r="I2948" i="7"/>
  <c r="I2947" i="7"/>
  <c r="I2946" i="7"/>
  <c r="I2945" i="7"/>
  <c r="I2944" i="7"/>
  <c r="I2943" i="7"/>
  <c r="I2942" i="7"/>
  <c r="I2941" i="7"/>
  <c r="I2940" i="7"/>
  <c r="I2939" i="7"/>
  <c r="I2938" i="7"/>
  <c r="I2937" i="7"/>
  <c r="I2936" i="7"/>
  <c r="I2935" i="7"/>
  <c r="I2934" i="7"/>
  <c r="I2933" i="7"/>
  <c r="I2932" i="7"/>
  <c r="I2931" i="7"/>
  <c r="I2930" i="7"/>
  <c r="I2929" i="7"/>
  <c r="I2928" i="7"/>
  <c r="I2927" i="7"/>
  <c r="I2926" i="7"/>
  <c r="I2925" i="7"/>
  <c r="I2924" i="7"/>
  <c r="I2923" i="7"/>
  <c r="I2922" i="7"/>
  <c r="I2921" i="7"/>
  <c r="I2920" i="7"/>
  <c r="I2919" i="7"/>
  <c r="I2918" i="7"/>
  <c r="I2917" i="7"/>
  <c r="I2916" i="7"/>
  <c r="I2915" i="7"/>
  <c r="I2914" i="7"/>
  <c r="I2913" i="7"/>
  <c r="I2912" i="7"/>
  <c r="I2911" i="7"/>
  <c r="I2910" i="7"/>
  <c r="I2909" i="7"/>
  <c r="I2908" i="7"/>
  <c r="I2907" i="7"/>
  <c r="I2906" i="7"/>
  <c r="I2905" i="7"/>
  <c r="I2904" i="7"/>
  <c r="I2903" i="7"/>
  <c r="I2902" i="7"/>
  <c r="I2901" i="7"/>
  <c r="I2900" i="7"/>
  <c r="I2899" i="7"/>
  <c r="I2898" i="7"/>
  <c r="I2897" i="7"/>
  <c r="I2896" i="7"/>
  <c r="I2895" i="7"/>
  <c r="I2894" i="7"/>
  <c r="I2893" i="7"/>
  <c r="I2892" i="7"/>
  <c r="I2891" i="7"/>
  <c r="I2890" i="7"/>
  <c r="I2889" i="7"/>
  <c r="I2888" i="7"/>
  <c r="I2887" i="7"/>
  <c r="I2886" i="7"/>
  <c r="I2885" i="7"/>
  <c r="I2884" i="7"/>
  <c r="I2883" i="7"/>
  <c r="I2882" i="7"/>
  <c r="I2881" i="7"/>
  <c r="I2880" i="7"/>
  <c r="I2879" i="7"/>
  <c r="I2878" i="7"/>
  <c r="I2877" i="7"/>
  <c r="I2876" i="7"/>
  <c r="I2875" i="7"/>
  <c r="I2874" i="7"/>
  <c r="I2873" i="7"/>
  <c r="I2872" i="7"/>
  <c r="I2871" i="7"/>
  <c r="I2870" i="7"/>
  <c r="I2869" i="7"/>
  <c r="I2868" i="7"/>
  <c r="I2867" i="7"/>
  <c r="I2866" i="7"/>
  <c r="I2865" i="7"/>
  <c r="I2864" i="7"/>
  <c r="I2863" i="7"/>
  <c r="I2862" i="7"/>
  <c r="I2861" i="7"/>
  <c r="I2860" i="7"/>
  <c r="I2859" i="7"/>
  <c r="I2858" i="7"/>
  <c r="I2857" i="7"/>
  <c r="I2856" i="7"/>
  <c r="I2855" i="7"/>
  <c r="I2854" i="7"/>
  <c r="I2853" i="7"/>
  <c r="I2852" i="7"/>
  <c r="I2851" i="7"/>
  <c r="I2850" i="7"/>
  <c r="I2849" i="7"/>
  <c r="I2848" i="7"/>
  <c r="I2847" i="7"/>
  <c r="I2846" i="7"/>
  <c r="I2845" i="7"/>
  <c r="I2844" i="7"/>
  <c r="I2843" i="7"/>
  <c r="I2842" i="7"/>
  <c r="I2841" i="7"/>
  <c r="I2840" i="7"/>
  <c r="I2839" i="7"/>
  <c r="I2838" i="7"/>
  <c r="I2837" i="7"/>
  <c r="I2836" i="7"/>
  <c r="I2835" i="7"/>
  <c r="I2834" i="7"/>
  <c r="I2833" i="7"/>
  <c r="I2832" i="7"/>
  <c r="I2831" i="7"/>
  <c r="I2830" i="7"/>
  <c r="I2829" i="7"/>
  <c r="I2828" i="7"/>
  <c r="I2827" i="7"/>
  <c r="I2826" i="7"/>
  <c r="I2825" i="7"/>
  <c r="I2824" i="7"/>
  <c r="I2823" i="7"/>
  <c r="I2822" i="7"/>
  <c r="I2821" i="7"/>
  <c r="I2820" i="7"/>
  <c r="I2819" i="7"/>
  <c r="I2818" i="7"/>
  <c r="I2817" i="7"/>
  <c r="I2816" i="7"/>
  <c r="I2815" i="7"/>
  <c r="I2814" i="7"/>
  <c r="I2813" i="7"/>
  <c r="I2812" i="7"/>
  <c r="I2811" i="7"/>
  <c r="I2810" i="7"/>
  <c r="I2809" i="7"/>
  <c r="I2808" i="7"/>
  <c r="I2807" i="7"/>
  <c r="I2806" i="7"/>
  <c r="I2805" i="7"/>
  <c r="I2804" i="7"/>
  <c r="I2803" i="7"/>
  <c r="I2802" i="7"/>
  <c r="I2801" i="7"/>
  <c r="I2800" i="7"/>
  <c r="I2799" i="7"/>
  <c r="I2798" i="7"/>
  <c r="I2797" i="7"/>
  <c r="I2796" i="7"/>
  <c r="I2795" i="7"/>
  <c r="I2794" i="7"/>
  <c r="I2793" i="7"/>
  <c r="I2792" i="7"/>
  <c r="I2791" i="7"/>
  <c r="I2790" i="7"/>
  <c r="I2789" i="7"/>
  <c r="I2788" i="7"/>
  <c r="I2787" i="7"/>
  <c r="I2786" i="7"/>
  <c r="I2785" i="7"/>
  <c r="I2784" i="7"/>
  <c r="I2783" i="7"/>
  <c r="I2782" i="7"/>
  <c r="I2781" i="7"/>
  <c r="I2780" i="7"/>
  <c r="I2779" i="7"/>
  <c r="I2778" i="7"/>
  <c r="I2777" i="7"/>
  <c r="I2776" i="7"/>
  <c r="I2775" i="7"/>
  <c r="I2774" i="7"/>
  <c r="I2773" i="7"/>
  <c r="I2772" i="7"/>
  <c r="I2771" i="7"/>
  <c r="I2770" i="7"/>
  <c r="I2769" i="7"/>
  <c r="I2768" i="7"/>
  <c r="I2767" i="7"/>
  <c r="I2766" i="7"/>
  <c r="I2765" i="7"/>
  <c r="I2764" i="7"/>
  <c r="I2763" i="7"/>
  <c r="I2762" i="7"/>
  <c r="I2761" i="7"/>
  <c r="I2760" i="7"/>
  <c r="I2759" i="7"/>
  <c r="I2758" i="7"/>
  <c r="I2757" i="7"/>
  <c r="I2756" i="7"/>
  <c r="I2755" i="7"/>
  <c r="I2754" i="7"/>
  <c r="I2753" i="7"/>
  <c r="I2752" i="7"/>
  <c r="I2751" i="7"/>
  <c r="I2750" i="7"/>
  <c r="I2749" i="7"/>
  <c r="I2748" i="7"/>
  <c r="I2747" i="7"/>
  <c r="I2746" i="7"/>
  <c r="I2745" i="7"/>
  <c r="I2744" i="7"/>
  <c r="I2743" i="7"/>
  <c r="I2742" i="7"/>
  <c r="I2741" i="7"/>
  <c r="I2740" i="7"/>
  <c r="I2739" i="7"/>
  <c r="I2738" i="7"/>
  <c r="I2737" i="7"/>
  <c r="I2736" i="7"/>
  <c r="I2735" i="7"/>
  <c r="I2734" i="7"/>
  <c r="I2733" i="7"/>
  <c r="I2732" i="7"/>
  <c r="I2731" i="7"/>
  <c r="I2730" i="7"/>
  <c r="I2729" i="7"/>
  <c r="I2728" i="7"/>
  <c r="I2727" i="7"/>
  <c r="I2726" i="7"/>
  <c r="I2725" i="7"/>
  <c r="I2724" i="7"/>
  <c r="I2723" i="7"/>
  <c r="I2722" i="7"/>
  <c r="I2721" i="7"/>
  <c r="I2720" i="7"/>
  <c r="I2719" i="7"/>
  <c r="I2718" i="7"/>
  <c r="I2717" i="7"/>
  <c r="I2716" i="7"/>
  <c r="I2715" i="7"/>
  <c r="I2714" i="7"/>
  <c r="I2713" i="7"/>
  <c r="I2712" i="7"/>
  <c r="I2711" i="7"/>
  <c r="I2710" i="7"/>
  <c r="I2709" i="7"/>
  <c r="I2708" i="7"/>
  <c r="I2707" i="7"/>
  <c r="I2706" i="7"/>
  <c r="I2705" i="7"/>
  <c r="I2704" i="7"/>
  <c r="I2703" i="7"/>
  <c r="I2702" i="7"/>
  <c r="I2701" i="7"/>
  <c r="I2700" i="7"/>
  <c r="I2699" i="7"/>
  <c r="I2698" i="7"/>
  <c r="I2697" i="7"/>
  <c r="I2696" i="7"/>
  <c r="I2695" i="7"/>
  <c r="I2694" i="7"/>
  <c r="I2693" i="7"/>
  <c r="I2692" i="7"/>
  <c r="I2691" i="7"/>
  <c r="I2690" i="7"/>
  <c r="I2689" i="7"/>
  <c r="I2688" i="7"/>
  <c r="I2687" i="7"/>
  <c r="I2686" i="7"/>
  <c r="I2685" i="7"/>
  <c r="I2684" i="7"/>
  <c r="I2683" i="7"/>
  <c r="I2682" i="7"/>
  <c r="I2681" i="7"/>
  <c r="I2680" i="7"/>
  <c r="I2679" i="7"/>
  <c r="I2678" i="7"/>
  <c r="I2677" i="7"/>
  <c r="I2676" i="7"/>
  <c r="I2675" i="7"/>
  <c r="I2674" i="7"/>
  <c r="I2673" i="7"/>
  <c r="I2672" i="7"/>
  <c r="I2671" i="7"/>
  <c r="I2670" i="7"/>
  <c r="I2669" i="7"/>
  <c r="I2668" i="7"/>
  <c r="I2667" i="7"/>
  <c r="I2666" i="7"/>
  <c r="I2665" i="7"/>
  <c r="I2664" i="7"/>
  <c r="I2663" i="7"/>
  <c r="I2662" i="7"/>
  <c r="I2661" i="7"/>
  <c r="I2660" i="7"/>
  <c r="I2659" i="7"/>
  <c r="I2658" i="7"/>
  <c r="I2657" i="7"/>
  <c r="I2656" i="7"/>
  <c r="I2655" i="7"/>
  <c r="I2654" i="7"/>
  <c r="I2653" i="7"/>
  <c r="I2652" i="7"/>
  <c r="I2651" i="7"/>
  <c r="I2650" i="7"/>
  <c r="I2649" i="7"/>
  <c r="I2648" i="7"/>
  <c r="I2647" i="7"/>
  <c r="I2646" i="7"/>
  <c r="I2645" i="7"/>
  <c r="I2644" i="7"/>
  <c r="I2643" i="7"/>
  <c r="I2642" i="7"/>
  <c r="I2641" i="7"/>
  <c r="I2640" i="7"/>
  <c r="I2639" i="7"/>
  <c r="I2638" i="7"/>
  <c r="I2637" i="7"/>
  <c r="I2636" i="7"/>
  <c r="I2635" i="7"/>
  <c r="I2634" i="7"/>
  <c r="I2633" i="7"/>
  <c r="I2632" i="7"/>
  <c r="I2631" i="7"/>
  <c r="I2630" i="7"/>
  <c r="I2629" i="7"/>
  <c r="I2628" i="7"/>
  <c r="I2627" i="7"/>
  <c r="I2626" i="7"/>
  <c r="I2625" i="7"/>
  <c r="I2624" i="7"/>
  <c r="I2623" i="7"/>
  <c r="I2622" i="7"/>
  <c r="I2621" i="7"/>
  <c r="I2620" i="7"/>
  <c r="I2619" i="7"/>
  <c r="I2618" i="7"/>
  <c r="I2617" i="7"/>
  <c r="I2616" i="7"/>
  <c r="I2615" i="7"/>
  <c r="I2614" i="7"/>
  <c r="I2613" i="7"/>
  <c r="I2612" i="7"/>
  <c r="I2611" i="7"/>
  <c r="I2610" i="7"/>
  <c r="I2609" i="7"/>
  <c r="I2608" i="7"/>
  <c r="I2607" i="7"/>
  <c r="I2606" i="7"/>
  <c r="I2605" i="7"/>
  <c r="I2604" i="7"/>
  <c r="I2603" i="7"/>
  <c r="I2602" i="7"/>
  <c r="I2601" i="7"/>
  <c r="I2600" i="7"/>
  <c r="I2599" i="7"/>
  <c r="I2598" i="7"/>
  <c r="I2597" i="7"/>
  <c r="I2596" i="7"/>
  <c r="I2595" i="7"/>
  <c r="I2594" i="7"/>
  <c r="I2593" i="7"/>
  <c r="I2592" i="7"/>
  <c r="I2591" i="7"/>
  <c r="I2590" i="7"/>
  <c r="I2589" i="7"/>
  <c r="I2588" i="7"/>
  <c r="I2587" i="7"/>
  <c r="I2586" i="7"/>
  <c r="I2585" i="7"/>
  <c r="I2584" i="7"/>
  <c r="I2583" i="7"/>
  <c r="I2582" i="7"/>
  <c r="I2581" i="7"/>
  <c r="I2580" i="7"/>
  <c r="I2579" i="7"/>
  <c r="I2578" i="7"/>
  <c r="I2577" i="7"/>
  <c r="I2576" i="7"/>
  <c r="I2575" i="7"/>
  <c r="I2574" i="7"/>
  <c r="I2573" i="7"/>
  <c r="I2572" i="7"/>
  <c r="I2571" i="7"/>
  <c r="I2570" i="7"/>
  <c r="I2569" i="7"/>
  <c r="I2568" i="7"/>
  <c r="I2567" i="7"/>
  <c r="I2566" i="7"/>
  <c r="I2565" i="7"/>
  <c r="I2564" i="7"/>
  <c r="I2563" i="7"/>
  <c r="I2562" i="7"/>
  <c r="I2561" i="7"/>
  <c r="I2560" i="7"/>
  <c r="I2559" i="7"/>
  <c r="I2558" i="7"/>
  <c r="I2557" i="7"/>
  <c r="I2556" i="7"/>
  <c r="I2555" i="7"/>
  <c r="I2554" i="7"/>
  <c r="I2553" i="7"/>
  <c r="I2552" i="7"/>
  <c r="I2551" i="7"/>
  <c r="I2550" i="7"/>
  <c r="I2549" i="7"/>
  <c r="I2548" i="7"/>
  <c r="I2547" i="7"/>
  <c r="I2546" i="7"/>
  <c r="I2545" i="7"/>
  <c r="I2544" i="7"/>
  <c r="I2543" i="7"/>
  <c r="I2542" i="7"/>
  <c r="I2541" i="7"/>
  <c r="I2540" i="7"/>
  <c r="I2539" i="7"/>
  <c r="I2538" i="7"/>
  <c r="I2537" i="7"/>
  <c r="I2536" i="7"/>
  <c r="I2535" i="7"/>
  <c r="I2534" i="7"/>
  <c r="I2533" i="7"/>
  <c r="I2532" i="7"/>
  <c r="I2531" i="7"/>
  <c r="I2530" i="7"/>
  <c r="I2529" i="7"/>
  <c r="I2528" i="7"/>
  <c r="I2527" i="7"/>
  <c r="I2526" i="7"/>
  <c r="I2525" i="7"/>
  <c r="I2524" i="7"/>
  <c r="I2523" i="7"/>
  <c r="I2522" i="7"/>
  <c r="I2521" i="7"/>
  <c r="I2520" i="7"/>
  <c r="I2519" i="7"/>
  <c r="I2518" i="7"/>
  <c r="I2517" i="7"/>
  <c r="I2516" i="7"/>
  <c r="I2515" i="7"/>
  <c r="I2514" i="7"/>
  <c r="I2513" i="7"/>
  <c r="I2512" i="7"/>
  <c r="I2511" i="7"/>
  <c r="I2510" i="7"/>
  <c r="I2509" i="7"/>
  <c r="I2508" i="7"/>
  <c r="I2507" i="7"/>
  <c r="I2506" i="7"/>
  <c r="I2505" i="7"/>
  <c r="I2504" i="7"/>
  <c r="I2503" i="7"/>
  <c r="I2502" i="7"/>
  <c r="I2501" i="7"/>
  <c r="I2500" i="7"/>
  <c r="I2499" i="7"/>
  <c r="I2498" i="7"/>
  <c r="I2497" i="7"/>
  <c r="I2496" i="7"/>
  <c r="I2495" i="7"/>
  <c r="I2494" i="7"/>
  <c r="I2493" i="7"/>
  <c r="I2492" i="7"/>
  <c r="I2491" i="7"/>
  <c r="I2490" i="7"/>
  <c r="I2489" i="7"/>
  <c r="I2488" i="7"/>
  <c r="I2487" i="7"/>
  <c r="I2486" i="7"/>
  <c r="I2485" i="7"/>
  <c r="I2484" i="7"/>
  <c r="I2483" i="7"/>
  <c r="I2482" i="7"/>
  <c r="I2481" i="7"/>
  <c r="I2480" i="7"/>
  <c r="I2479" i="7"/>
  <c r="I2478" i="7"/>
  <c r="I2477" i="7"/>
  <c r="I2476" i="7"/>
  <c r="I2475" i="7"/>
  <c r="I2474" i="7"/>
  <c r="I2473" i="7"/>
  <c r="I2472" i="7"/>
  <c r="I2471" i="7"/>
  <c r="I2470" i="7"/>
  <c r="I2469" i="7"/>
  <c r="I2468" i="7"/>
  <c r="I2467" i="7"/>
  <c r="I2466" i="7"/>
  <c r="I2465" i="7"/>
  <c r="I2464" i="7"/>
  <c r="I2463" i="7"/>
  <c r="I2462" i="7"/>
  <c r="I2461" i="7"/>
  <c r="I2460" i="7"/>
  <c r="I2459" i="7"/>
  <c r="I2458" i="7"/>
  <c r="I2457" i="7"/>
  <c r="I2456" i="7"/>
  <c r="I2455" i="7"/>
  <c r="I2454" i="7"/>
  <c r="I2453" i="7"/>
  <c r="I2452" i="7"/>
  <c r="I2451" i="7"/>
  <c r="I2450" i="7"/>
  <c r="I2449" i="7"/>
  <c r="I2448" i="7"/>
  <c r="I2447" i="7"/>
  <c r="I2446" i="7"/>
  <c r="I2445" i="7"/>
  <c r="I2444" i="7"/>
  <c r="I2443" i="7"/>
  <c r="I2442" i="7"/>
  <c r="I2441" i="7"/>
  <c r="I2440" i="7"/>
  <c r="I2439" i="7"/>
  <c r="I2438" i="7"/>
  <c r="I2437" i="7"/>
  <c r="I2436" i="7"/>
  <c r="I2435" i="7"/>
  <c r="I2434" i="7"/>
  <c r="I2433" i="7"/>
  <c r="I2432" i="7"/>
  <c r="I2431" i="7"/>
  <c r="I2430" i="7"/>
  <c r="I2429" i="7"/>
  <c r="I2428" i="7"/>
  <c r="I2427" i="7"/>
  <c r="I2426" i="7"/>
  <c r="I2425" i="7"/>
  <c r="I2424" i="7"/>
  <c r="I2423" i="7"/>
  <c r="I2422" i="7"/>
  <c r="I2421" i="7"/>
  <c r="I2420" i="7"/>
  <c r="I2419" i="7"/>
  <c r="I2418" i="7"/>
  <c r="I2417" i="7"/>
  <c r="I2416" i="7"/>
  <c r="I2415" i="7"/>
  <c r="I2414" i="7"/>
  <c r="I2413" i="7"/>
  <c r="I2412" i="7"/>
  <c r="I2411" i="7"/>
  <c r="I2410" i="7"/>
  <c r="I2409" i="7"/>
  <c r="I2408" i="7"/>
  <c r="I2407" i="7"/>
  <c r="I2406" i="7"/>
  <c r="I2405" i="7"/>
  <c r="I2404" i="7"/>
  <c r="I2403" i="7"/>
  <c r="I2402" i="7"/>
  <c r="I2401" i="7"/>
  <c r="I2400" i="7"/>
  <c r="I2399" i="7"/>
  <c r="I2398" i="7"/>
  <c r="I2397" i="7"/>
  <c r="I2396" i="7"/>
  <c r="I2395" i="7"/>
  <c r="I2394" i="7"/>
  <c r="I2393" i="7"/>
  <c r="I2392" i="7"/>
  <c r="I2391" i="7"/>
  <c r="I2390" i="7"/>
  <c r="I2389" i="7"/>
  <c r="I2388" i="7"/>
  <c r="I2387" i="7"/>
  <c r="I2386" i="7"/>
  <c r="I2385" i="7"/>
  <c r="I2384" i="7"/>
  <c r="I2383" i="7"/>
  <c r="I2382" i="7"/>
  <c r="I2381" i="7"/>
  <c r="I2380" i="7"/>
  <c r="I2379" i="7"/>
  <c r="I2378" i="7"/>
  <c r="I2377" i="7"/>
  <c r="I2376" i="7"/>
  <c r="I2375" i="7"/>
  <c r="I2374" i="7"/>
  <c r="I2373" i="7"/>
  <c r="I2372" i="7"/>
  <c r="I2371" i="7"/>
  <c r="I2370" i="7"/>
  <c r="I2369" i="7"/>
  <c r="I2368" i="7"/>
  <c r="I2367" i="7"/>
  <c r="I2366" i="7"/>
  <c r="I2365" i="7"/>
  <c r="I2364" i="7"/>
  <c r="I2363" i="7"/>
  <c r="I2362" i="7"/>
  <c r="I2361" i="7"/>
  <c r="I2360" i="7"/>
  <c r="I2359" i="7"/>
  <c r="I2358" i="7"/>
  <c r="I2357" i="7"/>
  <c r="I2356" i="7"/>
  <c r="I2355" i="7"/>
  <c r="I2354" i="7"/>
  <c r="I2353" i="7"/>
  <c r="I2352" i="7"/>
  <c r="I2351" i="7"/>
  <c r="I2350" i="7"/>
  <c r="I2349" i="7"/>
  <c r="I2348" i="7"/>
  <c r="I2347" i="7"/>
  <c r="I2346" i="7"/>
  <c r="I2345" i="7"/>
  <c r="I2344" i="7"/>
  <c r="I2343" i="7"/>
  <c r="I2342" i="7"/>
  <c r="I2341" i="7"/>
  <c r="I2340" i="7"/>
  <c r="I2339" i="7"/>
  <c r="I2338" i="7"/>
  <c r="I2337" i="7"/>
  <c r="I2336" i="7"/>
  <c r="I2335" i="7"/>
  <c r="I2334" i="7"/>
  <c r="I2333" i="7"/>
  <c r="I2332" i="7"/>
  <c r="I2331" i="7"/>
  <c r="I2330" i="7"/>
  <c r="I2329" i="7"/>
  <c r="I2328" i="7"/>
  <c r="I2327" i="7"/>
  <c r="I2326" i="7"/>
  <c r="I2325" i="7"/>
  <c r="I2324" i="7"/>
  <c r="I2323" i="7"/>
  <c r="I2322" i="7"/>
  <c r="I2321" i="7"/>
  <c r="I2320" i="7"/>
  <c r="I2319" i="7"/>
  <c r="I2318" i="7"/>
  <c r="I2317" i="7"/>
  <c r="I2316" i="7"/>
  <c r="I2315" i="7"/>
  <c r="I2314" i="7"/>
  <c r="I2313" i="7"/>
  <c r="I2312" i="7"/>
  <c r="I2311" i="7"/>
  <c r="I2310" i="7"/>
  <c r="I2309" i="7"/>
  <c r="I2308" i="7"/>
  <c r="I2307" i="7"/>
  <c r="I2306" i="7"/>
  <c r="I2305" i="7"/>
  <c r="I2304" i="7"/>
  <c r="I2303" i="7"/>
  <c r="I2302" i="7"/>
  <c r="I2301" i="7"/>
  <c r="I2300" i="7"/>
  <c r="I2299" i="7"/>
  <c r="I2298" i="7"/>
  <c r="I2297" i="7"/>
  <c r="I2296" i="7"/>
  <c r="I2295" i="7"/>
  <c r="I2294" i="7"/>
  <c r="I2293" i="7"/>
  <c r="I2292" i="7"/>
  <c r="I2291" i="7"/>
  <c r="I2290" i="7"/>
  <c r="I2289" i="7"/>
  <c r="I2288" i="7"/>
  <c r="I2287" i="7"/>
  <c r="I2286" i="7"/>
  <c r="I2285" i="7"/>
  <c r="I2284" i="7"/>
  <c r="I2283" i="7"/>
  <c r="I2282" i="7"/>
  <c r="I2281" i="7"/>
  <c r="I2280" i="7"/>
  <c r="I2279" i="7"/>
  <c r="I2278" i="7"/>
  <c r="I2277" i="7"/>
  <c r="I2276" i="7"/>
  <c r="I2275" i="7"/>
  <c r="I2274" i="7"/>
  <c r="I2273" i="7"/>
  <c r="I2272" i="7"/>
  <c r="I2271" i="7"/>
  <c r="I2270" i="7"/>
  <c r="I2269" i="7"/>
  <c r="I2268" i="7"/>
  <c r="I2267" i="7"/>
  <c r="I2266" i="7"/>
  <c r="I2265" i="7"/>
  <c r="I2264" i="7"/>
  <c r="I2263" i="7"/>
  <c r="I2262" i="7"/>
  <c r="I2261" i="7"/>
  <c r="I2260" i="7"/>
  <c r="I2259" i="7"/>
  <c r="I2258" i="7"/>
  <c r="I2257" i="7"/>
  <c r="I2256" i="7"/>
  <c r="I2255" i="7"/>
  <c r="I2254" i="7"/>
  <c r="I2253" i="7"/>
  <c r="I2252" i="7"/>
  <c r="I2251" i="7"/>
  <c r="I2250" i="7"/>
  <c r="I2249" i="7"/>
  <c r="I2248" i="7"/>
  <c r="I2247" i="7"/>
  <c r="I2246" i="7"/>
  <c r="I2245" i="7"/>
  <c r="I2244" i="7"/>
  <c r="I2243" i="7"/>
  <c r="I2242" i="7"/>
  <c r="I2241" i="7"/>
  <c r="I2240" i="7"/>
  <c r="I2239" i="7"/>
  <c r="I2238" i="7"/>
  <c r="I2237" i="7"/>
  <c r="I2236" i="7"/>
  <c r="I2235" i="7"/>
  <c r="I2234" i="7"/>
  <c r="I2233" i="7"/>
  <c r="I2232" i="7"/>
  <c r="I2231" i="7"/>
  <c r="I2230" i="7"/>
  <c r="I2229" i="7"/>
  <c r="I2228" i="7"/>
  <c r="I2227" i="7"/>
  <c r="I2226" i="7"/>
  <c r="I2225" i="7"/>
  <c r="I2224" i="7"/>
  <c r="I2223" i="7"/>
  <c r="I2222" i="7"/>
  <c r="I2221" i="7"/>
  <c r="I2220" i="7"/>
  <c r="I2219" i="7"/>
  <c r="I2218" i="7"/>
  <c r="I2217" i="7"/>
  <c r="I2216" i="7"/>
  <c r="I2215" i="7"/>
  <c r="I2214" i="7"/>
  <c r="I2213" i="7"/>
  <c r="I2212" i="7"/>
  <c r="I2211" i="7"/>
  <c r="I2210" i="7"/>
  <c r="I2209" i="7"/>
  <c r="I2208" i="7"/>
  <c r="I2207" i="7"/>
  <c r="I2206" i="7"/>
  <c r="I2205" i="7"/>
  <c r="I2204" i="7"/>
  <c r="I2203" i="7"/>
  <c r="I2202" i="7"/>
  <c r="I2201" i="7"/>
  <c r="I2200" i="7"/>
  <c r="I2199" i="7"/>
  <c r="I2198" i="7"/>
  <c r="I2197" i="7"/>
  <c r="I2196" i="7"/>
  <c r="I2195" i="7"/>
  <c r="I2194" i="7"/>
  <c r="I2193" i="7"/>
  <c r="I2192" i="7"/>
  <c r="I2191" i="7"/>
  <c r="I2190" i="7"/>
  <c r="I2189" i="7"/>
  <c r="I2188" i="7"/>
  <c r="I2187" i="7"/>
  <c r="I2186" i="7"/>
  <c r="I2185" i="7"/>
  <c r="I2184" i="7"/>
  <c r="I2183" i="7"/>
  <c r="I2182" i="7"/>
  <c r="I2181" i="7"/>
  <c r="I2180" i="7"/>
  <c r="I2179" i="7"/>
  <c r="I2178" i="7"/>
  <c r="I2177" i="7"/>
  <c r="I2176" i="7"/>
  <c r="I2175" i="7"/>
  <c r="I2174" i="7"/>
  <c r="I2173" i="7"/>
  <c r="I2172" i="7"/>
  <c r="I2171" i="7"/>
  <c r="I2170" i="7"/>
  <c r="I2169" i="7"/>
  <c r="I2168" i="7"/>
  <c r="I2167" i="7"/>
  <c r="I2166" i="7"/>
  <c r="I2165" i="7"/>
  <c r="I2164" i="7"/>
  <c r="I2163" i="7"/>
  <c r="I2162" i="7"/>
  <c r="I2161" i="7"/>
  <c r="I2160" i="7"/>
  <c r="I2159" i="7"/>
  <c r="I2158" i="7"/>
  <c r="I2157" i="7"/>
  <c r="I2156" i="7"/>
  <c r="I2155" i="7"/>
  <c r="I2154" i="7"/>
  <c r="I2153" i="7"/>
  <c r="I2152" i="7"/>
  <c r="I2151" i="7"/>
  <c r="I2150" i="7"/>
  <c r="I2149" i="7"/>
  <c r="I2148" i="7"/>
  <c r="I2147" i="7"/>
  <c r="I2146" i="7"/>
  <c r="I2145" i="7"/>
  <c r="I2144" i="7"/>
  <c r="I2143" i="7"/>
  <c r="I2142" i="7"/>
  <c r="I2141" i="7"/>
  <c r="I2140" i="7"/>
  <c r="I2139" i="7"/>
  <c r="I2138" i="7"/>
  <c r="I2137" i="7"/>
  <c r="I2136" i="7"/>
  <c r="I2135" i="7"/>
  <c r="I2134" i="7"/>
  <c r="I2133" i="7"/>
  <c r="I2132" i="7"/>
  <c r="I2131" i="7"/>
  <c r="I2130" i="7"/>
  <c r="I2129" i="7"/>
  <c r="I2128" i="7"/>
  <c r="I2127" i="7"/>
  <c r="I2126" i="7"/>
  <c r="I2125" i="7"/>
  <c r="I2124" i="7"/>
  <c r="I2123" i="7"/>
  <c r="I2122" i="7"/>
  <c r="I2121" i="7"/>
  <c r="I2120" i="7"/>
  <c r="I2119" i="7"/>
  <c r="I2118" i="7"/>
  <c r="I2117" i="7"/>
  <c r="I2116" i="7"/>
  <c r="I2115" i="7"/>
  <c r="I2114" i="7"/>
  <c r="I2113" i="7"/>
  <c r="I2112" i="7"/>
  <c r="I2111" i="7"/>
  <c r="I2110" i="7"/>
  <c r="I2109" i="7"/>
  <c r="I2108" i="7"/>
  <c r="I2107" i="7"/>
  <c r="I2106" i="7"/>
  <c r="I2105" i="7"/>
  <c r="I2104" i="7"/>
  <c r="I2103" i="7"/>
  <c r="I2102" i="7"/>
  <c r="I2101" i="7"/>
  <c r="I2100" i="7"/>
  <c r="I2099" i="7"/>
  <c r="I2098" i="7"/>
  <c r="I2097" i="7"/>
  <c r="I2096" i="7"/>
  <c r="I2095" i="7"/>
  <c r="I2094" i="7"/>
  <c r="I2093" i="7"/>
  <c r="I2092" i="7"/>
  <c r="I2091" i="7"/>
  <c r="I2090" i="7"/>
  <c r="I2089" i="7"/>
  <c r="I2088" i="7"/>
  <c r="I2087" i="7"/>
  <c r="I2086" i="7"/>
  <c r="I2085" i="7"/>
  <c r="I2084" i="7"/>
  <c r="I2083" i="7"/>
  <c r="I2082" i="7"/>
  <c r="I2081" i="7"/>
  <c r="I2080" i="7"/>
  <c r="I2079" i="7"/>
  <c r="I2078" i="7"/>
  <c r="I2077" i="7"/>
  <c r="I2076" i="7"/>
  <c r="I2075" i="7"/>
  <c r="I2074" i="7"/>
  <c r="I2073" i="7"/>
  <c r="I2072" i="7"/>
  <c r="I2071" i="7"/>
  <c r="I2070" i="7"/>
  <c r="I2069" i="7"/>
  <c r="I2068" i="7"/>
  <c r="I2067" i="7"/>
  <c r="I2066" i="7"/>
  <c r="I2065" i="7"/>
  <c r="I2064" i="7"/>
  <c r="I2063" i="7"/>
  <c r="I2062" i="7"/>
  <c r="I2061" i="7"/>
  <c r="I2060" i="7"/>
  <c r="I2059" i="7"/>
  <c r="I2058" i="7"/>
  <c r="I2057" i="7"/>
  <c r="I2056" i="7"/>
  <c r="I2055" i="7"/>
  <c r="I2054" i="7"/>
  <c r="I2053" i="7"/>
  <c r="I2052" i="7"/>
  <c r="I2051" i="7"/>
  <c r="I2050" i="7"/>
  <c r="I2049" i="7"/>
  <c r="I2048" i="7"/>
  <c r="I2047" i="7"/>
  <c r="I2046" i="7"/>
  <c r="I2045" i="7"/>
  <c r="I2044" i="7"/>
  <c r="I2043" i="7"/>
  <c r="I2042" i="7"/>
  <c r="I2041" i="7"/>
  <c r="I2040" i="7"/>
  <c r="I2039" i="7"/>
  <c r="I2038" i="7"/>
  <c r="I2037" i="7"/>
  <c r="I2036" i="7"/>
  <c r="I2035" i="7"/>
  <c r="I2034" i="7"/>
  <c r="I2033" i="7"/>
  <c r="I2032" i="7"/>
  <c r="I2031" i="7"/>
  <c r="I2030" i="7"/>
  <c r="I2029" i="7"/>
  <c r="I2028" i="7"/>
  <c r="I2027" i="7"/>
  <c r="I2026" i="7"/>
  <c r="I2025" i="7"/>
  <c r="I2024" i="7"/>
  <c r="I2023" i="7"/>
  <c r="I2022" i="7"/>
  <c r="I2021" i="7"/>
  <c r="I2020" i="7"/>
  <c r="I2019" i="7"/>
  <c r="I2018" i="7"/>
  <c r="I2017" i="7"/>
  <c r="I2016" i="7"/>
  <c r="I2015" i="7"/>
  <c r="I2014" i="7"/>
  <c r="I2013" i="7"/>
  <c r="I2012" i="7"/>
  <c r="I2011" i="7"/>
  <c r="I2010" i="7"/>
  <c r="I2009" i="7"/>
  <c r="I2008" i="7"/>
  <c r="I2007" i="7"/>
  <c r="I2006" i="7"/>
  <c r="I2005" i="7"/>
  <c r="I2004" i="7"/>
  <c r="I2003" i="7"/>
  <c r="I2002" i="7"/>
  <c r="I2001" i="7"/>
  <c r="I2000" i="7"/>
  <c r="I1999" i="7"/>
  <c r="I1998" i="7"/>
  <c r="I1997" i="7"/>
  <c r="I1996" i="7"/>
  <c r="I1995" i="7"/>
  <c r="I1994" i="7"/>
  <c r="I1993" i="7"/>
  <c r="I1992" i="7"/>
  <c r="I1991" i="7"/>
  <c r="I1990" i="7"/>
  <c r="I1989" i="7"/>
  <c r="I1988" i="7"/>
  <c r="I1987" i="7"/>
  <c r="I1986" i="7"/>
  <c r="I1985" i="7"/>
  <c r="I1984" i="7"/>
  <c r="I1983" i="7"/>
  <c r="I1982" i="7"/>
  <c r="I1981" i="7"/>
  <c r="I1980" i="7"/>
  <c r="I1979" i="7"/>
  <c r="I1978" i="7"/>
  <c r="I1977" i="7"/>
  <c r="I1976" i="7"/>
  <c r="I1975" i="7"/>
  <c r="I1974" i="7"/>
  <c r="I1973" i="7"/>
  <c r="I1972" i="7"/>
  <c r="I1971" i="7"/>
  <c r="I1970" i="7"/>
  <c r="I1969" i="7"/>
  <c r="I1968" i="7"/>
  <c r="I1967" i="7"/>
  <c r="I1966" i="7"/>
  <c r="I1965" i="7"/>
  <c r="I1964" i="7"/>
  <c r="I1963" i="7"/>
  <c r="I1962" i="7"/>
  <c r="I1961" i="7"/>
  <c r="I1960" i="7"/>
  <c r="I1959" i="7"/>
  <c r="I1958" i="7"/>
  <c r="I1957" i="7"/>
  <c r="I1956" i="7"/>
  <c r="I1955" i="7"/>
  <c r="I1954" i="7"/>
  <c r="I1953" i="7"/>
  <c r="I1952" i="7"/>
  <c r="I1951" i="7"/>
  <c r="I1950" i="7"/>
  <c r="I1949" i="7"/>
  <c r="I1948" i="7"/>
  <c r="I1947" i="7"/>
  <c r="I1946" i="7"/>
  <c r="I1945" i="7"/>
  <c r="I1944" i="7"/>
  <c r="I1943" i="7"/>
  <c r="I1942" i="7"/>
  <c r="I1941" i="7"/>
  <c r="I1940" i="7"/>
  <c r="I1939" i="7"/>
  <c r="I1938" i="7"/>
  <c r="I1937" i="7"/>
  <c r="I1936" i="7"/>
  <c r="I1935" i="7"/>
  <c r="I1934" i="7"/>
  <c r="I1933" i="7"/>
  <c r="I1932" i="7"/>
  <c r="I1931" i="7"/>
  <c r="I1930" i="7"/>
  <c r="I1929" i="7"/>
  <c r="I1928" i="7"/>
  <c r="I1927" i="7"/>
  <c r="I1926" i="7"/>
  <c r="I1925" i="7"/>
  <c r="I1924" i="7"/>
  <c r="I1923" i="7"/>
  <c r="I1922" i="7"/>
  <c r="I1921" i="7"/>
  <c r="I1920" i="7"/>
  <c r="I1919" i="7"/>
  <c r="I1918" i="7"/>
  <c r="I1917" i="7"/>
  <c r="I1916" i="7"/>
  <c r="I1915" i="7"/>
  <c r="I1914" i="7"/>
  <c r="I1913" i="7"/>
  <c r="I1912" i="7"/>
  <c r="I1911" i="7"/>
  <c r="I1910" i="7"/>
  <c r="I1909" i="7"/>
  <c r="I1908" i="7"/>
  <c r="I1907" i="7"/>
  <c r="I1906" i="7"/>
  <c r="I1905" i="7"/>
  <c r="I1904" i="7"/>
  <c r="I1903" i="7"/>
  <c r="I1902" i="7"/>
  <c r="I1901" i="7"/>
  <c r="I1900" i="7"/>
  <c r="I1899" i="7"/>
  <c r="I1898" i="7"/>
  <c r="I1897" i="7"/>
  <c r="I1896" i="7"/>
  <c r="I1895" i="7"/>
  <c r="I1894" i="7"/>
  <c r="I1893" i="7"/>
  <c r="I1892" i="7"/>
  <c r="I1891" i="7"/>
  <c r="I1890" i="7"/>
  <c r="I1889" i="7"/>
  <c r="I1888" i="7"/>
  <c r="I1887" i="7"/>
  <c r="I1886" i="7"/>
  <c r="I1885" i="7"/>
  <c r="I1884" i="7"/>
  <c r="I1883" i="7"/>
  <c r="I1882" i="7"/>
  <c r="I1881" i="7"/>
  <c r="I1880" i="7"/>
  <c r="I1879" i="7"/>
  <c r="I1878" i="7"/>
  <c r="I1877" i="7"/>
  <c r="I1876" i="7"/>
  <c r="I1875" i="7"/>
  <c r="I1874" i="7"/>
  <c r="I1873" i="7"/>
  <c r="I1872" i="7"/>
  <c r="I1871" i="7"/>
  <c r="I1870" i="7"/>
  <c r="I1869" i="7"/>
  <c r="I1868" i="7"/>
  <c r="I1867" i="7"/>
  <c r="I1866" i="7"/>
  <c r="I1865" i="7"/>
  <c r="I1864" i="7"/>
  <c r="I1863" i="7"/>
  <c r="I1862" i="7"/>
  <c r="I1861" i="7"/>
  <c r="I1860" i="7"/>
  <c r="I1859" i="7"/>
  <c r="I1858" i="7"/>
  <c r="I1857" i="7"/>
  <c r="I1856" i="7"/>
  <c r="I1855" i="7"/>
  <c r="I1854" i="7"/>
  <c r="I1853" i="7"/>
  <c r="I1852" i="7"/>
  <c r="I1851" i="7"/>
  <c r="I1850" i="7"/>
  <c r="I1849" i="7"/>
  <c r="I1848" i="7"/>
  <c r="I1847" i="7"/>
  <c r="I1846" i="7"/>
  <c r="I1845" i="7"/>
  <c r="I1844" i="7"/>
  <c r="I1843" i="7"/>
  <c r="I1842" i="7"/>
  <c r="I1841" i="7"/>
  <c r="I1840" i="7"/>
  <c r="I1839" i="7"/>
  <c r="I1838" i="7"/>
  <c r="I1837" i="7"/>
  <c r="I1836" i="7"/>
  <c r="I1835" i="7"/>
  <c r="I1834" i="7"/>
  <c r="I1833" i="7"/>
  <c r="I1832" i="7"/>
  <c r="I1831" i="7"/>
  <c r="I1830" i="7"/>
  <c r="I1829" i="7"/>
  <c r="I1828" i="7"/>
  <c r="I1827" i="7"/>
  <c r="I1826" i="7"/>
  <c r="I1825" i="7"/>
  <c r="I1824" i="7"/>
  <c r="I1823" i="7"/>
  <c r="I1822" i="7"/>
  <c r="I1821" i="7"/>
  <c r="I1820" i="7"/>
  <c r="I1819" i="7"/>
  <c r="I1818" i="7"/>
  <c r="I1817" i="7"/>
  <c r="I1816" i="7"/>
  <c r="I1815" i="7"/>
  <c r="I1814" i="7"/>
  <c r="I1813" i="7"/>
  <c r="I1812" i="7"/>
  <c r="I1811" i="7"/>
  <c r="I1810" i="7"/>
  <c r="I1809" i="7"/>
  <c r="I1808" i="7"/>
  <c r="I1807" i="7"/>
  <c r="I1806" i="7"/>
  <c r="I1805" i="7"/>
  <c r="I1804" i="7"/>
  <c r="I1803" i="7"/>
  <c r="I1802" i="7"/>
  <c r="I1801" i="7"/>
  <c r="I1800" i="7"/>
  <c r="I1799" i="7"/>
  <c r="I1798" i="7"/>
  <c r="I1797" i="7"/>
  <c r="I1796" i="7"/>
  <c r="I1795" i="7"/>
  <c r="I1794" i="7"/>
  <c r="I1793" i="7"/>
  <c r="I1792" i="7"/>
  <c r="I1791" i="7"/>
  <c r="I1790" i="7"/>
  <c r="I1789" i="7"/>
  <c r="I1788" i="7"/>
  <c r="I1787" i="7"/>
  <c r="I1786" i="7"/>
  <c r="I1785" i="7"/>
  <c r="I1784" i="7"/>
  <c r="I1783" i="7"/>
  <c r="I1782" i="7"/>
  <c r="I1781" i="7"/>
  <c r="I1780" i="7"/>
  <c r="I1779" i="7"/>
  <c r="I1778" i="7"/>
  <c r="I1777" i="7"/>
  <c r="I1776" i="7"/>
  <c r="I1775" i="7"/>
  <c r="I1774" i="7"/>
  <c r="I1773" i="7"/>
  <c r="I1772" i="7"/>
  <c r="I1771" i="7"/>
  <c r="I1770" i="7"/>
  <c r="I1769" i="7"/>
  <c r="I1768" i="7"/>
  <c r="I1767" i="7"/>
  <c r="I1766" i="7"/>
  <c r="I1765" i="7"/>
  <c r="I1764" i="7"/>
  <c r="I1763" i="7"/>
  <c r="I1762" i="7"/>
  <c r="I1761" i="7"/>
  <c r="I1760" i="7"/>
  <c r="I1759" i="7"/>
  <c r="I1758" i="7"/>
  <c r="I1757" i="7"/>
  <c r="I1756" i="7"/>
  <c r="I1755" i="7"/>
  <c r="I1754" i="7"/>
  <c r="I1753" i="7"/>
  <c r="I1752" i="7"/>
  <c r="I1751" i="7"/>
  <c r="I1750" i="7"/>
  <c r="I1749" i="7"/>
  <c r="I1748" i="7"/>
  <c r="I1747" i="7"/>
  <c r="I1746" i="7"/>
  <c r="I1745" i="7"/>
  <c r="I1744" i="7"/>
  <c r="I1743" i="7"/>
  <c r="I1742" i="7"/>
  <c r="I1741" i="7"/>
  <c r="I1740" i="7"/>
  <c r="I1739" i="7"/>
  <c r="I1738" i="7"/>
  <c r="I1737" i="7"/>
  <c r="I1736" i="7"/>
  <c r="I1735" i="7"/>
  <c r="I1734" i="7"/>
  <c r="I1733" i="7"/>
  <c r="I1732" i="7"/>
  <c r="I1731" i="7"/>
  <c r="I1730" i="7"/>
  <c r="I1729" i="7"/>
  <c r="I1728" i="7"/>
  <c r="I1727" i="7"/>
  <c r="I1726" i="7"/>
  <c r="I1725" i="7"/>
  <c r="I1724" i="7"/>
  <c r="I1723" i="7"/>
  <c r="I1722" i="7"/>
  <c r="I1721" i="7"/>
  <c r="I1720" i="7"/>
  <c r="I1719" i="7"/>
  <c r="I1718" i="7"/>
  <c r="I1717" i="7"/>
  <c r="I1716" i="7"/>
  <c r="I1715" i="7"/>
  <c r="I1714" i="7"/>
  <c r="I1713" i="7"/>
  <c r="I1712" i="7"/>
  <c r="I1711" i="7"/>
  <c r="I1710" i="7"/>
  <c r="I1709" i="7"/>
  <c r="I1708" i="7"/>
  <c r="I1707" i="7"/>
  <c r="I1706" i="7"/>
  <c r="I1705" i="7"/>
  <c r="I1704" i="7"/>
  <c r="I1703" i="7"/>
  <c r="I1702" i="7"/>
  <c r="I1701" i="7"/>
  <c r="I1700" i="7"/>
  <c r="I1699" i="7"/>
  <c r="I1698" i="7"/>
  <c r="I1697" i="7"/>
  <c r="I1696" i="7"/>
  <c r="I1695" i="7"/>
  <c r="I1694" i="7"/>
  <c r="I1693" i="7"/>
  <c r="I1692" i="7"/>
  <c r="I1691" i="7"/>
  <c r="I1690" i="7"/>
  <c r="I1689" i="7"/>
  <c r="I1688" i="7"/>
  <c r="I1687" i="7"/>
  <c r="I1686" i="7"/>
  <c r="I1685" i="7"/>
  <c r="I1684" i="7"/>
  <c r="I1683" i="7"/>
  <c r="I1682" i="7"/>
  <c r="I1681" i="7"/>
  <c r="I1680" i="7"/>
  <c r="I1679" i="7"/>
  <c r="I1678" i="7"/>
  <c r="I1677" i="7"/>
  <c r="I1676" i="7"/>
  <c r="I1675" i="7"/>
  <c r="I1674" i="7"/>
  <c r="I1673" i="7"/>
  <c r="I1672" i="7"/>
  <c r="I1671" i="7"/>
  <c r="I1670" i="7"/>
  <c r="I1669" i="7"/>
  <c r="I1668" i="7"/>
  <c r="I1667" i="7"/>
  <c r="I1666" i="7"/>
  <c r="I1665" i="7"/>
  <c r="I1664" i="7"/>
  <c r="I1663" i="7"/>
  <c r="I1662" i="7"/>
  <c r="I1661" i="7"/>
  <c r="I1660" i="7"/>
  <c r="I1659" i="7"/>
  <c r="I1658" i="7"/>
  <c r="I1657" i="7"/>
  <c r="I1656" i="7"/>
  <c r="I1655" i="7"/>
  <c r="I1654" i="7"/>
  <c r="I1653" i="7"/>
  <c r="I1652" i="7"/>
  <c r="I1651" i="7"/>
  <c r="I1650" i="7"/>
  <c r="I1649" i="7"/>
  <c r="I1648" i="7"/>
  <c r="I1647" i="7"/>
  <c r="I1646" i="7"/>
  <c r="I1645" i="7"/>
  <c r="I1644" i="7"/>
  <c r="I1643" i="7"/>
  <c r="I1642" i="7"/>
  <c r="I1641" i="7"/>
  <c r="I1640" i="7"/>
  <c r="I1639" i="7"/>
  <c r="I1638" i="7"/>
  <c r="I1637" i="7"/>
  <c r="I1636" i="7"/>
  <c r="I1635" i="7"/>
  <c r="I1634" i="7"/>
  <c r="I1633" i="7"/>
  <c r="I1632" i="7"/>
  <c r="I1631" i="7"/>
  <c r="I1630" i="7"/>
  <c r="I1629" i="7"/>
  <c r="I1628" i="7"/>
  <c r="I1627" i="7"/>
  <c r="I1626" i="7"/>
  <c r="I1625" i="7"/>
  <c r="I1624" i="7"/>
  <c r="I1623" i="7"/>
  <c r="I1622" i="7"/>
  <c r="I1621" i="7"/>
  <c r="I1620" i="7"/>
  <c r="I1619" i="7"/>
  <c r="I1618" i="7"/>
  <c r="I1617" i="7"/>
  <c r="I1616" i="7"/>
  <c r="I1615" i="7"/>
  <c r="I1614" i="7"/>
  <c r="I1613" i="7"/>
  <c r="I1612" i="7"/>
  <c r="I1611" i="7"/>
  <c r="I1610" i="7"/>
  <c r="I1609" i="7"/>
  <c r="I1608" i="7"/>
  <c r="I1607" i="7"/>
  <c r="I1606" i="7"/>
  <c r="I1605" i="7"/>
  <c r="I1604" i="7"/>
  <c r="I1603" i="7"/>
  <c r="I1602" i="7"/>
  <c r="I1601" i="7"/>
  <c r="I1600" i="7"/>
  <c r="I1599" i="7"/>
  <c r="I1598" i="7"/>
  <c r="I1597" i="7"/>
  <c r="I1596" i="7"/>
  <c r="I1595" i="7"/>
  <c r="I1594" i="7"/>
  <c r="I1593" i="7"/>
  <c r="I1592" i="7"/>
  <c r="I1591" i="7"/>
  <c r="I1590" i="7"/>
  <c r="I1589" i="7"/>
  <c r="I1588" i="7"/>
  <c r="I1587" i="7"/>
  <c r="I1586" i="7"/>
  <c r="I1585" i="7"/>
  <c r="I1584" i="7"/>
  <c r="I1583" i="7"/>
  <c r="I1582" i="7"/>
  <c r="I1581" i="7"/>
  <c r="I1580" i="7"/>
  <c r="I1579" i="7"/>
  <c r="I1578" i="7"/>
  <c r="I1577" i="7"/>
  <c r="I1576" i="7"/>
  <c r="I1575" i="7"/>
  <c r="I1574" i="7"/>
  <c r="I1573" i="7"/>
  <c r="I1572" i="7"/>
  <c r="I1571" i="7"/>
  <c r="I1570" i="7"/>
  <c r="I1569" i="7"/>
  <c r="I1568" i="7"/>
  <c r="I1567" i="7"/>
  <c r="I1566" i="7"/>
  <c r="I1565" i="7"/>
  <c r="I1564" i="7"/>
  <c r="I1563" i="7"/>
  <c r="I1562" i="7"/>
  <c r="I1561" i="7"/>
  <c r="I1560" i="7"/>
  <c r="I1559" i="7"/>
  <c r="I1558" i="7"/>
  <c r="I1557" i="7"/>
  <c r="I1556" i="7"/>
  <c r="I1555" i="7"/>
  <c r="I1554" i="7"/>
  <c r="I1553" i="7"/>
  <c r="I1552" i="7"/>
  <c r="I1551" i="7"/>
  <c r="I1550" i="7"/>
  <c r="I1549" i="7"/>
  <c r="I1548" i="7"/>
  <c r="I1547" i="7"/>
  <c r="I1546" i="7"/>
  <c r="I1545" i="7"/>
  <c r="I1544" i="7"/>
  <c r="I1543" i="7"/>
  <c r="I1542" i="7"/>
  <c r="I1541" i="7"/>
  <c r="I1540" i="7"/>
  <c r="I1539" i="7"/>
  <c r="I1538" i="7"/>
  <c r="I1537" i="7"/>
  <c r="I1536" i="7"/>
  <c r="I1535" i="7"/>
  <c r="I1534" i="7"/>
  <c r="I1533" i="7"/>
  <c r="I1532" i="7"/>
  <c r="I1531" i="7"/>
  <c r="I1530" i="7"/>
  <c r="I1529" i="7"/>
  <c r="I1528" i="7"/>
  <c r="I1527" i="7"/>
  <c r="I1526" i="7"/>
  <c r="I1525" i="7"/>
  <c r="I1524" i="7"/>
  <c r="I1523" i="7"/>
  <c r="I1522" i="7"/>
  <c r="I1521" i="7"/>
  <c r="I1520" i="7"/>
  <c r="I1519" i="7"/>
  <c r="I1518" i="7"/>
  <c r="I1517" i="7"/>
  <c r="I1516" i="7"/>
  <c r="I1515" i="7"/>
  <c r="I1514" i="7"/>
  <c r="I1513" i="7"/>
  <c r="I1512" i="7"/>
  <c r="I1511" i="7"/>
  <c r="I1510" i="7"/>
  <c r="I1509" i="7"/>
  <c r="I1508" i="7"/>
  <c r="I1507" i="7"/>
  <c r="I1506" i="7"/>
  <c r="I1505" i="7"/>
  <c r="I1504" i="7"/>
  <c r="I1503" i="7"/>
  <c r="I1502" i="7"/>
  <c r="I1501" i="7"/>
  <c r="I1500" i="7"/>
  <c r="I1499" i="7"/>
  <c r="I1498" i="7"/>
  <c r="I1497" i="7"/>
  <c r="I1496" i="7"/>
  <c r="I1495" i="7"/>
  <c r="I1494" i="7"/>
  <c r="I1493" i="7"/>
  <c r="I1492" i="7"/>
  <c r="I1491" i="7"/>
  <c r="I1490" i="7"/>
  <c r="I1489" i="7"/>
  <c r="I1488" i="7"/>
  <c r="I1487" i="7"/>
  <c r="I1486" i="7"/>
  <c r="I1485" i="7"/>
  <c r="I1484" i="7"/>
  <c r="I1483" i="7"/>
  <c r="I1482" i="7"/>
  <c r="I1481" i="7"/>
  <c r="I1480" i="7"/>
  <c r="I1479" i="7"/>
  <c r="I1478" i="7"/>
  <c r="I1477" i="7"/>
  <c r="I1476" i="7"/>
  <c r="I1475" i="7"/>
  <c r="I1474" i="7"/>
  <c r="I1473" i="7"/>
  <c r="I1472" i="7"/>
  <c r="I1471" i="7"/>
  <c r="I1470" i="7"/>
  <c r="I1469" i="7"/>
  <c r="I1468" i="7"/>
  <c r="I1467" i="7"/>
  <c r="I1466" i="7"/>
  <c r="I1465" i="7"/>
  <c r="I1464" i="7"/>
  <c r="I1463" i="7"/>
  <c r="I1462" i="7"/>
  <c r="I1461" i="7"/>
  <c r="I1460" i="7"/>
  <c r="I1459" i="7"/>
  <c r="I1458" i="7"/>
  <c r="I1457" i="7"/>
  <c r="I1456" i="7"/>
  <c r="I1455" i="7"/>
  <c r="I1454" i="7"/>
  <c r="I1453" i="7"/>
  <c r="I1452" i="7"/>
  <c r="I1451" i="7"/>
  <c r="I1450" i="7"/>
  <c r="I1449" i="7"/>
  <c r="I1448" i="7"/>
  <c r="I1447" i="7"/>
  <c r="I1446" i="7"/>
  <c r="I1445" i="7"/>
  <c r="I1444" i="7"/>
  <c r="I1443" i="7"/>
  <c r="I1442" i="7"/>
  <c r="I1441" i="7"/>
  <c r="I1440" i="7"/>
  <c r="I1439" i="7"/>
  <c r="I1438" i="7"/>
  <c r="I1437" i="7"/>
  <c r="I1436" i="7"/>
  <c r="I1435" i="7"/>
  <c r="I1434" i="7"/>
  <c r="I1433" i="7"/>
  <c r="I1432" i="7"/>
  <c r="I1431" i="7"/>
  <c r="I1430" i="7"/>
  <c r="I1429" i="7"/>
  <c r="I1428" i="7"/>
  <c r="I1427" i="7"/>
  <c r="I1426" i="7"/>
  <c r="I1425" i="7"/>
  <c r="I1424" i="7"/>
  <c r="I1423" i="7"/>
  <c r="I1422" i="7"/>
  <c r="I1421" i="7"/>
  <c r="I1420" i="7"/>
  <c r="I1419" i="7"/>
  <c r="I1418" i="7"/>
  <c r="I1417" i="7"/>
  <c r="I1416" i="7"/>
  <c r="I1415" i="7"/>
  <c r="I1414" i="7"/>
  <c r="I1413" i="7"/>
  <c r="I1412" i="7"/>
  <c r="I1411" i="7"/>
  <c r="I1410" i="7"/>
  <c r="I1409" i="7"/>
  <c r="I1408" i="7"/>
  <c r="I1407" i="7"/>
  <c r="I1406" i="7"/>
  <c r="I1405" i="7"/>
  <c r="I1404" i="7"/>
  <c r="I1403" i="7"/>
  <c r="I1402" i="7"/>
  <c r="I1401" i="7"/>
  <c r="I1400" i="7"/>
  <c r="I1399" i="7"/>
  <c r="I1398" i="7"/>
  <c r="I1397" i="7"/>
  <c r="I1396" i="7"/>
  <c r="I1395" i="7"/>
  <c r="I1394" i="7"/>
  <c r="I1393" i="7"/>
  <c r="I1392" i="7"/>
  <c r="I1391" i="7"/>
  <c r="I1390" i="7"/>
  <c r="I1389" i="7"/>
  <c r="I1388" i="7"/>
  <c r="I1387" i="7"/>
  <c r="I1386" i="7"/>
  <c r="I1385" i="7"/>
  <c r="I1384" i="7"/>
  <c r="I1383" i="7"/>
  <c r="I1382" i="7"/>
  <c r="I1381" i="7"/>
  <c r="I1380" i="7"/>
  <c r="I1379" i="7"/>
  <c r="I1378" i="7"/>
  <c r="I1377" i="7"/>
  <c r="I1376" i="7"/>
  <c r="I1375" i="7"/>
  <c r="I1374" i="7"/>
  <c r="I1373" i="7"/>
  <c r="I1372" i="7"/>
  <c r="I1371" i="7"/>
  <c r="I1370" i="7"/>
  <c r="I1369" i="7"/>
  <c r="I1368" i="7"/>
  <c r="I1367" i="7"/>
  <c r="I1366" i="7"/>
  <c r="I1365" i="7"/>
  <c r="I1364" i="7"/>
  <c r="I1363" i="7"/>
  <c r="I1362" i="7"/>
  <c r="I1361" i="7"/>
  <c r="I1360" i="7"/>
  <c r="I1359" i="7"/>
  <c r="I1358" i="7"/>
  <c r="I1357" i="7"/>
  <c r="I1356" i="7"/>
  <c r="I1355" i="7"/>
  <c r="I1354" i="7"/>
  <c r="I1353" i="7"/>
  <c r="I1352" i="7"/>
  <c r="I1351" i="7"/>
  <c r="I1350" i="7"/>
  <c r="I1349" i="7"/>
  <c r="I1348" i="7"/>
  <c r="I1347" i="7"/>
  <c r="I1346" i="7"/>
  <c r="I1345" i="7"/>
  <c r="I1344" i="7"/>
  <c r="I1343" i="7"/>
  <c r="I1342" i="7"/>
  <c r="I1341" i="7"/>
  <c r="I1340" i="7"/>
  <c r="I1339" i="7"/>
  <c r="I1338" i="7"/>
  <c r="I1337" i="7"/>
  <c r="I1336" i="7"/>
  <c r="I1335" i="7"/>
  <c r="I1334" i="7"/>
  <c r="I1333" i="7"/>
  <c r="I1332" i="7"/>
  <c r="I1331" i="7"/>
  <c r="I1330" i="7"/>
  <c r="I1329" i="7"/>
  <c r="I1328" i="7"/>
  <c r="I1327" i="7"/>
  <c r="I1326" i="7"/>
  <c r="I1325" i="7"/>
  <c r="I1324" i="7"/>
  <c r="I1323" i="7"/>
  <c r="I1322" i="7"/>
  <c r="I1321" i="7"/>
  <c r="I1320" i="7"/>
  <c r="I1319" i="7"/>
  <c r="I1318" i="7"/>
  <c r="I1317" i="7"/>
  <c r="I1316" i="7"/>
  <c r="I1315" i="7"/>
  <c r="I1314" i="7"/>
  <c r="I1313" i="7"/>
  <c r="I1312" i="7"/>
  <c r="I1311" i="7"/>
  <c r="I1310" i="7"/>
  <c r="I1309" i="7"/>
  <c r="I1308" i="7"/>
  <c r="I1307" i="7"/>
  <c r="I1306" i="7"/>
  <c r="I1305" i="7"/>
  <c r="I1304" i="7"/>
  <c r="I1303" i="7"/>
  <c r="I1302" i="7"/>
  <c r="I1301" i="7"/>
  <c r="I1300" i="7"/>
  <c r="I1299" i="7"/>
  <c r="I1298" i="7"/>
  <c r="I1297" i="7"/>
  <c r="I1296" i="7"/>
  <c r="I1295" i="7"/>
  <c r="I1294" i="7"/>
  <c r="I1293" i="7"/>
  <c r="I1292"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I1265" i="7"/>
  <c r="I1264" i="7"/>
  <c r="I1263" i="7"/>
  <c r="I1262" i="7"/>
  <c r="I1261" i="7"/>
  <c r="I1260" i="7"/>
  <c r="I1259" i="7"/>
  <c r="I1258" i="7"/>
  <c r="I1257" i="7"/>
  <c r="I1256" i="7"/>
  <c r="I1255" i="7"/>
  <c r="I1254" i="7"/>
  <c r="I1253" i="7"/>
  <c r="I1252" i="7"/>
  <c r="I1251" i="7"/>
  <c r="I1250" i="7"/>
  <c r="I1249" i="7"/>
  <c r="I1248" i="7"/>
  <c r="I1247" i="7"/>
  <c r="I1246" i="7"/>
  <c r="I1245" i="7"/>
  <c r="I1244" i="7"/>
  <c r="I1243" i="7"/>
  <c r="I1242" i="7"/>
  <c r="I1241" i="7"/>
  <c r="I1240" i="7"/>
  <c r="I1239" i="7"/>
  <c r="I1238" i="7"/>
  <c r="I1237" i="7"/>
  <c r="I1236" i="7"/>
  <c r="I1235" i="7"/>
  <c r="I1234" i="7"/>
  <c r="I1233" i="7"/>
  <c r="I1232" i="7"/>
  <c r="I1231" i="7"/>
  <c r="I1230" i="7"/>
  <c r="I1229" i="7"/>
  <c r="I1228" i="7"/>
  <c r="I1227" i="7"/>
  <c r="I1226" i="7"/>
  <c r="I1225" i="7"/>
  <c r="I1224" i="7"/>
  <c r="I1223" i="7"/>
  <c r="I1222" i="7"/>
  <c r="I1221" i="7"/>
  <c r="I1220" i="7"/>
  <c r="I1219" i="7"/>
  <c r="I1218" i="7"/>
  <c r="I1217" i="7"/>
  <c r="I1216" i="7"/>
  <c r="I1215" i="7"/>
  <c r="I1214" i="7"/>
  <c r="I1213" i="7"/>
  <c r="I1212" i="7"/>
  <c r="I1211" i="7"/>
  <c r="I1210" i="7"/>
  <c r="I1209" i="7"/>
  <c r="I1208" i="7"/>
  <c r="I1207" i="7"/>
  <c r="I1206" i="7"/>
  <c r="I1205" i="7"/>
  <c r="I1204" i="7"/>
  <c r="I1203" i="7"/>
  <c r="I1202" i="7"/>
  <c r="I1201" i="7"/>
  <c r="I1200" i="7"/>
  <c r="I1199" i="7"/>
  <c r="I1198" i="7"/>
  <c r="I1197" i="7"/>
  <c r="I1196" i="7"/>
  <c r="I1195" i="7"/>
  <c r="I1194" i="7"/>
  <c r="I1193" i="7"/>
  <c r="I1192" i="7"/>
  <c r="I1191" i="7"/>
  <c r="I1190" i="7"/>
  <c r="I1189" i="7"/>
  <c r="I1188" i="7"/>
  <c r="I1187" i="7"/>
  <c r="I1186" i="7"/>
  <c r="I1185" i="7"/>
  <c r="I1184" i="7"/>
  <c r="I1183" i="7"/>
  <c r="I1182" i="7"/>
  <c r="I1181" i="7"/>
  <c r="I1180" i="7"/>
  <c r="I1179" i="7"/>
  <c r="I1178" i="7"/>
  <c r="I1177" i="7"/>
  <c r="I1176" i="7"/>
  <c r="I1175" i="7"/>
  <c r="I1174" i="7"/>
  <c r="I1173" i="7"/>
  <c r="I1172" i="7"/>
  <c r="I1171" i="7"/>
  <c r="I1170" i="7"/>
  <c r="I1169" i="7"/>
  <c r="I1168" i="7"/>
  <c r="I1167" i="7"/>
  <c r="I1166" i="7"/>
  <c r="I1165" i="7"/>
  <c r="I1164" i="7"/>
  <c r="I1163" i="7"/>
  <c r="I1162" i="7"/>
  <c r="I1161" i="7"/>
  <c r="I1160" i="7"/>
  <c r="I1159" i="7"/>
  <c r="I1158" i="7"/>
  <c r="I1157" i="7"/>
  <c r="I1156" i="7"/>
  <c r="I1155" i="7"/>
  <c r="I1154" i="7"/>
  <c r="I1153" i="7"/>
  <c r="I1152" i="7"/>
  <c r="I1151" i="7"/>
  <c r="I1150" i="7"/>
  <c r="I1149" i="7"/>
  <c r="I1148" i="7"/>
  <c r="I1147" i="7"/>
  <c r="I1146" i="7"/>
  <c r="I1145" i="7"/>
  <c r="I1144" i="7"/>
  <c r="I1143" i="7"/>
  <c r="I1142" i="7"/>
  <c r="I1141" i="7"/>
  <c r="I1140" i="7"/>
  <c r="I1139" i="7"/>
  <c r="I1138" i="7"/>
  <c r="I1137" i="7"/>
  <c r="I1136" i="7"/>
  <c r="I1135" i="7"/>
  <c r="I1134" i="7"/>
  <c r="I1133" i="7"/>
  <c r="I1132" i="7"/>
  <c r="I1131" i="7"/>
  <c r="I1130" i="7"/>
  <c r="I1129" i="7"/>
  <c r="I1128" i="7"/>
  <c r="I1127" i="7"/>
  <c r="I1126" i="7"/>
  <c r="I1125" i="7"/>
  <c r="I1124" i="7"/>
  <c r="I1123" i="7"/>
  <c r="I1122" i="7"/>
  <c r="I1121" i="7"/>
  <c r="I1120" i="7"/>
  <c r="I1119" i="7"/>
  <c r="I1118" i="7"/>
  <c r="I1117" i="7"/>
  <c r="I1116" i="7"/>
  <c r="I1115" i="7"/>
  <c r="I1114" i="7"/>
  <c r="I1113" i="7"/>
  <c r="I1112" i="7"/>
  <c r="I1111" i="7"/>
  <c r="I1110" i="7"/>
  <c r="I1109" i="7"/>
  <c r="I1108" i="7"/>
  <c r="I1107" i="7"/>
  <c r="I1106" i="7"/>
  <c r="I1105" i="7"/>
  <c r="I1104" i="7"/>
  <c r="I1103" i="7"/>
  <c r="I1102" i="7"/>
  <c r="I1101" i="7"/>
  <c r="I1100" i="7"/>
  <c r="I1099" i="7"/>
  <c r="I1098" i="7"/>
  <c r="I1097" i="7"/>
  <c r="I1096" i="7"/>
  <c r="I1095" i="7"/>
  <c r="I1094" i="7"/>
  <c r="I1093" i="7"/>
  <c r="I1092" i="7"/>
  <c r="I1091" i="7"/>
  <c r="I1090" i="7"/>
  <c r="I1089" i="7"/>
  <c r="I1088" i="7"/>
  <c r="I1087" i="7"/>
  <c r="I1086" i="7"/>
  <c r="I1085" i="7"/>
  <c r="I1084" i="7"/>
  <c r="I1083" i="7"/>
  <c r="I1082" i="7"/>
  <c r="I1081" i="7"/>
  <c r="I1080" i="7"/>
  <c r="I1079" i="7"/>
  <c r="I1078" i="7"/>
  <c r="I1077" i="7"/>
  <c r="I1076" i="7"/>
  <c r="I1075" i="7"/>
  <c r="I1074" i="7"/>
  <c r="I1073" i="7"/>
  <c r="I1072" i="7"/>
  <c r="I1071" i="7"/>
  <c r="I1070" i="7"/>
  <c r="I1069" i="7"/>
  <c r="I1068" i="7"/>
  <c r="I1067" i="7"/>
  <c r="I1066" i="7"/>
  <c r="I1065" i="7"/>
  <c r="I1064" i="7"/>
  <c r="I1063" i="7"/>
  <c r="I1062" i="7"/>
  <c r="I1061" i="7"/>
  <c r="I1060" i="7"/>
  <c r="I1059" i="7"/>
  <c r="I1058" i="7"/>
  <c r="I1057" i="7"/>
  <c r="I1056" i="7"/>
  <c r="I1055" i="7"/>
  <c r="I1054" i="7"/>
  <c r="I1053" i="7"/>
  <c r="I1052" i="7"/>
  <c r="I1051" i="7"/>
  <c r="I1050" i="7"/>
  <c r="I1049" i="7"/>
  <c r="I1048" i="7"/>
  <c r="I1047" i="7"/>
  <c r="I1046" i="7"/>
  <c r="I1045" i="7"/>
  <c r="I1044" i="7"/>
  <c r="I1043" i="7"/>
  <c r="I1042" i="7"/>
  <c r="I1041" i="7"/>
  <c r="I1040" i="7"/>
  <c r="I1039" i="7"/>
  <c r="I1038" i="7"/>
  <c r="I1037" i="7"/>
  <c r="I1036" i="7"/>
  <c r="I1035" i="7"/>
  <c r="I1034" i="7"/>
  <c r="I1033" i="7"/>
  <c r="I1032" i="7"/>
  <c r="I1031" i="7"/>
  <c r="I1030" i="7"/>
  <c r="I1029" i="7"/>
  <c r="I1028" i="7"/>
  <c r="I1027" i="7"/>
  <c r="I1026" i="7"/>
  <c r="I1025" i="7"/>
  <c r="I1024" i="7"/>
  <c r="I1023" i="7"/>
  <c r="I1022" i="7"/>
  <c r="I1021" i="7"/>
  <c r="I1020" i="7"/>
  <c r="I1019" i="7"/>
  <c r="I1018" i="7"/>
  <c r="I1017" i="7"/>
  <c r="I1016" i="7"/>
  <c r="I1015" i="7"/>
  <c r="I1014" i="7"/>
  <c r="I1013" i="7"/>
  <c r="I1012" i="7"/>
  <c r="I1011" i="7"/>
  <c r="I1010" i="7"/>
  <c r="I1009" i="7"/>
  <c r="I1008" i="7"/>
  <c r="I1007" i="7"/>
  <c r="I1006" i="7"/>
  <c r="I1005" i="7"/>
  <c r="I1004" i="7"/>
  <c r="I1003" i="7"/>
  <c r="I1002" i="7"/>
  <c r="I1001" i="7"/>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I10" i="7"/>
  <c r="I9" i="7"/>
  <c r="I8" i="7"/>
  <c r="I7" i="7"/>
  <c r="I5" i="7"/>
  <c r="I4" i="7"/>
  <c r="I3" i="7"/>
  <c r="I2" i="7"/>
  <c r="A7" i="14" l="1"/>
  <c r="A4" i="14" s="1"/>
  <c r="J2" i="7"/>
  <c r="J3" i="7"/>
  <c r="J4" i="7"/>
  <c r="J5"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372" i="7"/>
  <c r="J373" i="7"/>
  <c r="J374" i="7"/>
  <c r="J375" i="7"/>
  <c r="J376" i="7"/>
  <c r="J377" i="7"/>
  <c r="J378" i="7"/>
  <c r="J379" i="7"/>
  <c r="J380" i="7"/>
  <c r="J381" i="7"/>
  <c r="J382" i="7"/>
  <c r="J383" i="7"/>
  <c r="J384" i="7"/>
  <c r="J385" i="7"/>
  <c r="J386" i="7"/>
  <c r="J387" i="7"/>
  <c r="J388" i="7"/>
  <c r="J389" i="7"/>
  <c r="J390" i="7"/>
  <c r="J391" i="7"/>
  <c r="J392" i="7"/>
  <c r="J393" i="7"/>
  <c r="J394" i="7"/>
  <c r="J395" i="7"/>
  <c r="J396" i="7"/>
  <c r="J397" i="7"/>
  <c r="J398" i="7"/>
  <c r="J399" i="7"/>
  <c r="J400" i="7"/>
  <c r="J401" i="7"/>
  <c r="J402" i="7"/>
  <c r="J403" i="7"/>
  <c r="J404" i="7"/>
  <c r="J405" i="7"/>
  <c r="J406" i="7"/>
  <c r="J407" i="7"/>
  <c r="J408" i="7"/>
  <c r="J409" i="7"/>
  <c r="J410" i="7"/>
  <c r="J411" i="7"/>
  <c r="J412" i="7"/>
  <c r="J413" i="7"/>
  <c r="J414" i="7"/>
  <c r="J415" i="7"/>
  <c r="J416" i="7"/>
  <c r="J417" i="7"/>
  <c r="J418" i="7"/>
  <c r="J419" i="7"/>
  <c r="J420" i="7"/>
  <c r="J421" i="7"/>
  <c r="J422" i="7"/>
  <c r="J423" i="7"/>
  <c r="J424" i="7"/>
  <c r="J425" i="7"/>
  <c r="J426" i="7"/>
  <c r="J427" i="7"/>
  <c r="J428" i="7"/>
  <c r="J429" i="7"/>
  <c r="J430" i="7"/>
  <c r="J431" i="7"/>
  <c r="J432" i="7"/>
  <c r="J433" i="7"/>
  <c r="J434" i="7"/>
  <c r="J435" i="7"/>
  <c r="J436" i="7"/>
  <c r="J437" i="7"/>
  <c r="J438" i="7"/>
  <c r="J439" i="7"/>
  <c r="J440" i="7"/>
  <c r="J441" i="7"/>
  <c r="J442" i="7"/>
  <c r="J443" i="7"/>
  <c r="J444" i="7"/>
  <c r="J445" i="7"/>
  <c r="J446" i="7"/>
  <c r="J447" i="7"/>
  <c r="J448" i="7"/>
  <c r="J449" i="7"/>
  <c r="J450" i="7"/>
  <c r="J451" i="7"/>
  <c r="J452" i="7"/>
  <c r="J453" i="7"/>
  <c r="J454" i="7"/>
  <c r="J455" i="7"/>
  <c r="J456" i="7"/>
  <c r="J457" i="7"/>
  <c r="J458" i="7"/>
  <c r="J459" i="7"/>
  <c r="J460" i="7"/>
  <c r="J461" i="7"/>
  <c r="J462" i="7"/>
  <c r="J463" i="7"/>
  <c r="J464" i="7"/>
  <c r="J465" i="7"/>
  <c r="J466" i="7"/>
  <c r="J467" i="7"/>
  <c r="J468" i="7"/>
  <c r="J469" i="7"/>
  <c r="J470" i="7"/>
  <c r="J471" i="7"/>
  <c r="J472" i="7"/>
  <c r="J473" i="7"/>
  <c r="J474" i="7"/>
  <c r="J475" i="7"/>
  <c r="J476" i="7"/>
  <c r="J477" i="7"/>
  <c r="J478" i="7"/>
  <c r="J479" i="7"/>
  <c r="J480" i="7"/>
  <c r="J481" i="7"/>
  <c r="J482" i="7"/>
  <c r="J483" i="7"/>
  <c r="J484" i="7"/>
  <c r="J485" i="7"/>
  <c r="J486" i="7"/>
  <c r="J487" i="7"/>
  <c r="J488" i="7"/>
  <c r="J489" i="7"/>
  <c r="J490" i="7"/>
  <c r="J491" i="7"/>
  <c r="J492" i="7"/>
  <c r="J493" i="7"/>
  <c r="J494" i="7"/>
  <c r="J495" i="7"/>
  <c r="J496" i="7"/>
  <c r="J497" i="7"/>
  <c r="J498" i="7"/>
  <c r="J499" i="7"/>
  <c r="J500" i="7"/>
  <c r="J501" i="7"/>
  <c r="J502" i="7"/>
  <c r="J503" i="7"/>
  <c r="J504" i="7"/>
  <c r="J505" i="7"/>
  <c r="J506" i="7"/>
  <c r="J507" i="7"/>
  <c r="J508" i="7"/>
  <c r="J509" i="7"/>
  <c r="J510" i="7"/>
  <c r="J511" i="7"/>
  <c r="J512" i="7"/>
  <c r="J513" i="7"/>
  <c r="J514" i="7"/>
  <c r="J515" i="7"/>
  <c r="J516" i="7"/>
  <c r="J517" i="7"/>
  <c r="J518" i="7"/>
  <c r="J519" i="7"/>
  <c r="J520" i="7"/>
  <c r="J521" i="7"/>
  <c r="J522" i="7"/>
  <c r="J523" i="7"/>
  <c r="J524" i="7"/>
  <c r="J525" i="7"/>
  <c r="J526" i="7"/>
  <c r="J527" i="7"/>
  <c r="J528" i="7"/>
  <c r="J529" i="7"/>
  <c r="J530" i="7"/>
  <c r="J531" i="7"/>
  <c r="J532" i="7"/>
  <c r="J533" i="7"/>
  <c r="J534" i="7"/>
  <c r="J535" i="7"/>
  <c r="J536" i="7"/>
  <c r="J537" i="7"/>
  <c r="J538" i="7"/>
  <c r="J539" i="7"/>
  <c r="J540" i="7"/>
  <c r="J541" i="7"/>
  <c r="J542" i="7"/>
  <c r="J543" i="7"/>
  <c r="J544" i="7"/>
  <c r="J545" i="7"/>
  <c r="J546" i="7"/>
  <c r="J547" i="7"/>
  <c r="J548" i="7"/>
  <c r="J549" i="7"/>
  <c r="J550" i="7"/>
  <c r="J551" i="7"/>
  <c r="J552" i="7"/>
  <c r="J553" i="7"/>
  <c r="J554" i="7"/>
  <c r="J555" i="7"/>
  <c r="J556" i="7"/>
  <c r="J557" i="7"/>
  <c r="J558" i="7"/>
  <c r="J559" i="7"/>
  <c r="J560" i="7"/>
  <c r="J561" i="7"/>
  <c r="J562" i="7"/>
  <c r="J563" i="7"/>
  <c r="J564" i="7"/>
  <c r="J565" i="7"/>
  <c r="J566" i="7"/>
  <c r="J567" i="7"/>
  <c r="J568" i="7"/>
  <c r="J569" i="7"/>
  <c r="J570" i="7"/>
  <c r="J571" i="7"/>
  <c r="J572" i="7"/>
  <c r="J573" i="7"/>
  <c r="J574" i="7"/>
  <c r="J575" i="7"/>
  <c r="J576" i="7"/>
  <c r="J577" i="7"/>
  <c r="J578" i="7"/>
  <c r="J579" i="7"/>
  <c r="J580" i="7"/>
  <c r="J581" i="7"/>
  <c r="J582" i="7"/>
  <c r="J583" i="7"/>
  <c r="J584" i="7"/>
  <c r="J585" i="7"/>
  <c r="J586" i="7"/>
  <c r="J587" i="7"/>
  <c r="J588" i="7"/>
  <c r="J589" i="7"/>
  <c r="J590" i="7"/>
  <c r="J591" i="7"/>
  <c r="J592" i="7"/>
  <c r="J593" i="7"/>
  <c r="J594" i="7"/>
  <c r="J595" i="7"/>
  <c r="J596" i="7"/>
  <c r="J597" i="7"/>
  <c r="J598" i="7"/>
  <c r="J599" i="7"/>
  <c r="J600" i="7"/>
  <c r="J601" i="7"/>
  <c r="J602" i="7"/>
  <c r="J603" i="7"/>
  <c r="J604" i="7"/>
  <c r="J605" i="7"/>
  <c r="J606" i="7"/>
  <c r="J607" i="7"/>
  <c r="J608" i="7"/>
  <c r="J609" i="7"/>
  <c r="J610" i="7"/>
  <c r="J611" i="7"/>
  <c r="J612" i="7"/>
  <c r="J613" i="7"/>
  <c r="J614" i="7"/>
  <c r="J615" i="7"/>
  <c r="J616" i="7"/>
  <c r="J617" i="7"/>
  <c r="J618" i="7"/>
  <c r="J619" i="7"/>
  <c r="J620" i="7"/>
  <c r="J621" i="7"/>
  <c r="J622" i="7"/>
  <c r="J623" i="7"/>
  <c r="J624" i="7"/>
  <c r="J625" i="7"/>
  <c r="J626" i="7"/>
  <c r="J627" i="7"/>
  <c r="J628" i="7"/>
  <c r="J629" i="7"/>
  <c r="J630" i="7"/>
  <c r="J631" i="7"/>
  <c r="J632" i="7"/>
  <c r="J633" i="7"/>
  <c r="J634" i="7"/>
  <c r="J635" i="7"/>
  <c r="J636" i="7"/>
  <c r="J637" i="7"/>
  <c r="J638" i="7"/>
  <c r="J639" i="7"/>
  <c r="J640" i="7"/>
  <c r="J641" i="7"/>
  <c r="J642" i="7"/>
  <c r="J643" i="7"/>
  <c r="J644" i="7"/>
  <c r="J645" i="7"/>
  <c r="J646" i="7"/>
  <c r="J647" i="7"/>
  <c r="J648" i="7"/>
  <c r="J649" i="7"/>
  <c r="J650" i="7"/>
  <c r="J651" i="7"/>
  <c r="J652" i="7"/>
  <c r="J653" i="7"/>
  <c r="J654" i="7"/>
  <c r="J655" i="7"/>
  <c r="J656" i="7"/>
  <c r="J657" i="7"/>
  <c r="J658" i="7"/>
  <c r="J659" i="7"/>
  <c r="J660" i="7"/>
  <c r="J661" i="7"/>
  <c r="J662" i="7"/>
  <c r="J663" i="7"/>
  <c r="J664" i="7"/>
  <c r="J665" i="7"/>
  <c r="J666" i="7"/>
  <c r="J667" i="7"/>
  <c r="J668" i="7"/>
  <c r="J669" i="7"/>
  <c r="J670" i="7"/>
  <c r="J671" i="7"/>
  <c r="J672" i="7"/>
  <c r="J673" i="7"/>
  <c r="J674" i="7"/>
  <c r="J675" i="7"/>
  <c r="J676" i="7"/>
  <c r="J677" i="7"/>
  <c r="J678" i="7"/>
  <c r="J679" i="7"/>
  <c r="J680" i="7"/>
  <c r="J681" i="7"/>
  <c r="J682" i="7"/>
  <c r="J683" i="7"/>
  <c r="J684" i="7"/>
  <c r="J685" i="7"/>
  <c r="J686" i="7"/>
  <c r="J687" i="7"/>
  <c r="J688" i="7"/>
  <c r="J689" i="7"/>
  <c r="J690" i="7"/>
  <c r="J691" i="7"/>
  <c r="J692" i="7"/>
  <c r="J693" i="7"/>
  <c r="J694" i="7"/>
  <c r="J695" i="7"/>
  <c r="J696" i="7"/>
  <c r="J697" i="7"/>
  <c r="J698" i="7"/>
  <c r="J699" i="7"/>
  <c r="J700" i="7"/>
  <c r="J701" i="7"/>
  <c r="J702" i="7"/>
  <c r="J703" i="7"/>
  <c r="J704" i="7"/>
  <c r="J705" i="7"/>
  <c r="J706" i="7"/>
  <c r="J707" i="7"/>
  <c r="J708" i="7"/>
  <c r="J709" i="7"/>
  <c r="J710" i="7"/>
  <c r="J711" i="7"/>
  <c r="J712" i="7"/>
  <c r="J713" i="7"/>
  <c r="J714" i="7"/>
  <c r="J715" i="7"/>
  <c r="J716" i="7"/>
  <c r="J717" i="7"/>
  <c r="J718" i="7"/>
  <c r="J719" i="7"/>
  <c r="J720" i="7"/>
  <c r="J721" i="7"/>
  <c r="J722" i="7"/>
  <c r="J723" i="7"/>
  <c r="J724" i="7"/>
  <c r="J725" i="7"/>
  <c r="J726" i="7"/>
  <c r="J727" i="7"/>
  <c r="J728" i="7"/>
  <c r="J729" i="7"/>
  <c r="J730" i="7"/>
  <c r="J731" i="7"/>
  <c r="J732" i="7"/>
  <c r="J733" i="7"/>
  <c r="J734" i="7"/>
  <c r="J735" i="7"/>
  <c r="J736" i="7"/>
  <c r="J737" i="7"/>
  <c r="J738" i="7"/>
  <c r="J739" i="7"/>
  <c r="J740" i="7"/>
  <c r="J741" i="7"/>
  <c r="J742" i="7"/>
  <c r="J743" i="7"/>
  <c r="J744" i="7"/>
  <c r="J745" i="7"/>
  <c r="J746" i="7"/>
  <c r="J747" i="7"/>
  <c r="J748" i="7"/>
  <c r="J749" i="7"/>
  <c r="J750" i="7"/>
  <c r="J751" i="7"/>
  <c r="J752" i="7"/>
  <c r="J753" i="7"/>
  <c r="J754" i="7"/>
  <c r="J755" i="7"/>
  <c r="J756" i="7"/>
  <c r="J757" i="7"/>
  <c r="J758" i="7"/>
  <c r="J759" i="7"/>
  <c r="J760" i="7"/>
  <c r="J761" i="7"/>
  <c r="J762" i="7"/>
  <c r="J763" i="7"/>
  <c r="J764" i="7"/>
  <c r="J765" i="7"/>
  <c r="J766" i="7"/>
  <c r="J767" i="7"/>
  <c r="J768" i="7"/>
  <c r="J769" i="7"/>
  <c r="J770" i="7"/>
  <c r="J771" i="7"/>
  <c r="J772" i="7"/>
  <c r="J773" i="7"/>
  <c r="J774" i="7"/>
  <c r="J775" i="7"/>
  <c r="J776" i="7"/>
  <c r="J777" i="7"/>
  <c r="J778" i="7"/>
  <c r="J779" i="7"/>
  <c r="J780" i="7"/>
  <c r="J781" i="7"/>
  <c r="J782" i="7"/>
  <c r="J783" i="7"/>
  <c r="J784" i="7"/>
  <c r="J785" i="7"/>
  <c r="J786" i="7"/>
  <c r="J787" i="7"/>
  <c r="J788" i="7"/>
  <c r="J789" i="7"/>
  <c r="J790" i="7"/>
  <c r="J791" i="7"/>
  <c r="J792" i="7"/>
  <c r="J793" i="7"/>
  <c r="J794" i="7"/>
  <c r="J795" i="7"/>
  <c r="J796" i="7"/>
  <c r="J797" i="7"/>
  <c r="J798" i="7"/>
  <c r="J799" i="7"/>
  <c r="J800" i="7"/>
  <c r="J801" i="7"/>
  <c r="J802" i="7"/>
  <c r="J803" i="7"/>
  <c r="J804" i="7"/>
  <c r="J805" i="7"/>
  <c r="J806" i="7"/>
  <c r="J807" i="7"/>
  <c r="J808" i="7"/>
  <c r="J809" i="7"/>
  <c r="J810" i="7"/>
  <c r="J811" i="7"/>
  <c r="J812" i="7"/>
  <c r="J813" i="7"/>
  <c r="J814" i="7"/>
  <c r="J815" i="7"/>
  <c r="J816" i="7"/>
  <c r="J817" i="7"/>
  <c r="J818" i="7"/>
  <c r="J819" i="7"/>
  <c r="J820" i="7"/>
  <c r="J821" i="7"/>
  <c r="J822" i="7"/>
  <c r="J823" i="7"/>
  <c r="J824" i="7"/>
  <c r="J825" i="7"/>
  <c r="J826" i="7"/>
  <c r="J827" i="7"/>
  <c r="J828" i="7"/>
  <c r="J829" i="7"/>
  <c r="J830" i="7"/>
  <c r="J831" i="7"/>
  <c r="J832" i="7"/>
  <c r="J833" i="7"/>
  <c r="J834" i="7"/>
  <c r="J835" i="7"/>
  <c r="J836" i="7"/>
  <c r="J837" i="7"/>
  <c r="J838" i="7"/>
  <c r="J839" i="7"/>
  <c r="J840" i="7"/>
  <c r="J841" i="7"/>
  <c r="J842" i="7"/>
  <c r="J843" i="7"/>
  <c r="J844" i="7"/>
  <c r="J845" i="7"/>
  <c r="J846" i="7"/>
  <c r="J847" i="7"/>
  <c r="J848" i="7"/>
  <c r="J849" i="7"/>
  <c r="J850" i="7"/>
  <c r="J851" i="7"/>
  <c r="J852" i="7"/>
  <c r="J853" i="7"/>
  <c r="J854" i="7"/>
  <c r="J855" i="7"/>
  <c r="J856" i="7"/>
  <c r="J857" i="7"/>
  <c r="J858" i="7"/>
  <c r="J859" i="7"/>
  <c r="J860" i="7"/>
  <c r="J861" i="7"/>
  <c r="J862" i="7"/>
  <c r="J863" i="7"/>
  <c r="J864" i="7"/>
  <c r="J865" i="7"/>
  <c r="J866" i="7"/>
  <c r="J867" i="7"/>
  <c r="J868" i="7"/>
  <c r="J869" i="7"/>
  <c r="J870" i="7"/>
  <c r="J871" i="7"/>
  <c r="J872" i="7"/>
  <c r="J873" i="7"/>
  <c r="J874" i="7"/>
  <c r="J875" i="7"/>
  <c r="J876" i="7"/>
  <c r="J877" i="7"/>
  <c r="J878" i="7"/>
  <c r="J879" i="7"/>
  <c r="J880" i="7"/>
  <c r="J881" i="7"/>
  <c r="J882" i="7"/>
  <c r="J883" i="7"/>
  <c r="J884" i="7"/>
  <c r="J885" i="7"/>
  <c r="J886" i="7"/>
  <c r="J887" i="7"/>
  <c r="J888" i="7"/>
  <c r="J889" i="7"/>
  <c r="J890" i="7"/>
  <c r="J891" i="7"/>
  <c r="J892" i="7"/>
  <c r="J893" i="7"/>
  <c r="J894" i="7"/>
  <c r="J895" i="7"/>
  <c r="J896" i="7"/>
  <c r="J897" i="7"/>
  <c r="J898" i="7"/>
  <c r="J899" i="7"/>
  <c r="J900" i="7"/>
  <c r="J901" i="7"/>
  <c r="J902" i="7"/>
  <c r="J903" i="7"/>
  <c r="J904" i="7"/>
  <c r="J905" i="7"/>
  <c r="J906" i="7"/>
  <c r="J907" i="7"/>
  <c r="J908" i="7"/>
  <c r="J909" i="7"/>
  <c r="J910" i="7"/>
  <c r="J911" i="7"/>
  <c r="J912" i="7"/>
  <c r="J913" i="7"/>
  <c r="J914" i="7"/>
  <c r="J915" i="7"/>
  <c r="J916" i="7"/>
  <c r="J917" i="7"/>
  <c r="J918" i="7"/>
  <c r="J919" i="7"/>
  <c r="J920" i="7"/>
  <c r="J921" i="7"/>
  <c r="J922" i="7"/>
  <c r="J923" i="7"/>
  <c r="J924" i="7"/>
  <c r="J925" i="7"/>
  <c r="J926" i="7"/>
  <c r="J927" i="7"/>
  <c r="J928" i="7"/>
  <c r="J929" i="7"/>
  <c r="J930" i="7"/>
  <c r="J931" i="7"/>
  <c r="J932" i="7"/>
  <c r="J933" i="7"/>
  <c r="J934" i="7"/>
  <c r="J935" i="7"/>
  <c r="J936" i="7"/>
  <c r="J937" i="7"/>
  <c r="J938" i="7"/>
  <c r="J939" i="7"/>
  <c r="J940" i="7"/>
  <c r="J941" i="7"/>
  <c r="J942" i="7"/>
  <c r="J943" i="7"/>
  <c r="J944" i="7"/>
  <c r="J945" i="7"/>
  <c r="J946" i="7"/>
  <c r="J947" i="7"/>
  <c r="J948" i="7"/>
  <c r="J949" i="7"/>
  <c r="J950" i="7"/>
  <c r="J951" i="7"/>
  <c r="J952" i="7"/>
  <c r="J953" i="7"/>
  <c r="J954" i="7"/>
  <c r="J955" i="7"/>
  <c r="J956" i="7"/>
  <c r="J957" i="7"/>
  <c r="J958" i="7"/>
  <c r="J959" i="7"/>
  <c r="J960" i="7"/>
  <c r="J961" i="7"/>
  <c r="J962" i="7"/>
  <c r="J963" i="7"/>
  <c r="J964" i="7"/>
  <c r="J965" i="7"/>
  <c r="J966" i="7"/>
  <c r="J967" i="7"/>
  <c r="J968" i="7"/>
  <c r="J969" i="7"/>
  <c r="J970" i="7"/>
  <c r="J971" i="7"/>
  <c r="J972" i="7"/>
  <c r="J973" i="7"/>
  <c r="J974" i="7"/>
  <c r="J975" i="7"/>
  <c r="J976" i="7"/>
  <c r="J977" i="7"/>
  <c r="J978" i="7"/>
  <c r="J979" i="7"/>
  <c r="J980" i="7"/>
  <c r="J981" i="7"/>
  <c r="J982" i="7"/>
  <c r="J983" i="7"/>
  <c r="J984" i="7"/>
  <c r="J985" i="7"/>
  <c r="J986" i="7"/>
  <c r="J987" i="7"/>
  <c r="J988" i="7"/>
  <c r="J989" i="7"/>
  <c r="J990" i="7"/>
  <c r="J991" i="7"/>
  <c r="J992" i="7"/>
  <c r="J993" i="7"/>
  <c r="J994" i="7"/>
  <c r="J995" i="7"/>
  <c r="J996" i="7"/>
  <c r="J997" i="7"/>
  <c r="J998" i="7"/>
  <c r="J999" i="7"/>
  <c r="J1000" i="7"/>
  <c r="J1001" i="7"/>
  <c r="J1002" i="7"/>
  <c r="J1003" i="7"/>
  <c r="J1004" i="7"/>
  <c r="J1005" i="7"/>
  <c r="J1006" i="7"/>
  <c r="J1007" i="7"/>
  <c r="J1008" i="7"/>
  <c r="J1009" i="7"/>
  <c r="J1010" i="7"/>
  <c r="J1011" i="7"/>
  <c r="J1012" i="7"/>
  <c r="J1013" i="7"/>
  <c r="J1014" i="7"/>
  <c r="J1015" i="7"/>
  <c r="J1016" i="7"/>
  <c r="J1017" i="7"/>
  <c r="J1018" i="7"/>
  <c r="J1019" i="7"/>
  <c r="J1020" i="7"/>
  <c r="J1021" i="7"/>
  <c r="J1022" i="7"/>
  <c r="J1023" i="7"/>
  <c r="J1024" i="7"/>
  <c r="J1025" i="7"/>
  <c r="J1026" i="7"/>
  <c r="J1027" i="7"/>
  <c r="J1028" i="7"/>
  <c r="J1029" i="7"/>
  <c r="J1030" i="7"/>
  <c r="J1031" i="7"/>
  <c r="J1032" i="7"/>
  <c r="J1033" i="7"/>
  <c r="J1034" i="7"/>
  <c r="J1035" i="7"/>
  <c r="J1036" i="7"/>
  <c r="J1037" i="7"/>
  <c r="J1038" i="7"/>
  <c r="J1039" i="7"/>
  <c r="J1040" i="7"/>
  <c r="J1041" i="7"/>
  <c r="J1042" i="7"/>
  <c r="J1043" i="7"/>
  <c r="J1044" i="7"/>
  <c r="J1045" i="7"/>
  <c r="J1046" i="7"/>
  <c r="J1047" i="7"/>
  <c r="J1048" i="7"/>
  <c r="J1049" i="7"/>
  <c r="J1050" i="7"/>
  <c r="J1051" i="7"/>
  <c r="J1052" i="7"/>
  <c r="J1053" i="7"/>
  <c r="J1054" i="7"/>
  <c r="J1055" i="7"/>
  <c r="J1056" i="7"/>
  <c r="J1057" i="7"/>
  <c r="J1058" i="7"/>
  <c r="J1059" i="7"/>
  <c r="J1060" i="7"/>
  <c r="J1061" i="7"/>
  <c r="J1062" i="7"/>
  <c r="J1063" i="7"/>
  <c r="J1064" i="7"/>
  <c r="J1065" i="7"/>
  <c r="J1066" i="7"/>
  <c r="J1067" i="7"/>
  <c r="J1068" i="7"/>
  <c r="J1069" i="7"/>
  <c r="J1070" i="7"/>
  <c r="J1071" i="7"/>
  <c r="J1072" i="7"/>
  <c r="J1073" i="7"/>
  <c r="J1074" i="7"/>
  <c r="J1075" i="7"/>
  <c r="J1076" i="7"/>
  <c r="J1077" i="7"/>
  <c r="J1078" i="7"/>
  <c r="J1079" i="7"/>
  <c r="J1080" i="7"/>
  <c r="J1081" i="7"/>
  <c r="J1082" i="7"/>
  <c r="J1083" i="7"/>
  <c r="J1084" i="7"/>
  <c r="J1085" i="7"/>
  <c r="J1086" i="7"/>
  <c r="J1087" i="7"/>
  <c r="J1088" i="7"/>
  <c r="J1089" i="7"/>
  <c r="J1090" i="7"/>
  <c r="J1091" i="7"/>
  <c r="J1092" i="7"/>
  <c r="J1093" i="7"/>
  <c r="J1094" i="7"/>
  <c r="J1095" i="7"/>
  <c r="J1096" i="7"/>
  <c r="J1097" i="7"/>
  <c r="J1098" i="7"/>
  <c r="J1099" i="7"/>
  <c r="J1100" i="7"/>
  <c r="J1101" i="7"/>
  <c r="J1102" i="7"/>
  <c r="J1103" i="7"/>
  <c r="J1104" i="7"/>
  <c r="J1105" i="7"/>
  <c r="J1106" i="7"/>
  <c r="J1107" i="7"/>
  <c r="J1108" i="7"/>
  <c r="J1109" i="7"/>
  <c r="J1110" i="7"/>
  <c r="J1111" i="7"/>
  <c r="J1112" i="7"/>
  <c r="J1113" i="7"/>
  <c r="J1114" i="7"/>
  <c r="J1115" i="7"/>
  <c r="J1116" i="7"/>
  <c r="J1117" i="7"/>
  <c r="J1118" i="7"/>
  <c r="J1119" i="7"/>
  <c r="J1120" i="7"/>
  <c r="J1121" i="7"/>
  <c r="J1122" i="7"/>
  <c r="J1123" i="7"/>
  <c r="J1124" i="7"/>
  <c r="J1125" i="7"/>
  <c r="J1126" i="7"/>
  <c r="J1127" i="7"/>
  <c r="J1128" i="7"/>
  <c r="J1129" i="7"/>
  <c r="J1130" i="7"/>
  <c r="J1131" i="7"/>
  <c r="J1132" i="7"/>
  <c r="J1133" i="7"/>
  <c r="J1134" i="7"/>
  <c r="J1135" i="7"/>
  <c r="J1136" i="7"/>
  <c r="J1137" i="7"/>
  <c r="J1138" i="7"/>
  <c r="J1139" i="7"/>
  <c r="J1140" i="7"/>
  <c r="J1141" i="7"/>
  <c r="J1142" i="7"/>
  <c r="J1143" i="7"/>
  <c r="J1144" i="7"/>
  <c r="J1145" i="7"/>
  <c r="J1146" i="7"/>
  <c r="J1147" i="7"/>
  <c r="J1148" i="7"/>
  <c r="J1149" i="7"/>
  <c r="J1150" i="7"/>
  <c r="J1151" i="7"/>
  <c r="J1152" i="7"/>
  <c r="J1153" i="7"/>
  <c r="J1154" i="7"/>
  <c r="J1155" i="7"/>
  <c r="J1156" i="7"/>
  <c r="J1157" i="7"/>
  <c r="J1158" i="7"/>
  <c r="J1159" i="7"/>
  <c r="J1160" i="7"/>
  <c r="J1161" i="7"/>
  <c r="J1162" i="7"/>
  <c r="J1163" i="7"/>
  <c r="J1164" i="7"/>
  <c r="J1165" i="7"/>
  <c r="J1166" i="7"/>
  <c r="J1167" i="7"/>
  <c r="J1168" i="7"/>
  <c r="J1169" i="7"/>
  <c r="J1170" i="7"/>
  <c r="J1171" i="7"/>
  <c r="J1172" i="7"/>
  <c r="J1173" i="7"/>
  <c r="J1174" i="7"/>
  <c r="J1175" i="7"/>
  <c r="J1176" i="7"/>
  <c r="J1177" i="7"/>
  <c r="J1178" i="7"/>
  <c r="J1179" i="7"/>
  <c r="J1180" i="7"/>
  <c r="J1181" i="7"/>
  <c r="J1182" i="7"/>
  <c r="J1183" i="7"/>
  <c r="J1184" i="7"/>
  <c r="J1185" i="7"/>
  <c r="J1186" i="7"/>
  <c r="J1187" i="7"/>
  <c r="J1188" i="7"/>
  <c r="J1189" i="7"/>
  <c r="J1190" i="7"/>
  <c r="J1191" i="7"/>
  <c r="J1192" i="7"/>
  <c r="J1193" i="7"/>
  <c r="J1194" i="7"/>
  <c r="J1195" i="7"/>
  <c r="J1196" i="7"/>
  <c r="J1197" i="7"/>
  <c r="J1198" i="7"/>
  <c r="J1199" i="7"/>
  <c r="J1200" i="7"/>
  <c r="J1201" i="7"/>
  <c r="J1202" i="7"/>
  <c r="J1203" i="7"/>
  <c r="J1204" i="7"/>
  <c r="J1205" i="7"/>
  <c r="J1206" i="7"/>
  <c r="J1207" i="7"/>
  <c r="J1208" i="7"/>
  <c r="J1209" i="7"/>
  <c r="J1210" i="7"/>
  <c r="J1211" i="7"/>
  <c r="J1212" i="7"/>
  <c r="J1213" i="7"/>
  <c r="J1214" i="7"/>
  <c r="J1215" i="7"/>
  <c r="J1216" i="7"/>
  <c r="J1217" i="7"/>
  <c r="J1218" i="7"/>
  <c r="J1219" i="7"/>
  <c r="J1220" i="7"/>
  <c r="J1221" i="7"/>
  <c r="J1222" i="7"/>
  <c r="J1223" i="7"/>
  <c r="J1224" i="7"/>
  <c r="J1225" i="7"/>
  <c r="J1226" i="7"/>
  <c r="J1227" i="7"/>
  <c r="J1228" i="7"/>
  <c r="J1229" i="7"/>
  <c r="J1230" i="7"/>
  <c r="J1231" i="7"/>
  <c r="J1232" i="7"/>
  <c r="J1233" i="7"/>
  <c r="J1234" i="7"/>
  <c r="J1235" i="7"/>
  <c r="J1236" i="7"/>
  <c r="J1237" i="7"/>
  <c r="J1238" i="7"/>
  <c r="J1239" i="7"/>
  <c r="J1240" i="7"/>
  <c r="J1241" i="7"/>
  <c r="J1242" i="7"/>
  <c r="J1243" i="7"/>
  <c r="J1244" i="7"/>
  <c r="J1245" i="7"/>
  <c r="J1246" i="7"/>
  <c r="J1247" i="7"/>
  <c r="J1248" i="7"/>
  <c r="J1249" i="7"/>
  <c r="J1250" i="7"/>
  <c r="J1251" i="7"/>
  <c r="J1252" i="7"/>
  <c r="J1253" i="7"/>
  <c r="J1254" i="7"/>
  <c r="J1255" i="7"/>
  <c r="J1256" i="7"/>
  <c r="J1257" i="7"/>
  <c r="J1258" i="7"/>
  <c r="J1259" i="7"/>
  <c r="J1260" i="7"/>
  <c r="J1261" i="7"/>
  <c r="J1262" i="7"/>
  <c r="J1263" i="7"/>
  <c r="J1264" i="7"/>
  <c r="J1265" i="7"/>
  <c r="J1266" i="7"/>
  <c r="J1267" i="7"/>
  <c r="J1268" i="7"/>
  <c r="J1269" i="7"/>
  <c r="J1270" i="7"/>
  <c r="J1271" i="7"/>
  <c r="J1272" i="7"/>
  <c r="J1273" i="7"/>
  <c r="J1274" i="7"/>
  <c r="J1275" i="7"/>
  <c r="J1276" i="7"/>
  <c r="J1277" i="7"/>
  <c r="J1278" i="7"/>
  <c r="J1279" i="7"/>
  <c r="J1280" i="7"/>
  <c r="J1281" i="7"/>
  <c r="J1282" i="7"/>
  <c r="J1283" i="7"/>
  <c r="J1284" i="7"/>
  <c r="J1285" i="7"/>
  <c r="J1286" i="7"/>
  <c r="J1287" i="7"/>
  <c r="J1288" i="7"/>
  <c r="J1289" i="7"/>
  <c r="J1290" i="7"/>
  <c r="J1291" i="7"/>
  <c r="J1292" i="7"/>
  <c r="J1293" i="7"/>
  <c r="J1294" i="7"/>
  <c r="J1295" i="7"/>
  <c r="J1296" i="7"/>
  <c r="J1297" i="7"/>
  <c r="J1298" i="7"/>
  <c r="J1299" i="7"/>
  <c r="J1300" i="7"/>
  <c r="J1301" i="7"/>
  <c r="J1302" i="7"/>
  <c r="J1303" i="7"/>
  <c r="J1304" i="7"/>
  <c r="J1305" i="7"/>
  <c r="J1306" i="7"/>
  <c r="J1307" i="7"/>
  <c r="J1308" i="7"/>
  <c r="J1309" i="7"/>
  <c r="J1310" i="7"/>
  <c r="J1311" i="7"/>
  <c r="J1312" i="7"/>
  <c r="J1313" i="7"/>
  <c r="J1314" i="7"/>
  <c r="J1315" i="7"/>
  <c r="J1316" i="7"/>
  <c r="J1317" i="7"/>
  <c r="J1318" i="7"/>
  <c r="J1319" i="7"/>
  <c r="J1320" i="7"/>
  <c r="J1321" i="7"/>
  <c r="J1322" i="7"/>
  <c r="J1323" i="7"/>
  <c r="J1324" i="7"/>
  <c r="J1325" i="7"/>
  <c r="J1326" i="7"/>
  <c r="J1327" i="7"/>
  <c r="J1328" i="7"/>
  <c r="J1329" i="7"/>
  <c r="J1330" i="7"/>
  <c r="J1331" i="7"/>
  <c r="J1332" i="7"/>
  <c r="J1333" i="7"/>
  <c r="J1334" i="7"/>
  <c r="J1335" i="7"/>
  <c r="J1336" i="7"/>
  <c r="J1337" i="7"/>
  <c r="J1338" i="7"/>
  <c r="J1339" i="7"/>
  <c r="J1340" i="7"/>
  <c r="J1341" i="7"/>
  <c r="J1342" i="7"/>
  <c r="J1343" i="7"/>
  <c r="J1344" i="7"/>
  <c r="J1345" i="7"/>
  <c r="J1346" i="7"/>
  <c r="J1347" i="7"/>
  <c r="J1348" i="7"/>
  <c r="J1349" i="7"/>
  <c r="J1350" i="7"/>
  <c r="J1351" i="7"/>
  <c r="J1352" i="7"/>
  <c r="J1353" i="7"/>
  <c r="J1354" i="7"/>
  <c r="J1355" i="7"/>
  <c r="J1356" i="7"/>
  <c r="J1357" i="7"/>
  <c r="J1358" i="7"/>
  <c r="J1359" i="7"/>
  <c r="J1360" i="7"/>
  <c r="J1361" i="7"/>
  <c r="J1362" i="7"/>
  <c r="J1363" i="7"/>
  <c r="J1364" i="7"/>
  <c r="J1365" i="7"/>
  <c r="J1366" i="7"/>
  <c r="J1367" i="7"/>
  <c r="J1368" i="7"/>
  <c r="J1369" i="7"/>
  <c r="J1370" i="7"/>
  <c r="J1371" i="7"/>
  <c r="J1372" i="7"/>
  <c r="J1373" i="7"/>
  <c r="J1374" i="7"/>
  <c r="J1375" i="7"/>
  <c r="J1376" i="7"/>
  <c r="J1377" i="7"/>
  <c r="J1378" i="7"/>
  <c r="J1379" i="7"/>
  <c r="J1380" i="7"/>
  <c r="J1381" i="7"/>
  <c r="J1382" i="7"/>
  <c r="J1383" i="7"/>
  <c r="J1384" i="7"/>
  <c r="J1385" i="7"/>
  <c r="J1386" i="7"/>
  <c r="J1387" i="7"/>
  <c r="J1388" i="7"/>
  <c r="J1389" i="7"/>
  <c r="J1390" i="7"/>
  <c r="J1391" i="7"/>
  <c r="J1392" i="7"/>
  <c r="J1393" i="7"/>
  <c r="J1394" i="7"/>
  <c r="J1395" i="7"/>
  <c r="J1396" i="7"/>
  <c r="J1397" i="7"/>
  <c r="J1398" i="7"/>
  <c r="J1399" i="7"/>
  <c r="J1400" i="7"/>
  <c r="J1401" i="7"/>
  <c r="J1402" i="7"/>
  <c r="J1403" i="7"/>
  <c r="J1404" i="7"/>
  <c r="J1405" i="7"/>
  <c r="J1406" i="7"/>
  <c r="J1407" i="7"/>
  <c r="J1408" i="7"/>
  <c r="J1409" i="7"/>
  <c r="J1410" i="7"/>
  <c r="J1411" i="7"/>
  <c r="J1412" i="7"/>
  <c r="J1413" i="7"/>
  <c r="J1414" i="7"/>
  <c r="J1415" i="7"/>
  <c r="J1416" i="7"/>
  <c r="J1417" i="7"/>
  <c r="J1418" i="7"/>
  <c r="J1419" i="7"/>
  <c r="J1420" i="7"/>
  <c r="J1421" i="7"/>
  <c r="J1422" i="7"/>
  <c r="J1423" i="7"/>
  <c r="J1424" i="7"/>
  <c r="J1425" i="7"/>
  <c r="J1426" i="7"/>
  <c r="J1427" i="7"/>
  <c r="J1428" i="7"/>
  <c r="J1429" i="7"/>
  <c r="J1430" i="7"/>
  <c r="J1431" i="7"/>
  <c r="J1432" i="7"/>
  <c r="J1433" i="7"/>
  <c r="J1434" i="7"/>
  <c r="J1435" i="7"/>
  <c r="J1436" i="7"/>
  <c r="J1437" i="7"/>
  <c r="J1438" i="7"/>
  <c r="J1439" i="7"/>
  <c r="J1440" i="7"/>
  <c r="J1441" i="7"/>
  <c r="J1442" i="7"/>
  <c r="J1443" i="7"/>
  <c r="J1444" i="7"/>
  <c r="J1445" i="7"/>
  <c r="J1446" i="7"/>
  <c r="J1447" i="7"/>
  <c r="J1448" i="7"/>
  <c r="J1449" i="7"/>
  <c r="J1450" i="7"/>
  <c r="J1451" i="7"/>
  <c r="J1452" i="7"/>
  <c r="J1453" i="7"/>
  <c r="J1454" i="7"/>
  <c r="J1455" i="7"/>
  <c r="J1456" i="7"/>
  <c r="J1457" i="7"/>
  <c r="J1458" i="7"/>
  <c r="J1459" i="7"/>
  <c r="J1460" i="7"/>
  <c r="J1461" i="7"/>
  <c r="J1462" i="7"/>
  <c r="J1463" i="7"/>
  <c r="J1464" i="7"/>
  <c r="J1465" i="7"/>
  <c r="J1466" i="7"/>
  <c r="J1467" i="7"/>
  <c r="J1468" i="7"/>
  <c r="J1469" i="7"/>
  <c r="J1470" i="7"/>
  <c r="J1471" i="7"/>
  <c r="J1472" i="7"/>
  <c r="J1473" i="7"/>
  <c r="J1474" i="7"/>
  <c r="J1475" i="7"/>
  <c r="J1476" i="7"/>
  <c r="J1477" i="7"/>
  <c r="J1478" i="7"/>
  <c r="J1479" i="7"/>
  <c r="J1480" i="7"/>
  <c r="J1481" i="7"/>
  <c r="J1482" i="7"/>
  <c r="J1483" i="7"/>
  <c r="J1484" i="7"/>
  <c r="J1485" i="7"/>
  <c r="J1486" i="7"/>
  <c r="J1487" i="7"/>
  <c r="J1488" i="7"/>
  <c r="J1489" i="7"/>
  <c r="J1490" i="7"/>
  <c r="J1491" i="7"/>
  <c r="J1492" i="7"/>
  <c r="J1493" i="7"/>
  <c r="J1494" i="7"/>
  <c r="J1495" i="7"/>
  <c r="J1496" i="7"/>
  <c r="J1497" i="7"/>
  <c r="J1498" i="7"/>
  <c r="J1499" i="7"/>
  <c r="J1500" i="7"/>
  <c r="J1501" i="7"/>
  <c r="J1502" i="7"/>
  <c r="J1503" i="7"/>
  <c r="J1504" i="7"/>
  <c r="J1505" i="7"/>
  <c r="J1506" i="7"/>
  <c r="J1507" i="7"/>
  <c r="J1508" i="7"/>
  <c r="J1509" i="7"/>
  <c r="J1510" i="7"/>
  <c r="J1511" i="7"/>
  <c r="J1512" i="7"/>
  <c r="J1513" i="7"/>
  <c r="J1514" i="7"/>
  <c r="J1515" i="7"/>
  <c r="J1516" i="7"/>
  <c r="J1517" i="7"/>
  <c r="J1518" i="7"/>
  <c r="J1519" i="7"/>
  <c r="J1520" i="7"/>
  <c r="J1521" i="7"/>
  <c r="J1522" i="7"/>
  <c r="J1523" i="7"/>
  <c r="J1524" i="7"/>
  <c r="J1525" i="7"/>
  <c r="J1526" i="7"/>
  <c r="J1527" i="7"/>
  <c r="J1528" i="7"/>
  <c r="J1529" i="7"/>
  <c r="J1530" i="7"/>
  <c r="J1531" i="7"/>
  <c r="J1532" i="7"/>
  <c r="J1533" i="7"/>
  <c r="J1534" i="7"/>
  <c r="J1535" i="7"/>
  <c r="J1536" i="7"/>
  <c r="J1537" i="7"/>
  <c r="J1538" i="7"/>
  <c r="J1539" i="7"/>
  <c r="J1540" i="7"/>
  <c r="J1541" i="7"/>
  <c r="J1542" i="7"/>
  <c r="J1543" i="7"/>
  <c r="J1544" i="7"/>
  <c r="J1545" i="7"/>
  <c r="J1546" i="7"/>
  <c r="J1547" i="7"/>
  <c r="J1548" i="7"/>
  <c r="J1549" i="7"/>
  <c r="J1550" i="7"/>
  <c r="J1551" i="7"/>
  <c r="J1552" i="7"/>
  <c r="J1553" i="7"/>
  <c r="J1554" i="7"/>
  <c r="J1555" i="7"/>
  <c r="J1556" i="7"/>
  <c r="J1557" i="7"/>
  <c r="J1558" i="7"/>
  <c r="J1559" i="7"/>
  <c r="J1560" i="7"/>
  <c r="J1561" i="7"/>
  <c r="J1562" i="7"/>
  <c r="J1563" i="7"/>
  <c r="J1564" i="7"/>
  <c r="J1565" i="7"/>
  <c r="J1566" i="7"/>
  <c r="J1567" i="7"/>
  <c r="J1568" i="7"/>
  <c r="J1569" i="7"/>
  <c r="J1570" i="7"/>
  <c r="J1571" i="7"/>
  <c r="J1572" i="7"/>
  <c r="J1573" i="7"/>
  <c r="J1574" i="7"/>
  <c r="J1575" i="7"/>
  <c r="J1576" i="7"/>
  <c r="J1577" i="7"/>
  <c r="J1578" i="7"/>
  <c r="J1579" i="7"/>
  <c r="J1580" i="7"/>
  <c r="J1581" i="7"/>
  <c r="J1582" i="7"/>
  <c r="J1583" i="7"/>
  <c r="J1584" i="7"/>
  <c r="J1585" i="7"/>
  <c r="J1586" i="7"/>
  <c r="J1587" i="7"/>
  <c r="J1588" i="7"/>
  <c r="J1589" i="7"/>
  <c r="J1590" i="7"/>
  <c r="J1591" i="7"/>
  <c r="J1592" i="7"/>
  <c r="J1593" i="7"/>
  <c r="J1594" i="7"/>
  <c r="J1595" i="7"/>
  <c r="J1596" i="7"/>
  <c r="J1597" i="7"/>
  <c r="J1598" i="7"/>
  <c r="J1599" i="7"/>
  <c r="J1600" i="7"/>
  <c r="J1601" i="7"/>
  <c r="J1602" i="7"/>
  <c r="J1603" i="7"/>
  <c r="J1604" i="7"/>
  <c r="J1605" i="7"/>
  <c r="J1606" i="7"/>
  <c r="J1607" i="7"/>
  <c r="J1608" i="7"/>
  <c r="J1609" i="7"/>
  <c r="J1610" i="7"/>
  <c r="J1611" i="7"/>
  <c r="J1612" i="7"/>
  <c r="J1613" i="7"/>
  <c r="J1614" i="7"/>
  <c r="J1615" i="7"/>
  <c r="J1616" i="7"/>
  <c r="J1617" i="7"/>
  <c r="J1618" i="7"/>
  <c r="J1619" i="7"/>
  <c r="J1620" i="7"/>
  <c r="J1621" i="7"/>
  <c r="J1622" i="7"/>
  <c r="J1623" i="7"/>
  <c r="J1624" i="7"/>
  <c r="J1625" i="7"/>
  <c r="J1626" i="7"/>
  <c r="J1627" i="7"/>
  <c r="J1628" i="7"/>
  <c r="J1629" i="7"/>
  <c r="J1630" i="7"/>
  <c r="J1631" i="7"/>
  <c r="J1632" i="7"/>
  <c r="J1633" i="7"/>
  <c r="J1634" i="7"/>
  <c r="J1635" i="7"/>
  <c r="J1636" i="7"/>
  <c r="J1637" i="7"/>
  <c r="J1638" i="7"/>
  <c r="J1639" i="7"/>
  <c r="J1640" i="7"/>
  <c r="J1641" i="7"/>
  <c r="J1642" i="7"/>
  <c r="J1643" i="7"/>
  <c r="J1644" i="7"/>
  <c r="J1645" i="7"/>
  <c r="J1646" i="7"/>
  <c r="J1647" i="7"/>
  <c r="J1648" i="7"/>
  <c r="J1649" i="7"/>
  <c r="J1650" i="7"/>
  <c r="J1651" i="7"/>
  <c r="J1652" i="7"/>
  <c r="J1653" i="7"/>
  <c r="J1654" i="7"/>
  <c r="J1655" i="7"/>
  <c r="J1656" i="7"/>
  <c r="J1657" i="7"/>
  <c r="J1658" i="7"/>
  <c r="J1659" i="7"/>
  <c r="J1660" i="7"/>
  <c r="J1661" i="7"/>
  <c r="J1662" i="7"/>
  <c r="J1663" i="7"/>
  <c r="J1664" i="7"/>
  <c r="J1665" i="7"/>
  <c r="J1666" i="7"/>
  <c r="J1667" i="7"/>
  <c r="J1668" i="7"/>
  <c r="J1669" i="7"/>
  <c r="J1670" i="7"/>
  <c r="J1671" i="7"/>
  <c r="J1672" i="7"/>
  <c r="J1673" i="7"/>
  <c r="J1674" i="7"/>
  <c r="J1675" i="7"/>
  <c r="J1676" i="7"/>
  <c r="J1677" i="7"/>
  <c r="J1678" i="7"/>
  <c r="J1679" i="7"/>
  <c r="J1680" i="7"/>
  <c r="J1681" i="7"/>
  <c r="J1682" i="7"/>
  <c r="J1683" i="7"/>
  <c r="J1684" i="7"/>
  <c r="J1685" i="7"/>
  <c r="J1686" i="7"/>
  <c r="J1687" i="7"/>
  <c r="J1688" i="7"/>
  <c r="J1689" i="7"/>
  <c r="J1690" i="7"/>
  <c r="J1691" i="7"/>
  <c r="J1692" i="7"/>
  <c r="J1693" i="7"/>
  <c r="J1694" i="7"/>
  <c r="J1695" i="7"/>
  <c r="J1696" i="7"/>
  <c r="J1697" i="7"/>
  <c r="J1698" i="7"/>
  <c r="J1699" i="7"/>
  <c r="J1700" i="7"/>
  <c r="J1701" i="7"/>
  <c r="J1702" i="7"/>
  <c r="J1703" i="7"/>
  <c r="J1704" i="7"/>
  <c r="J1705" i="7"/>
  <c r="J1706" i="7"/>
  <c r="J1707" i="7"/>
  <c r="J1708" i="7"/>
  <c r="J1709" i="7"/>
  <c r="J1710" i="7"/>
  <c r="J1711" i="7"/>
  <c r="J1712" i="7"/>
  <c r="J1713" i="7"/>
  <c r="J1714" i="7"/>
  <c r="J1715" i="7"/>
  <c r="J1716" i="7"/>
  <c r="J1717" i="7"/>
  <c r="J1718" i="7"/>
  <c r="J1719" i="7"/>
  <c r="J1720" i="7"/>
  <c r="J1721" i="7"/>
  <c r="J1722" i="7"/>
  <c r="J1723" i="7"/>
  <c r="J1724" i="7"/>
  <c r="J1725" i="7"/>
  <c r="J1726" i="7"/>
  <c r="J1727" i="7"/>
  <c r="J1728" i="7"/>
  <c r="J1729" i="7"/>
  <c r="J1730" i="7"/>
  <c r="J1731" i="7"/>
  <c r="J1732" i="7"/>
  <c r="J1733" i="7"/>
  <c r="J1734" i="7"/>
  <c r="J1735" i="7"/>
  <c r="J1736" i="7"/>
  <c r="J1737" i="7"/>
  <c r="J1738" i="7"/>
  <c r="J1739" i="7"/>
  <c r="J1740" i="7"/>
  <c r="J1741" i="7"/>
  <c r="J1742" i="7"/>
  <c r="J1743" i="7"/>
  <c r="J1744" i="7"/>
  <c r="J1745" i="7"/>
  <c r="J1746" i="7"/>
  <c r="J1747" i="7"/>
  <c r="J1748" i="7"/>
  <c r="J1749" i="7"/>
  <c r="J1750" i="7"/>
  <c r="J1751" i="7"/>
  <c r="J1752" i="7"/>
  <c r="J1753" i="7"/>
  <c r="J1754" i="7"/>
  <c r="J1755" i="7"/>
  <c r="J1756" i="7"/>
  <c r="J1757" i="7"/>
  <c r="J1758" i="7"/>
  <c r="J1759" i="7"/>
  <c r="J1760" i="7"/>
  <c r="J1761" i="7"/>
  <c r="J1762" i="7"/>
  <c r="J1763" i="7"/>
  <c r="J1764" i="7"/>
  <c r="J1765" i="7"/>
  <c r="J1766" i="7"/>
  <c r="J1767" i="7"/>
  <c r="J1768" i="7"/>
  <c r="J1769" i="7"/>
  <c r="J1770" i="7"/>
  <c r="J1771" i="7"/>
  <c r="J1772" i="7"/>
  <c r="J1773" i="7"/>
  <c r="J1774" i="7"/>
  <c r="J1775" i="7"/>
  <c r="J1776" i="7"/>
  <c r="J1777" i="7"/>
  <c r="J1778" i="7"/>
  <c r="J1779" i="7"/>
  <c r="J1780" i="7"/>
  <c r="J1781" i="7"/>
  <c r="J1782" i="7"/>
  <c r="J1783" i="7"/>
  <c r="J1784" i="7"/>
  <c r="J1785" i="7"/>
  <c r="J1786" i="7"/>
  <c r="J1787" i="7"/>
  <c r="J1788" i="7"/>
  <c r="J1789" i="7"/>
  <c r="J1790" i="7"/>
  <c r="J1791" i="7"/>
  <c r="J1792" i="7"/>
  <c r="J1793" i="7"/>
  <c r="J1794" i="7"/>
  <c r="J1795" i="7"/>
  <c r="J1796" i="7"/>
  <c r="J1797" i="7"/>
  <c r="J1798" i="7"/>
  <c r="J1799" i="7"/>
  <c r="J1800" i="7"/>
  <c r="J1801" i="7"/>
  <c r="J1802" i="7"/>
  <c r="J1803" i="7"/>
  <c r="J1804" i="7"/>
  <c r="J1805" i="7"/>
  <c r="J1806" i="7"/>
  <c r="J1807" i="7"/>
  <c r="J1808" i="7"/>
  <c r="J1809" i="7"/>
  <c r="J1810" i="7"/>
  <c r="J1811" i="7"/>
  <c r="J1812" i="7"/>
  <c r="J1813" i="7"/>
  <c r="J1814" i="7"/>
  <c r="J1815" i="7"/>
  <c r="J1816" i="7"/>
  <c r="J1817" i="7"/>
  <c r="J1818" i="7"/>
  <c r="J1819" i="7"/>
  <c r="J1820" i="7"/>
  <c r="J1821" i="7"/>
  <c r="J1822" i="7"/>
  <c r="J1823" i="7"/>
  <c r="J1824" i="7"/>
  <c r="J1825" i="7"/>
  <c r="J1826" i="7"/>
  <c r="J1827" i="7"/>
  <c r="J1828" i="7"/>
  <c r="J1829" i="7"/>
  <c r="J1830" i="7"/>
  <c r="J1831" i="7"/>
  <c r="J1832" i="7"/>
  <c r="J1833" i="7"/>
  <c r="J1834" i="7"/>
  <c r="J1835" i="7"/>
  <c r="J1836" i="7"/>
  <c r="J1837" i="7"/>
  <c r="J1838" i="7"/>
  <c r="J1839" i="7"/>
  <c r="J1840" i="7"/>
  <c r="J1841" i="7"/>
  <c r="J1842" i="7"/>
  <c r="J1843" i="7"/>
  <c r="J1844" i="7"/>
  <c r="J1845" i="7"/>
  <c r="J1846" i="7"/>
  <c r="J1847" i="7"/>
  <c r="J1848" i="7"/>
  <c r="J1849" i="7"/>
  <c r="J1850" i="7"/>
  <c r="J1851" i="7"/>
  <c r="J1852" i="7"/>
  <c r="J1853" i="7"/>
  <c r="J1854" i="7"/>
  <c r="J1855" i="7"/>
  <c r="J1856" i="7"/>
  <c r="J1857" i="7"/>
  <c r="J1858" i="7"/>
  <c r="J1859" i="7"/>
  <c r="J1860" i="7"/>
  <c r="J1861" i="7"/>
  <c r="J1862" i="7"/>
  <c r="J1863" i="7"/>
  <c r="J1864" i="7"/>
  <c r="J1865" i="7"/>
  <c r="J1866" i="7"/>
  <c r="J1867" i="7"/>
  <c r="J1868" i="7"/>
  <c r="J1869" i="7"/>
  <c r="J1870" i="7"/>
  <c r="J1871" i="7"/>
  <c r="J1872" i="7"/>
  <c r="J1873" i="7"/>
  <c r="J1874" i="7"/>
  <c r="J1875" i="7"/>
  <c r="J1876" i="7"/>
  <c r="J1877" i="7"/>
  <c r="J1878" i="7"/>
  <c r="J1879" i="7"/>
  <c r="J1880" i="7"/>
  <c r="J1881" i="7"/>
  <c r="J1882" i="7"/>
  <c r="J1883" i="7"/>
  <c r="J1884" i="7"/>
  <c r="J1885" i="7"/>
  <c r="J1886" i="7"/>
  <c r="J1887" i="7"/>
  <c r="J1888" i="7"/>
  <c r="J1889" i="7"/>
  <c r="J1890" i="7"/>
  <c r="J1891" i="7"/>
  <c r="J1892" i="7"/>
  <c r="J1893" i="7"/>
  <c r="J1894" i="7"/>
  <c r="J1895" i="7"/>
  <c r="J1896" i="7"/>
  <c r="J1897" i="7"/>
  <c r="J1898" i="7"/>
  <c r="J1899" i="7"/>
  <c r="J1900" i="7"/>
  <c r="J1901" i="7"/>
  <c r="J1902" i="7"/>
  <c r="J1903" i="7"/>
  <c r="J1904" i="7"/>
  <c r="J1905" i="7"/>
  <c r="J1906" i="7"/>
  <c r="J1907" i="7"/>
  <c r="J1908" i="7"/>
  <c r="J1909" i="7"/>
  <c r="J1910" i="7"/>
  <c r="J1911" i="7"/>
  <c r="J1912" i="7"/>
  <c r="J1913" i="7"/>
  <c r="J1914" i="7"/>
  <c r="J1915" i="7"/>
  <c r="J1916" i="7"/>
  <c r="J1917" i="7"/>
  <c r="J1918" i="7"/>
  <c r="J1919" i="7"/>
  <c r="J1920" i="7"/>
  <c r="J1921" i="7"/>
  <c r="J1922" i="7"/>
  <c r="J1923" i="7"/>
  <c r="J1924" i="7"/>
  <c r="J1925" i="7"/>
  <c r="J1926" i="7"/>
  <c r="J1927" i="7"/>
  <c r="J1928" i="7"/>
  <c r="J1929" i="7"/>
  <c r="J1930" i="7"/>
  <c r="J1931" i="7"/>
  <c r="J1932" i="7"/>
  <c r="J1933" i="7"/>
  <c r="J1934" i="7"/>
  <c r="J1935" i="7"/>
  <c r="J1936" i="7"/>
  <c r="J1937" i="7"/>
  <c r="J1938" i="7"/>
  <c r="J1939" i="7"/>
  <c r="J1940" i="7"/>
  <c r="J1941" i="7"/>
  <c r="J1942" i="7"/>
  <c r="J1943" i="7"/>
  <c r="J1944" i="7"/>
  <c r="J1945" i="7"/>
  <c r="J1946" i="7"/>
  <c r="J1947" i="7"/>
  <c r="J1948" i="7"/>
  <c r="J1949" i="7"/>
  <c r="J1950" i="7"/>
  <c r="J1951" i="7"/>
  <c r="J1952" i="7"/>
  <c r="J1953" i="7"/>
  <c r="J1954" i="7"/>
  <c r="J1955" i="7"/>
  <c r="J1956" i="7"/>
  <c r="J1957" i="7"/>
  <c r="J1958" i="7"/>
  <c r="J1959" i="7"/>
  <c r="J1960" i="7"/>
  <c r="J1961" i="7"/>
  <c r="J1962" i="7"/>
  <c r="J1963" i="7"/>
  <c r="J1964" i="7"/>
  <c r="J1965" i="7"/>
  <c r="J1966" i="7"/>
  <c r="J1967" i="7"/>
  <c r="J1968" i="7"/>
  <c r="J1969" i="7"/>
  <c r="J1970" i="7"/>
  <c r="J1971" i="7"/>
  <c r="J1972" i="7"/>
  <c r="J1973" i="7"/>
  <c r="J1974" i="7"/>
  <c r="J1975" i="7"/>
  <c r="J1976" i="7"/>
  <c r="J1977" i="7"/>
  <c r="J1978" i="7"/>
  <c r="J1979" i="7"/>
  <c r="J1980" i="7"/>
  <c r="J1981" i="7"/>
  <c r="J1982" i="7"/>
  <c r="J1983" i="7"/>
  <c r="J1984" i="7"/>
  <c r="J1985" i="7"/>
  <c r="J1986" i="7"/>
  <c r="J1987" i="7"/>
  <c r="J1988" i="7"/>
  <c r="J1989" i="7"/>
  <c r="J1990" i="7"/>
  <c r="J1991" i="7"/>
  <c r="J1992" i="7"/>
  <c r="J1993" i="7"/>
  <c r="J1994" i="7"/>
  <c r="J1995" i="7"/>
  <c r="J1996" i="7"/>
  <c r="J1997" i="7"/>
  <c r="J1998" i="7"/>
  <c r="J1999" i="7"/>
  <c r="J2000" i="7"/>
  <c r="J2001" i="7"/>
  <c r="J2002" i="7"/>
  <c r="J2003" i="7"/>
  <c r="J2004" i="7"/>
  <c r="J2005" i="7"/>
  <c r="J2006" i="7"/>
  <c r="J2007" i="7"/>
  <c r="J2008" i="7"/>
  <c r="J2009" i="7"/>
  <c r="J2010" i="7"/>
  <c r="J2011" i="7"/>
  <c r="J2012" i="7"/>
  <c r="J2013" i="7"/>
  <c r="J2014" i="7"/>
  <c r="J2015" i="7"/>
  <c r="J2016" i="7"/>
  <c r="J2017" i="7"/>
  <c r="J2018" i="7"/>
  <c r="J2019" i="7"/>
  <c r="J2020" i="7"/>
  <c r="J2021" i="7"/>
  <c r="J2022" i="7"/>
  <c r="J2023" i="7"/>
  <c r="J2024" i="7"/>
  <c r="J2025" i="7"/>
  <c r="J2026" i="7"/>
  <c r="J2027" i="7"/>
  <c r="J2028" i="7"/>
  <c r="J2029" i="7"/>
  <c r="J2030" i="7"/>
  <c r="J2031" i="7"/>
  <c r="J2032" i="7"/>
  <c r="J2033" i="7"/>
  <c r="J2034" i="7"/>
  <c r="J2035" i="7"/>
  <c r="J2036" i="7"/>
  <c r="J2037" i="7"/>
  <c r="J2038" i="7"/>
  <c r="J2039" i="7"/>
  <c r="J2040" i="7"/>
  <c r="J2041" i="7"/>
  <c r="J2042" i="7"/>
  <c r="J2043" i="7"/>
  <c r="J2044" i="7"/>
  <c r="J2045" i="7"/>
  <c r="J2046" i="7"/>
  <c r="J2047" i="7"/>
  <c r="J2048" i="7"/>
  <c r="J2049" i="7"/>
  <c r="J2050" i="7"/>
  <c r="J2051" i="7"/>
  <c r="J2052" i="7"/>
  <c r="J2053" i="7"/>
  <c r="J2054" i="7"/>
  <c r="J2055" i="7"/>
  <c r="J2056" i="7"/>
  <c r="J2057" i="7"/>
  <c r="J2058" i="7"/>
  <c r="J2059" i="7"/>
  <c r="J2060" i="7"/>
  <c r="J2061" i="7"/>
  <c r="J2062" i="7"/>
  <c r="J2063" i="7"/>
  <c r="J2064" i="7"/>
  <c r="J2065" i="7"/>
  <c r="J2066" i="7"/>
  <c r="J2067" i="7"/>
  <c r="J2068" i="7"/>
  <c r="J2069" i="7"/>
  <c r="J2070" i="7"/>
  <c r="J2071" i="7"/>
  <c r="J2072" i="7"/>
  <c r="J2073" i="7"/>
  <c r="J2074" i="7"/>
  <c r="J2075" i="7"/>
  <c r="J2076" i="7"/>
  <c r="J2077" i="7"/>
  <c r="J2078" i="7"/>
  <c r="J2079" i="7"/>
  <c r="J2080" i="7"/>
  <c r="J2081" i="7"/>
  <c r="J2082" i="7"/>
  <c r="J2083" i="7"/>
  <c r="J2084" i="7"/>
  <c r="J2085" i="7"/>
  <c r="J2086" i="7"/>
  <c r="J2087" i="7"/>
  <c r="J2088" i="7"/>
  <c r="J2089" i="7"/>
  <c r="J2090" i="7"/>
  <c r="J2091" i="7"/>
  <c r="J2092" i="7"/>
  <c r="J2093" i="7"/>
  <c r="J2094" i="7"/>
  <c r="J2095" i="7"/>
  <c r="J2096" i="7"/>
  <c r="J2097" i="7"/>
  <c r="J2098" i="7"/>
  <c r="J2099" i="7"/>
  <c r="J2100" i="7"/>
  <c r="J2101" i="7"/>
  <c r="J2102" i="7"/>
  <c r="J2103" i="7"/>
  <c r="J2104" i="7"/>
  <c r="J2105" i="7"/>
  <c r="J2106" i="7"/>
  <c r="J2107" i="7"/>
  <c r="J2108" i="7"/>
  <c r="J2109" i="7"/>
  <c r="J2110" i="7"/>
  <c r="J2111" i="7"/>
  <c r="J2112" i="7"/>
  <c r="J2113" i="7"/>
  <c r="J2114" i="7"/>
  <c r="J2115" i="7"/>
  <c r="J2116" i="7"/>
  <c r="J2117" i="7"/>
  <c r="J2118" i="7"/>
  <c r="J2119" i="7"/>
  <c r="J2120" i="7"/>
  <c r="J2121" i="7"/>
  <c r="J2122" i="7"/>
  <c r="J2123" i="7"/>
  <c r="J2124" i="7"/>
  <c r="J2125" i="7"/>
  <c r="J2126" i="7"/>
  <c r="J2127" i="7"/>
  <c r="J2128" i="7"/>
  <c r="J2129" i="7"/>
  <c r="J2130" i="7"/>
  <c r="J2131" i="7"/>
  <c r="J2132" i="7"/>
  <c r="J2133" i="7"/>
  <c r="J2134" i="7"/>
  <c r="J2135" i="7"/>
  <c r="J2136" i="7"/>
  <c r="J2137" i="7"/>
  <c r="J2138" i="7"/>
  <c r="J2139" i="7"/>
  <c r="J2140" i="7"/>
  <c r="J2141" i="7"/>
  <c r="J2142" i="7"/>
  <c r="J2143" i="7"/>
  <c r="J2144" i="7"/>
  <c r="J2145" i="7"/>
  <c r="J2146" i="7"/>
  <c r="J2147" i="7"/>
  <c r="J2148" i="7"/>
  <c r="J2149" i="7"/>
  <c r="J2150" i="7"/>
  <c r="J2151" i="7"/>
  <c r="J2152" i="7"/>
  <c r="J2153" i="7"/>
  <c r="J2154" i="7"/>
  <c r="J2155" i="7"/>
  <c r="J2156" i="7"/>
  <c r="J2157" i="7"/>
  <c r="J2158" i="7"/>
  <c r="J2159" i="7"/>
  <c r="J2160" i="7"/>
  <c r="J2161" i="7"/>
  <c r="J2162" i="7"/>
  <c r="J2163" i="7"/>
  <c r="J2164" i="7"/>
  <c r="J2165" i="7"/>
  <c r="J2166" i="7"/>
  <c r="J2167" i="7"/>
  <c r="J2168" i="7"/>
  <c r="J2169" i="7"/>
  <c r="J2170" i="7"/>
  <c r="J2171" i="7"/>
  <c r="J2172" i="7"/>
  <c r="J2173" i="7"/>
  <c r="J2174" i="7"/>
  <c r="J2175" i="7"/>
  <c r="J2176" i="7"/>
  <c r="J2177" i="7"/>
  <c r="J2178" i="7"/>
  <c r="J2179" i="7"/>
  <c r="J2180" i="7"/>
  <c r="J2181" i="7"/>
  <c r="J2182" i="7"/>
  <c r="J2183" i="7"/>
  <c r="J2184" i="7"/>
  <c r="J2185" i="7"/>
  <c r="J2186" i="7"/>
  <c r="J2187" i="7"/>
  <c r="J2188" i="7"/>
  <c r="J2189" i="7"/>
  <c r="J2190" i="7"/>
  <c r="J2191" i="7"/>
  <c r="J2192" i="7"/>
  <c r="J2193" i="7"/>
  <c r="J2194" i="7"/>
  <c r="J2195" i="7"/>
  <c r="J2196" i="7"/>
  <c r="J2197" i="7"/>
  <c r="J2198" i="7"/>
  <c r="J2199" i="7"/>
  <c r="J2200" i="7"/>
  <c r="J2201" i="7"/>
  <c r="J2202" i="7"/>
  <c r="J2203" i="7"/>
  <c r="J2204" i="7"/>
  <c r="J2205" i="7"/>
  <c r="J2206" i="7"/>
  <c r="J2207" i="7"/>
  <c r="J2208" i="7"/>
  <c r="J2209" i="7"/>
  <c r="J2210" i="7"/>
  <c r="J2211" i="7"/>
  <c r="J2212" i="7"/>
  <c r="J2213" i="7"/>
  <c r="J2214" i="7"/>
  <c r="J2215" i="7"/>
  <c r="J2216" i="7"/>
  <c r="J2217" i="7"/>
  <c r="J2218" i="7"/>
  <c r="J2219" i="7"/>
  <c r="J2220" i="7"/>
  <c r="J2221" i="7"/>
  <c r="J2222" i="7"/>
  <c r="J2223" i="7"/>
  <c r="J2224" i="7"/>
  <c r="J2225" i="7"/>
  <c r="J2226" i="7"/>
  <c r="J2227" i="7"/>
  <c r="J2228" i="7"/>
  <c r="J2229" i="7"/>
  <c r="J2230" i="7"/>
  <c r="J2231" i="7"/>
  <c r="J2232" i="7"/>
  <c r="J2233" i="7"/>
  <c r="J2234" i="7"/>
  <c r="J2235" i="7"/>
  <c r="J2236" i="7"/>
  <c r="J2237" i="7"/>
  <c r="J2238" i="7"/>
  <c r="J2239" i="7"/>
  <c r="J2240" i="7"/>
  <c r="J2241" i="7"/>
  <c r="J2242" i="7"/>
  <c r="J2243" i="7"/>
  <c r="J2244" i="7"/>
  <c r="J2245" i="7"/>
  <c r="J2246" i="7"/>
  <c r="J2247" i="7"/>
  <c r="J2248" i="7"/>
  <c r="J2249" i="7"/>
  <c r="J2250" i="7"/>
  <c r="J2251" i="7"/>
  <c r="J2252" i="7"/>
  <c r="J2253" i="7"/>
  <c r="J2254" i="7"/>
  <c r="J2255" i="7"/>
  <c r="J2256" i="7"/>
  <c r="J2257" i="7"/>
  <c r="J2258" i="7"/>
  <c r="J2259" i="7"/>
  <c r="J2260" i="7"/>
  <c r="J2261" i="7"/>
  <c r="J2262" i="7"/>
  <c r="J2263" i="7"/>
  <c r="J2264" i="7"/>
  <c r="J2265" i="7"/>
  <c r="J2266" i="7"/>
  <c r="J2267" i="7"/>
  <c r="J2268" i="7"/>
  <c r="J2269" i="7"/>
  <c r="J2270" i="7"/>
  <c r="J2271" i="7"/>
  <c r="J2272" i="7"/>
  <c r="J2273" i="7"/>
  <c r="J2274" i="7"/>
  <c r="J2275" i="7"/>
  <c r="J2276" i="7"/>
  <c r="J2277" i="7"/>
  <c r="J2278" i="7"/>
  <c r="J2279" i="7"/>
  <c r="J2280" i="7"/>
  <c r="J2281" i="7"/>
  <c r="J2282" i="7"/>
  <c r="J2283" i="7"/>
  <c r="J2284" i="7"/>
  <c r="J2285" i="7"/>
  <c r="J2286" i="7"/>
  <c r="J2287" i="7"/>
  <c r="J2288" i="7"/>
  <c r="J2289" i="7"/>
  <c r="J2290" i="7"/>
  <c r="J2291" i="7"/>
  <c r="J2292" i="7"/>
  <c r="J2293" i="7"/>
  <c r="J2294" i="7"/>
  <c r="J2295" i="7"/>
  <c r="J2296" i="7"/>
  <c r="J2297" i="7"/>
  <c r="J2298" i="7"/>
  <c r="J2299" i="7"/>
  <c r="J2300" i="7"/>
  <c r="J2301" i="7"/>
  <c r="J2302" i="7"/>
  <c r="J2303" i="7"/>
  <c r="J2304" i="7"/>
  <c r="J2305" i="7"/>
  <c r="J2306" i="7"/>
  <c r="J2307" i="7"/>
  <c r="J2308" i="7"/>
  <c r="J2309" i="7"/>
  <c r="J2310" i="7"/>
  <c r="J2311" i="7"/>
  <c r="J2312" i="7"/>
  <c r="J2313" i="7"/>
  <c r="J2314" i="7"/>
  <c r="J2315" i="7"/>
  <c r="J2316" i="7"/>
  <c r="J2317" i="7"/>
  <c r="J2318" i="7"/>
  <c r="J2319" i="7"/>
  <c r="J2320" i="7"/>
  <c r="J2321" i="7"/>
  <c r="J2322" i="7"/>
  <c r="J2323" i="7"/>
  <c r="J2324" i="7"/>
  <c r="J2325" i="7"/>
  <c r="J2326" i="7"/>
  <c r="J2327" i="7"/>
  <c r="J2328" i="7"/>
  <c r="J2329" i="7"/>
  <c r="J2330" i="7"/>
  <c r="J2331" i="7"/>
  <c r="J2332" i="7"/>
  <c r="J2333" i="7"/>
  <c r="J2334" i="7"/>
  <c r="J2335" i="7"/>
  <c r="J2336" i="7"/>
  <c r="J2337" i="7"/>
  <c r="J2338" i="7"/>
  <c r="J2339" i="7"/>
  <c r="J2340" i="7"/>
  <c r="J2341" i="7"/>
  <c r="J2342" i="7"/>
  <c r="J2343" i="7"/>
  <c r="J2344" i="7"/>
  <c r="J2345" i="7"/>
  <c r="J2346" i="7"/>
  <c r="J2347" i="7"/>
  <c r="J2348" i="7"/>
  <c r="J2349" i="7"/>
  <c r="J2350" i="7"/>
  <c r="J2351" i="7"/>
  <c r="J2352" i="7"/>
  <c r="J2353" i="7"/>
  <c r="J2354" i="7"/>
  <c r="J2355" i="7"/>
  <c r="J2356" i="7"/>
  <c r="J2357" i="7"/>
  <c r="J2358" i="7"/>
  <c r="J2359" i="7"/>
  <c r="J2360" i="7"/>
  <c r="J2361" i="7"/>
  <c r="J2362" i="7"/>
  <c r="J2363" i="7"/>
  <c r="J2364" i="7"/>
  <c r="J2365" i="7"/>
  <c r="J2366" i="7"/>
  <c r="J2367" i="7"/>
  <c r="J2368" i="7"/>
  <c r="J2369" i="7"/>
  <c r="J2370" i="7"/>
  <c r="J2371" i="7"/>
  <c r="J2372" i="7"/>
  <c r="J2373" i="7"/>
  <c r="J2374" i="7"/>
  <c r="J2375" i="7"/>
  <c r="J2376" i="7"/>
  <c r="J2377" i="7"/>
  <c r="J2378" i="7"/>
  <c r="J2379" i="7"/>
  <c r="J2380" i="7"/>
  <c r="J2381" i="7"/>
  <c r="J2382" i="7"/>
  <c r="J2383" i="7"/>
  <c r="J2384" i="7"/>
  <c r="J2385" i="7"/>
  <c r="J2386" i="7"/>
  <c r="J2387" i="7"/>
  <c r="J2388" i="7"/>
  <c r="J2389" i="7"/>
  <c r="J2390" i="7"/>
  <c r="J2391" i="7"/>
  <c r="J2392" i="7"/>
  <c r="J2393" i="7"/>
  <c r="J2394" i="7"/>
  <c r="J2395" i="7"/>
  <c r="J2396" i="7"/>
  <c r="J2397" i="7"/>
  <c r="J2398" i="7"/>
  <c r="J2399" i="7"/>
  <c r="J2400" i="7"/>
  <c r="J2401" i="7"/>
  <c r="J2402" i="7"/>
  <c r="J2403" i="7"/>
  <c r="J2404" i="7"/>
  <c r="J2405" i="7"/>
  <c r="J2406" i="7"/>
  <c r="J2407" i="7"/>
  <c r="J2408" i="7"/>
  <c r="J2409" i="7"/>
  <c r="J2410" i="7"/>
  <c r="J2411" i="7"/>
  <c r="J2412" i="7"/>
  <c r="J2413" i="7"/>
  <c r="J2414" i="7"/>
  <c r="J2415" i="7"/>
  <c r="J2416" i="7"/>
  <c r="J2417" i="7"/>
  <c r="J2418" i="7"/>
  <c r="J2419" i="7"/>
  <c r="J2420" i="7"/>
  <c r="J2421" i="7"/>
  <c r="J2422" i="7"/>
  <c r="J2423" i="7"/>
  <c r="J2424" i="7"/>
  <c r="J2425" i="7"/>
  <c r="J2426" i="7"/>
  <c r="J2427" i="7"/>
  <c r="J2428" i="7"/>
  <c r="J2429" i="7"/>
  <c r="J2430" i="7"/>
  <c r="J2431" i="7"/>
  <c r="J2432" i="7"/>
  <c r="J2433" i="7"/>
  <c r="J2434" i="7"/>
  <c r="J2435" i="7"/>
  <c r="J2436" i="7"/>
  <c r="J2437" i="7"/>
  <c r="J2438" i="7"/>
  <c r="J2439" i="7"/>
  <c r="J2440" i="7"/>
  <c r="J2441" i="7"/>
  <c r="J2442" i="7"/>
  <c r="J2443" i="7"/>
  <c r="J2444" i="7"/>
  <c r="J2445" i="7"/>
  <c r="J2446" i="7"/>
  <c r="J2447" i="7"/>
  <c r="J2448" i="7"/>
  <c r="J2449" i="7"/>
  <c r="J2450" i="7"/>
  <c r="J2451" i="7"/>
  <c r="J2452" i="7"/>
  <c r="J2453" i="7"/>
  <c r="J2454" i="7"/>
  <c r="J2455" i="7"/>
  <c r="J2456" i="7"/>
  <c r="J2457" i="7"/>
  <c r="J2458" i="7"/>
  <c r="J2459" i="7"/>
  <c r="J2460" i="7"/>
  <c r="J2461" i="7"/>
  <c r="J2462" i="7"/>
  <c r="J2463" i="7"/>
  <c r="J2464" i="7"/>
  <c r="J2465" i="7"/>
  <c r="J2466" i="7"/>
  <c r="J2467" i="7"/>
  <c r="J2468" i="7"/>
  <c r="J2469" i="7"/>
  <c r="J2470" i="7"/>
  <c r="J2471" i="7"/>
  <c r="J2472" i="7"/>
  <c r="J2473" i="7"/>
  <c r="J2474" i="7"/>
  <c r="J2475" i="7"/>
  <c r="J2476" i="7"/>
  <c r="J2477" i="7"/>
  <c r="J2478" i="7"/>
  <c r="J2479" i="7"/>
  <c r="J2480" i="7"/>
  <c r="J2481" i="7"/>
  <c r="J2482" i="7"/>
  <c r="J2483" i="7"/>
  <c r="J2484" i="7"/>
  <c r="J2485" i="7"/>
  <c r="J2486" i="7"/>
  <c r="J2487" i="7"/>
  <c r="J2488" i="7"/>
  <c r="J2489" i="7"/>
  <c r="J2490" i="7"/>
  <c r="J2491" i="7"/>
  <c r="J2492" i="7"/>
  <c r="J2493" i="7"/>
  <c r="J2494" i="7"/>
  <c r="J2495" i="7"/>
  <c r="J2496" i="7"/>
  <c r="J2497" i="7"/>
  <c r="J2498" i="7"/>
  <c r="J2499" i="7"/>
  <c r="J2500" i="7"/>
  <c r="J2501" i="7"/>
  <c r="J2502" i="7"/>
  <c r="J2503" i="7"/>
  <c r="J2504" i="7"/>
  <c r="J2505" i="7"/>
  <c r="J2506" i="7"/>
  <c r="J2507" i="7"/>
  <c r="J2508" i="7"/>
  <c r="J2509" i="7"/>
  <c r="J2510" i="7"/>
  <c r="J2511" i="7"/>
  <c r="J2512" i="7"/>
  <c r="J2513" i="7"/>
  <c r="J2514" i="7"/>
  <c r="J2515" i="7"/>
  <c r="J2516" i="7"/>
  <c r="J2517" i="7"/>
  <c r="J2518" i="7"/>
  <c r="J2519" i="7"/>
  <c r="J2520" i="7"/>
  <c r="J2521" i="7"/>
  <c r="J2522" i="7"/>
  <c r="J2523" i="7"/>
  <c r="J2524" i="7"/>
  <c r="J2525" i="7"/>
  <c r="J2526" i="7"/>
  <c r="J2527" i="7"/>
  <c r="J2528" i="7"/>
  <c r="J2529" i="7"/>
  <c r="J2530" i="7"/>
  <c r="J2531" i="7"/>
  <c r="J2532" i="7"/>
  <c r="J2533" i="7"/>
  <c r="J2534" i="7"/>
  <c r="J2535" i="7"/>
  <c r="J2536" i="7"/>
  <c r="J2537" i="7"/>
  <c r="J2538" i="7"/>
  <c r="J2539" i="7"/>
  <c r="J2540" i="7"/>
  <c r="J2541" i="7"/>
  <c r="J2542" i="7"/>
  <c r="J2543" i="7"/>
  <c r="J2544" i="7"/>
  <c r="J2545" i="7"/>
  <c r="J2546" i="7"/>
  <c r="J2547" i="7"/>
  <c r="J2548" i="7"/>
  <c r="J2549" i="7"/>
  <c r="J2550" i="7"/>
  <c r="J2551" i="7"/>
  <c r="J2552" i="7"/>
  <c r="J2553" i="7"/>
  <c r="J2554" i="7"/>
  <c r="J2555" i="7"/>
  <c r="J2556" i="7"/>
  <c r="J2557" i="7"/>
  <c r="J2558" i="7"/>
  <c r="J2559" i="7"/>
  <c r="J2560" i="7"/>
  <c r="J2561" i="7"/>
  <c r="J2562" i="7"/>
  <c r="J2563" i="7"/>
  <c r="J2564" i="7"/>
  <c r="J2565" i="7"/>
  <c r="J2566" i="7"/>
  <c r="J2567" i="7"/>
  <c r="J2568" i="7"/>
  <c r="J2569" i="7"/>
  <c r="J2570" i="7"/>
  <c r="J2571" i="7"/>
  <c r="J2572" i="7"/>
  <c r="J2573" i="7"/>
  <c r="J2574" i="7"/>
  <c r="J2575" i="7"/>
  <c r="J2576" i="7"/>
  <c r="J2577" i="7"/>
  <c r="J2578" i="7"/>
  <c r="J2579" i="7"/>
  <c r="J2580" i="7"/>
  <c r="J2581" i="7"/>
  <c r="J2582" i="7"/>
  <c r="J2583" i="7"/>
  <c r="J2584" i="7"/>
  <c r="J2585" i="7"/>
  <c r="J2586" i="7"/>
  <c r="J2587" i="7"/>
  <c r="J2588" i="7"/>
  <c r="J2589" i="7"/>
  <c r="J2590" i="7"/>
  <c r="J2591" i="7"/>
  <c r="J2592" i="7"/>
  <c r="J2593" i="7"/>
  <c r="J2594" i="7"/>
  <c r="J2595" i="7"/>
  <c r="J2596" i="7"/>
  <c r="J2597" i="7"/>
  <c r="J2598" i="7"/>
  <c r="J2599" i="7"/>
  <c r="J2600" i="7"/>
  <c r="J2601" i="7"/>
  <c r="J2602" i="7"/>
  <c r="J2603" i="7"/>
  <c r="J2604" i="7"/>
  <c r="J2605" i="7"/>
  <c r="J2606" i="7"/>
  <c r="J2607" i="7"/>
  <c r="J2608" i="7"/>
  <c r="J2609" i="7"/>
  <c r="J2610" i="7"/>
  <c r="J2611" i="7"/>
  <c r="J2612" i="7"/>
  <c r="J2613" i="7"/>
  <c r="J2614" i="7"/>
  <c r="J2615" i="7"/>
  <c r="J2616" i="7"/>
  <c r="J2617" i="7"/>
  <c r="J2618" i="7"/>
  <c r="J2619" i="7"/>
  <c r="J2620" i="7"/>
  <c r="J2621" i="7"/>
  <c r="J2622" i="7"/>
  <c r="J2623" i="7"/>
  <c r="J2624" i="7"/>
  <c r="J2625" i="7"/>
  <c r="J2626" i="7"/>
  <c r="J2627" i="7"/>
  <c r="J2628" i="7"/>
  <c r="J2629" i="7"/>
  <c r="J2630" i="7"/>
  <c r="J2631" i="7"/>
  <c r="J2632" i="7"/>
  <c r="J2633" i="7"/>
  <c r="J2634" i="7"/>
  <c r="J2635" i="7"/>
  <c r="J2636" i="7"/>
  <c r="J2637" i="7"/>
  <c r="J2638" i="7"/>
  <c r="J2639" i="7"/>
  <c r="J2640" i="7"/>
  <c r="J2641" i="7"/>
  <c r="J2642" i="7"/>
  <c r="J2643" i="7"/>
  <c r="J2644" i="7"/>
  <c r="J2645" i="7"/>
  <c r="J2646" i="7"/>
  <c r="J2647" i="7"/>
  <c r="J2648" i="7"/>
  <c r="J2649" i="7"/>
  <c r="J2650" i="7"/>
  <c r="J2651" i="7"/>
  <c r="J2652" i="7"/>
  <c r="J2653" i="7"/>
  <c r="J2654" i="7"/>
  <c r="J2655" i="7"/>
  <c r="J2656" i="7"/>
  <c r="J2657" i="7"/>
  <c r="J2658" i="7"/>
  <c r="J2659" i="7"/>
  <c r="J2660" i="7"/>
  <c r="J2661" i="7"/>
  <c r="J2662" i="7"/>
  <c r="J2663" i="7"/>
  <c r="J2664" i="7"/>
  <c r="J2665" i="7"/>
  <c r="J2666" i="7"/>
  <c r="J2667" i="7"/>
  <c r="J2668" i="7"/>
  <c r="J2669" i="7"/>
  <c r="J2670" i="7"/>
  <c r="J2671" i="7"/>
  <c r="J2672" i="7"/>
  <c r="J2673" i="7"/>
  <c r="J2674" i="7"/>
  <c r="J2675" i="7"/>
  <c r="J2676" i="7"/>
  <c r="J2677" i="7"/>
  <c r="J2678" i="7"/>
  <c r="J2679" i="7"/>
  <c r="J2680" i="7"/>
  <c r="J2681" i="7"/>
  <c r="J2682" i="7"/>
  <c r="J2683" i="7"/>
  <c r="J2684" i="7"/>
  <c r="J2685" i="7"/>
  <c r="J2686" i="7"/>
  <c r="J2687" i="7"/>
  <c r="J2688" i="7"/>
  <c r="J2689" i="7"/>
  <c r="J2690" i="7"/>
  <c r="J2691" i="7"/>
  <c r="J2692" i="7"/>
  <c r="J2693" i="7"/>
  <c r="J2694" i="7"/>
  <c r="J2695" i="7"/>
  <c r="J2696" i="7"/>
  <c r="J2697" i="7"/>
  <c r="J2698" i="7"/>
  <c r="J2699" i="7"/>
  <c r="J2700" i="7"/>
  <c r="J2701" i="7"/>
  <c r="J2702" i="7"/>
  <c r="J2703" i="7"/>
  <c r="J2704" i="7"/>
  <c r="J2705" i="7"/>
  <c r="J2706" i="7"/>
  <c r="J2707" i="7"/>
  <c r="J2708" i="7"/>
  <c r="J2709" i="7"/>
  <c r="J2710" i="7"/>
  <c r="J2711" i="7"/>
  <c r="J2712" i="7"/>
  <c r="J2713" i="7"/>
  <c r="J2714" i="7"/>
  <c r="J2715" i="7"/>
  <c r="J2716" i="7"/>
  <c r="J2717" i="7"/>
  <c r="J2718" i="7"/>
  <c r="J2719" i="7"/>
  <c r="J2720" i="7"/>
  <c r="J2721" i="7"/>
  <c r="J2722" i="7"/>
  <c r="J2723" i="7"/>
  <c r="J2724" i="7"/>
  <c r="J2725" i="7"/>
  <c r="J2726" i="7"/>
  <c r="J2727" i="7"/>
  <c r="J2728" i="7"/>
  <c r="J2729" i="7"/>
  <c r="J2730" i="7"/>
  <c r="J2731" i="7"/>
  <c r="J2732" i="7"/>
  <c r="J2733" i="7"/>
  <c r="J2734" i="7"/>
  <c r="J2735" i="7"/>
  <c r="J2736" i="7"/>
  <c r="J2737" i="7"/>
  <c r="J2738" i="7"/>
  <c r="J2739" i="7"/>
  <c r="J2740" i="7"/>
  <c r="J2741" i="7"/>
  <c r="J2742" i="7"/>
  <c r="J2743" i="7"/>
  <c r="J2744" i="7"/>
  <c r="J2745" i="7"/>
  <c r="J2746" i="7"/>
  <c r="J2747" i="7"/>
  <c r="J2748" i="7"/>
  <c r="J2749" i="7"/>
  <c r="J2750" i="7"/>
  <c r="J2751" i="7"/>
  <c r="J2752" i="7"/>
  <c r="J2753" i="7"/>
  <c r="J2754" i="7"/>
  <c r="J2755" i="7"/>
  <c r="J2756" i="7"/>
  <c r="J2757" i="7"/>
  <c r="J2758" i="7"/>
  <c r="J2759" i="7"/>
  <c r="J2760" i="7"/>
  <c r="J2761" i="7"/>
  <c r="J2762" i="7"/>
  <c r="J2763" i="7"/>
  <c r="J2764" i="7"/>
  <c r="J2765" i="7"/>
  <c r="J2766" i="7"/>
  <c r="J2767" i="7"/>
  <c r="J2768" i="7"/>
  <c r="J2769" i="7"/>
  <c r="J2770" i="7"/>
  <c r="J2771" i="7"/>
  <c r="J2772" i="7"/>
  <c r="J2773" i="7"/>
  <c r="J2774" i="7"/>
  <c r="J2775" i="7"/>
  <c r="J2776" i="7"/>
  <c r="J2777" i="7"/>
  <c r="J2778" i="7"/>
  <c r="J2779" i="7"/>
  <c r="J2780" i="7"/>
  <c r="J2781" i="7"/>
  <c r="J2782" i="7"/>
  <c r="J2783" i="7"/>
  <c r="J2784" i="7"/>
  <c r="J2785" i="7"/>
  <c r="J2786" i="7"/>
  <c r="J2787" i="7"/>
  <c r="J2788" i="7"/>
  <c r="J2789" i="7"/>
  <c r="J2790" i="7"/>
  <c r="J2791" i="7"/>
  <c r="J2792" i="7"/>
  <c r="J2793" i="7"/>
  <c r="J2794" i="7"/>
  <c r="J2795" i="7"/>
  <c r="J2796" i="7"/>
  <c r="J2797" i="7"/>
  <c r="J2798" i="7"/>
  <c r="J2799" i="7"/>
  <c r="J2800" i="7"/>
  <c r="J2801" i="7"/>
  <c r="J2802" i="7"/>
  <c r="J2803" i="7"/>
  <c r="J2804" i="7"/>
  <c r="J2805" i="7"/>
  <c r="J2806" i="7"/>
  <c r="J2807" i="7"/>
  <c r="J2808" i="7"/>
  <c r="J2809" i="7"/>
  <c r="J2810" i="7"/>
  <c r="J2811" i="7"/>
  <c r="J2812" i="7"/>
  <c r="J2813" i="7"/>
  <c r="J2814" i="7"/>
  <c r="J2815" i="7"/>
  <c r="J2816" i="7"/>
  <c r="J2817" i="7"/>
  <c r="J2818" i="7"/>
  <c r="J2819" i="7"/>
  <c r="J2820" i="7"/>
  <c r="J2821" i="7"/>
  <c r="J2822" i="7"/>
  <c r="J2823" i="7"/>
  <c r="J2824" i="7"/>
  <c r="J2825" i="7"/>
  <c r="J2826" i="7"/>
  <c r="J2827" i="7"/>
  <c r="J2828" i="7"/>
  <c r="J2829" i="7"/>
  <c r="J2830" i="7"/>
  <c r="J2831" i="7"/>
  <c r="J2832" i="7"/>
  <c r="J2833" i="7"/>
  <c r="J2834" i="7"/>
  <c r="J2835" i="7"/>
  <c r="J2836" i="7"/>
  <c r="J2837" i="7"/>
  <c r="J2838" i="7"/>
  <c r="J2839" i="7"/>
  <c r="J2840" i="7"/>
  <c r="J2841" i="7"/>
  <c r="J2842" i="7"/>
  <c r="J2843" i="7"/>
  <c r="J2844" i="7"/>
  <c r="J2845" i="7"/>
  <c r="J2846" i="7"/>
  <c r="J2847" i="7"/>
  <c r="J2848" i="7"/>
  <c r="J2849" i="7"/>
  <c r="J2850" i="7"/>
  <c r="J2851" i="7"/>
  <c r="J2852" i="7"/>
  <c r="J2853" i="7"/>
  <c r="J2854" i="7"/>
  <c r="J2855" i="7"/>
  <c r="J2856" i="7"/>
  <c r="J2857" i="7"/>
  <c r="J2858" i="7"/>
  <c r="J2859" i="7"/>
  <c r="J2860" i="7"/>
  <c r="J2861" i="7"/>
  <c r="J2862" i="7"/>
  <c r="J2863" i="7"/>
  <c r="J2864" i="7"/>
  <c r="J2865" i="7"/>
  <c r="J2866" i="7"/>
  <c r="J2867" i="7"/>
  <c r="J2868" i="7"/>
  <c r="J2869" i="7"/>
  <c r="J2870" i="7"/>
  <c r="J2871" i="7"/>
  <c r="J2872" i="7"/>
  <c r="J2873" i="7"/>
  <c r="J2874" i="7"/>
  <c r="J2875" i="7"/>
  <c r="J2876" i="7"/>
  <c r="J2877" i="7"/>
  <c r="J2878" i="7"/>
  <c r="J2879" i="7"/>
  <c r="J2880" i="7"/>
  <c r="J2881" i="7"/>
  <c r="J2882" i="7"/>
  <c r="J2883" i="7"/>
  <c r="J2884" i="7"/>
  <c r="J2885" i="7"/>
  <c r="J2886" i="7"/>
  <c r="J2887" i="7"/>
  <c r="J2888" i="7"/>
  <c r="J2889" i="7"/>
  <c r="J2890" i="7"/>
  <c r="J2891" i="7"/>
  <c r="J2892" i="7"/>
  <c r="J2893" i="7"/>
  <c r="J2894" i="7"/>
  <c r="J2895" i="7"/>
  <c r="J2896" i="7"/>
  <c r="J2897" i="7"/>
  <c r="J2898" i="7"/>
  <c r="J2899" i="7"/>
  <c r="J2900" i="7"/>
  <c r="J2901" i="7"/>
  <c r="J2902" i="7"/>
  <c r="J2903" i="7"/>
  <c r="J2904" i="7"/>
  <c r="J2905" i="7"/>
  <c r="J2906" i="7"/>
  <c r="J2907" i="7"/>
  <c r="J2908" i="7"/>
  <c r="J2909" i="7"/>
  <c r="J2910" i="7"/>
  <c r="J2911" i="7"/>
  <c r="J2912" i="7"/>
  <c r="J2913" i="7"/>
  <c r="J2914" i="7"/>
  <c r="J2915" i="7"/>
  <c r="J2916" i="7"/>
  <c r="J2917" i="7"/>
  <c r="J2918" i="7"/>
  <c r="J2919" i="7"/>
  <c r="J2920" i="7"/>
  <c r="J2921" i="7"/>
  <c r="J2922" i="7"/>
  <c r="J2923" i="7"/>
  <c r="J2924" i="7"/>
  <c r="J2925" i="7"/>
  <c r="J2926" i="7"/>
  <c r="J2927" i="7"/>
  <c r="J2928" i="7"/>
  <c r="J2929" i="7"/>
  <c r="J2930" i="7"/>
  <c r="J2931" i="7"/>
  <c r="J2932" i="7"/>
  <c r="J2933" i="7"/>
  <c r="J2934" i="7"/>
  <c r="J2935" i="7"/>
  <c r="J2936" i="7"/>
  <c r="J2937" i="7"/>
  <c r="J2938" i="7"/>
  <c r="J2939" i="7"/>
  <c r="J2940" i="7"/>
  <c r="J2941" i="7"/>
  <c r="J2942" i="7"/>
  <c r="J2943" i="7"/>
  <c r="J2944" i="7"/>
  <c r="J2945" i="7"/>
  <c r="J2946" i="7"/>
  <c r="J2947" i="7"/>
  <c r="J2948" i="7"/>
  <c r="J2949" i="7"/>
  <c r="J2950" i="7"/>
  <c r="J2951" i="7"/>
  <c r="J2952" i="7"/>
  <c r="J2953" i="7"/>
  <c r="J2954" i="7"/>
  <c r="J2955" i="7"/>
  <c r="J2956" i="7"/>
  <c r="J2957" i="7"/>
  <c r="J2958" i="7"/>
  <c r="J2959" i="7"/>
  <c r="J2960" i="7"/>
  <c r="J2961" i="7"/>
  <c r="J2962" i="7"/>
  <c r="J2963" i="7"/>
  <c r="J2964" i="7"/>
  <c r="J2965" i="7"/>
  <c r="J2966" i="7"/>
  <c r="J2967" i="7"/>
  <c r="J2968" i="7"/>
  <c r="J2969" i="7"/>
  <c r="J2970" i="7"/>
  <c r="J2971" i="7"/>
  <c r="J2972" i="7"/>
  <c r="J2973" i="7"/>
  <c r="J2974" i="7"/>
  <c r="J2975" i="7"/>
  <c r="J2976" i="7"/>
  <c r="J2977" i="7"/>
  <c r="J2978" i="7"/>
  <c r="J2979" i="7"/>
  <c r="J2980" i="7"/>
  <c r="J2981" i="7"/>
  <c r="J2982" i="7"/>
  <c r="J2983" i="7"/>
  <c r="J2984" i="7"/>
  <c r="J2985" i="7"/>
  <c r="J2986" i="7"/>
  <c r="J2987" i="7"/>
  <c r="J2988" i="7"/>
  <c r="J2989" i="7"/>
  <c r="J2990" i="7"/>
  <c r="J2991" i="7"/>
  <c r="J2992" i="7"/>
  <c r="J2993" i="7"/>
  <c r="J2994" i="7"/>
  <c r="J2995" i="7"/>
  <c r="J2996" i="7"/>
  <c r="J2997" i="7"/>
  <c r="J2998" i="7"/>
  <c r="J2999" i="7"/>
  <c r="J3000" i="7"/>
  <c r="J3001" i="7"/>
  <c r="J3002" i="7"/>
  <c r="J3003" i="7"/>
  <c r="J3004" i="7"/>
  <c r="J3005" i="7"/>
  <c r="J3006" i="7"/>
  <c r="J3007" i="7"/>
  <c r="J3008" i="7"/>
  <c r="J3009" i="7"/>
  <c r="J3010" i="7"/>
  <c r="J3011" i="7"/>
  <c r="J3012" i="7"/>
  <c r="J3013" i="7"/>
  <c r="J3014" i="7"/>
  <c r="J3015" i="7"/>
  <c r="J3016" i="7"/>
  <c r="J3017" i="7"/>
  <c r="J3018" i="7"/>
  <c r="J3019" i="7"/>
  <c r="J3020" i="7"/>
  <c r="J3021" i="7"/>
  <c r="J3022" i="7"/>
  <c r="J3023" i="7"/>
  <c r="J3024" i="7"/>
  <c r="J3025" i="7"/>
  <c r="J3026" i="7"/>
  <c r="J3027" i="7"/>
  <c r="J3028" i="7"/>
  <c r="J3029" i="7"/>
  <c r="J3030" i="7"/>
  <c r="J3031" i="7"/>
  <c r="J3032" i="7"/>
  <c r="J3033" i="7"/>
  <c r="J3034" i="7"/>
  <c r="J3035" i="7"/>
  <c r="J3036" i="7"/>
  <c r="J3037" i="7"/>
  <c r="J3038" i="7"/>
  <c r="J3039" i="7"/>
  <c r="J3040" i="7"/>
  <c r="J3041" i="7"/>
  <c r="J3042" i="7"/>
  <c r="J3043" i="7"/>
  <c r="J3044" i="7"/>
  <c r="J3045" i="7"/>
  <c r="J3046" i="7"/>
  <c r="J3047" i="7"/>
  <c r="J3048" i="7"/>
  <c r="J3049" i="7"/>
  <c r="J3050" i="7"/>
  <c r="J3051" i="7"/>
  <c r="J3052" i="7"/>
  <c r="J3053" i="7"/>
  <c r="J3054" i="7"/>
  <c r="J3055" i="7"/>
  <c r="J3056" i="7"/>
  <c r="J3057" i="7"/>
  <c r="J3058" i="7"/>
  <c r="J3059" i="7"/>
  <c r="J3060" i="7"/>
  <c r="J3061" i="7"/>
  <c r="J3062" i="7"/>
  <c r="J3063" i="7"/>
  <c r="J3064" i="7"/>
  <c r="J3065" i="7"/>
  <c r="J3066" i="7"/>
  <c r="J3067" i="7"/>
  <c r="J3068" i="7"/>
  <c r="J3069" i="7"/>
  <c r="J3070" i="7"/>
  <c r="J3071" i="7"/>
  <c r="J3072" i="7"/>
  <c r="J3073" i="7"/>
  <c r="J3074" i="7"/>
  <c r="J3075" i="7"/>
  <c r="J3076" i="7"/>
  <c r="J3077" i="7"/>
  <c r="J3078" i="7"/>
  <c r="J3079" i="7"/>
  <c r="J3080" i="7"/>
  <c r="J3081" i="7"/>
  <c r="J3082" i="7"/>
  <c r="J3083" i="7"/>
  <c r="J3084" i="7"/>
  <c r="J3085" i="7"/>
  <c r="J3086" i="7"/>
  <c r="J3087" i="7"/>
  <c r="J3088" i="7"/>
  <c r="J3089" i="7"/>
  <c r="J3090" i="7"/>
  <c r="J3091" i="7"/>
  <c r="J3092" i="7"/>
  <c r="J3093" i="7"/>
  <c r="J3094" i="7"/>
  <c r="J3095" i="7"/>
  <c r="J3096" i="7"/>
  <c r="J3097" i="7"/>
  <c r="J3098" i="7"/>
  <c r="J3099" i="7"/>
  <c r="J3100" i="7"/>
  <c r="J3101" i="7"/>
  <c r="J3102" i="7"/>
  <c r="J3103" i="7"/>
  <c r="J3104" i="7"/>
  <c r="J3105" i="7"/>
  <c r="J3106" i="7"/>
  <c r="J3107" i="7"/>
  <c r="J3108" i="7"/>
  <c r="J3109" i="7"/>
  <c r="J3110" i="7"/>
  <c r="J3111" i="7"/>
  <c r="J3112" i="7"/>
  <c r="J3113" i="7"/>
  <c r="J3114" i="7"/>
  <c r="J3115" i="7"/>
  <c r="J3116" i="7"/>
  <c r="J3117" i="7"/>
  <c r="J3118" i="7"/>
  <c r="J3119" i="7"/>
  <c r="J3120" i="7"/>
  <c r="J3121" i="7"/>
  <c r="J3122" i="7"/>
  <c r="J3123" i="7"/>
  <c r="J3124" i="7"/>
  <c r="J3125" i="7"/>
  <c r="J3126" i="7"/>
  <c r="J3127" i="7"/>
  <c r="J3128" i="7"/>
  <c r="J3129" i="7"/>
  <c r="J3130" i="7"/>
  <c r="J3131" i="7"/>
  <c r="J3132" i="7"/>
  <c r="J3133" i="7"/>
  <c r="J3134" i="7"/>
  <c r="J3135" i="7"/>
  <c r="J3136" i="7"/>
  <c r="J3137" i="7"/>
  <c r="J3138" i="7"/>
  <c r="J3139" i="7"/>
  <c r="J3140" i="7"/>
  <c r="J3141" i="7"/>
  <c r="J3142" i="7"/>
  <c r="J3143" i="7"/>
  <c r="J3144" i="7"/>
  <c r="J3145" i="7"/>
  <c r="J3146" i="7"/>
  <c r="J3147" i="7"/>
  <c r="J3148" i="7"/>
  <c r="J3149" i="7"/>
  <c r="J3150" i="7"/>
  <c r="J3151" i="7"/>
  <c r="J3152" i="7"/>
  <c r="J3153" i="7"/>
  <c r="J3154" i="7"/>
  <c r="J3155" i="7"/>
  <c r="J3156" i="7"/>
  <c r="J3157" i="7"/>
  <c r="J3158" i="7"/>
  <c r="J3159" i="7"/>
  <c r="J3160" i="7"/>
  <c r="J3161" i="7"/>
  <c r="J3162" i="7"/>
  <c r="J3163" i="7"/>
  <c r="J3164" i="7"/>
  <c r="J3165" i="7"/>
  <c r="J3166" i="7"/>
  <c r="J3167" i="7"/>
  <c r="J3168" i="7"/>
  <c r="J3169" i="7"/>
  <c r="J3170" i="7"/>
  <c r="J3171" i="7"/>
  <c r="J3172" i="7"/>
  <c r="J3173" i="7"/>
  <c r="J3174" i="7"/>
  <c r="J3175" i="7"/>
  <c r="J3176" i="7"/>
  <c r="J3177" i="7"/>
  <c r="J3178" i="7"/>
  <c r="J3179" i="7"/>
  <c r="J3180" i="7"/>
  <c r="J3181" i="7"/>
  <c r="J3182" i="7"/>
  <c r="J3183" i="7"/>
  <c r="J3184" i="7"/>
  <c r="J3185" i="7"/>
  <c r="J3186" i="7"/>
  <c r="J3187" i="7"/>
  <c r="J3188" i="7"/>
  <c r="J3189" i="7"/>
  <c r="J3190" i="7"/>
  <c r="J3191" i="7"/>
  <c r="J3192" i="7"/>
  <c r="J3193" i="7"/>
  <c r="J3194" i="7"/>
  <c r="J3195" i="7"/>
  <c r="J3196" i="7"/>
  <c r="J3197" i="7"/>
  <c r="J3198" i="7"/>
  <c r="J3199" i="7"/>
  <c r="J3200" i="7"/>
  <c r="J3201" i="7"/>
  <c r="J3202" i="7"/>
  <c r="J3203" i="7"/>
  <c r="J3204" i="7"/>
  <c r="J3205" i="7"/>
  <c r="J3206" i="7"/>
  <c r="J3207" i="7"/>
  <c r="J3208" i="7"/>
  <c r="J3209" i="7"/>
  <c r="J3210" i="7"/>
  <c r="J3211" i="7"/>
  <c r="J3212" i="7"/>
  <c r="J3213" i="7"/>
  <c r="J3214" i="7"/>
  <c r="J3215" i="7"/>
  <c r="J3216" i="7"/>
  <c r="J3217" i="7"/>
  <c r="J3218" i="7"/>
  <c r="J3219" i="7"/>
  <c r="J3220" i="7"/>
  <c r="J3221" i="7"/>
  <c r="J3222" i="7"/>
  <c r="J3223" i="7"/>
  <c r="J3224" i="7"/>
  <c r="J3225" i="7"/>
  <c r="J3226" i="7"/>
  <c r="J3227" i="7"/>
  <c r="J3228" i="7"/>
  <c r="J3229" i="7"/>
  <c r="J3230" i="7"/>
  <c r="J3231" i="7"/>
  <c r="J3232" i="7"/>
  <c r="J3233" i="7"/>
  <c r="J3234" i="7"/>
  <c r="J3235" i="7"/>
  <c r="J3236" i="7"/>
  <c r="J3237" i="7"/>
  <c r="J3238" i="7"/>
  <c r="J3239" i="7"/>
  <c r="J3240" i="7"/>
  <c r="J3241" i="7"/>
  <c r="J3242" i="7"/>
  <c r="J3243" i="7"/>
  <c r="J3244" i="7"/>
  <c r="J3245" i="7"/>
  <c r="J3246" i="7"/>
  <c r="J3247" i="7"/>
  <c r="J3248" i="7"/>
  <c r="J3249" i="7"/>
  <c r="J3250" i="7"/>
  <c r="J3251" i="7"/>
  <c r="J3252" i="7"/>
  <c r="J3253" i="7"/>
  <c r="J3254" i="7"/>
  <c r="J3255" i="7"/>
  <c r="J3256" i="7"/>
  <c r="J3257" i="7"/>
  <c r="J3258" i="7"/>
  <c r="J3259" i="7"/>
  <c r="J3260" i="7"/>
  <c r="J3261" i="7"/>
  <c r="J3262" i="7"/>
  <c r="J3263" i="7"/>
  <c r="J3264" i="7"/>
  <c r="J3265" i="7"/>
  <c r="J3266" i="7"/>
  <c r="J3267" i="7"/>
  <c r="J3268" i="7"/>
  <c r="J3269" i="7"/>
  <c r="J3270" i="7"/>
  <c r="J3271" i="7"/>
  <c r="J3272" i="7"/>
  <c r="J3273" i="7"/>
  <c r="J3274" i="7"/>
  <c r="J3275" i="7"/>
  <c r="J3276" i="7"/>
  <c r="J3277" i="7"/>
  <c r="J3278" i="7"/>
  <c r="J3279" i="7"/>
  <c r="J3280" i="7"/>
  <c r="J3281" i="7"/>
  <c r="J3282" i="7"/>
  <c r="J3283" i="7"/>
  <c r="J3284" i="7"/>
  <c r="J3285" i="7"/>
  <c r="J3286" i="7"/>
  <c r="J3287" i="7"/>
  <c r="J3288" i="7"/>
  <c r="J3289" i="7"/>
  <c r="J3290" i="7"/>
  <c r="J3291" i="7"/>
  <c r="J3292" i="7"/>
  <c r="J3293" i="7"/>
  <c r="J3294" i="7"/>
  <c r="J3295" i="7"/>
  <c r="J3296" i="7"/>
  <c r="J3297" i="7"/>
  <c r="J3298" i="7"/>
  <c r="J3299" i="7"/>
  <c r="J3300" i="7"/>
  <c r="J3301" i="7"/>
  <c r="J3302" i="7"/>
  <c r="J3303" i="7"/>
  <c r="J3304" i="7"/>
  <c r="J3305" i="7"/>
  <c r="J3306" i="7"/>
  <c r="J3307" i="7"/>
  <c r="J3308" i="7"/>
  <c r="J3309" i="7"/>
  <c r="J3310" i="7"/>
  <c r="J3311" i="7"/>
  <c r="J3312" i="7"/>
  <c r="J3313" i="7"/>
  <c r="J3314" i="7"/>
  <c r="J3315" i="7"/>
  <c r="J3316" i="7"/>
  <c r="J3317" i="7"/>
  <c r="J3318" i="7"/>
  <c r="J3319" i="7"/>
  <c r="J3320" i="7"/>
  <c r="J3321" i="7"/>
  <c r="J3322" i="7"/>
  <c r="J3323" i="7"/>
  <c r="J3324" i="7"/>
  <c r="J3325" i="7"/>
  <c r="J3326" i="7"/>
  <c r="J3327" i="7"/>
  <c r="J3328" i="7"/>
  <c r="J3329" i="7"/>
  <c r="J3330" i="7"/>
  <c r="J3331" i="7"/>
  <c r="J3332" i="7"/>
  <c r="J3333" i="7"/>
  <c r="J3334" i="7"/>
  <c r="J3335" i="7"/>
  <c r="J3336" i="7"/>
  <c r="J3337" i="7"/>
  <c r="J3338" i="7"/>
  <c r="J3339" i="7"/>
  <c r="J3340" i="7"/>
  <c r="J3341" i="7"/>
  <c r="J3342" i="7"/>
  <c r="J3343" i="7"/>
  <c r="J3344" i="7"/>
  <c r="J3345" i="7"/>
  <c r="J3346" i="7"/>
  <c r="J3347" i="7"/>
  <c r="J3348" i="7"/>
  <c r="J3349" i="7"/>
  <c r="J3350" i="7"/>
  <c r="J3351" i="7"/>
  <c r="J3352" i="7"/>
  <c r="J3353" i="7"/>
  <c r="J3354" i="7"/>
  <c r="J3355" i="7"/>
  <c r="J3356" i="7"/>
  <c r="J3357" i="7"/>
  <c r="J3358" i="7"/>
  <c r="J3359" i="7"/>
  <c r="J3360" i="7"/>
  <c r="J3361" i="7"/>
  <c r="J3362" i="7"/>
  <c r="J3363" i="7"/>
  <c r="J3364" i="7"/>
  <c r="J3365" i="7"/>
  <c r="J3366" i="7"/>
  <c r="J3367" i="7"/>
  <c r="J3368" i="7"/>
  <c r="J3369" i="7"/>
  <c r="J3370" i="7"/>
  <c r="J3371" i="7"/>
  <c r="J3372" i="7"/>
  <c r="J3373" i="7"/>
  <c r="J3374" i="7"/>
  <c r="J3375" i="7"/>
  <c r="J3376" i="7"/>
  <c r="J3377" i="7"/>
  <c r="J3378" i="7"/>
  <c r="J3379" i="7"/>
  <c r="J3380" i="7"/>
  <c r="J3381" i="7"/>
  <c r="J3382" i="7"/>
  <c r="J3383" i="7"/>
  <c r="J3384" i="7"/>
  <c r="J3385" i="7"/>
  <c r="J3386" i="7"/>
  <c r="J3387" i="7"/>
  <c r="J3388" i="7"/>
  <c r="J3389" i="7"/>
  <c r="J3390" i="7"/>
  <c r="J3391" i="7"/>
  <c r="J3392" i="7"/>
  <c r="J3393" i="7"/>
  <c r="J3394" i="7"/>
  <c r="J3395" i="7"/>
  <c r="J3396" i="7"/>
  <c r="J3397" i="7"/>
  <c r="J3398" i="7"/>
  <c r="J3399" i="7"/>
  <c r="J3400" i="7"/>
  <c r="J3401" i="7"/>
  <c r="J3402" i="7"/>
  <c r="J3403" i="7"/>
  <c r="J3404" i="7"/>
  <c r="J3405" i="7"/>
  <c r="J3406" i="7"/>
  <c r="J3407" i="7"/>
  <c r="J3408" i="7"/>
  <c r="J3409" i="7"/>
  <c r="J3410" i="7"/>
  <c r="J3411" i="7"/>
  <c r="J3412" i="7"/>
  <c r="J3413" i="7"/>
  <c r="J3414" i="7"/>
  <c r="J3415" i="7"/>
  <c r="J3416" i="7"/>
  <c r="J3417" i="7"/>
  <c r="J3418" i="7"/>
  <c r="J3419" i="7"/>
  <c r="J3420" i="7"/>
  <c r="J3421" i="7"/>
  <c r="J3422" i="7"/>
  <c r="J3423" i="7"/>
  <c r="J3424" i="7"/>
  <c r="J3425" i="7"/>
  <c r="J3426" i="7"/>
  <c r="J3427" i="7"/>
  <c r="J3428" i="7"/>
  <c r="J3429" i="7"/>
  <c r="J3430" i="7"/>
  <c r="J3431" i="7"/>
  <c r="J3432" i="7"/>
  <c r="J3433" i="7"/>
  <c r="J3434" i="7"/>
  <c r="J3435" i="7"/>
  <c r="J3436" i="7"/>
  <c r="J3437" i="7"/>
  <c r="J3438" i="7"/>
  <c r="J3439" i="7"/>
  <c r="J3440" i="7"/>
  <c r="J3441" i="7"/>
  <c r="J3442" i="7"/>
  <c r="J3443" i="7"/>
  <c r="J3444" i="7"/>
  <c r="J3445" i="7"/>
  <c r="J3446" i="7"/>
  <c r="J3447" i="7"/>
  <c r="J3448" i="7"/>
  <c r="J3449" i="7"/>
  <c r="J3450" i="7"/>
  <c r="J3451" i="7"/>
  <c r="J3452" i="7"/>
  <c r="J3453" i="7"/>
  <c r="J3454" i="7"/>
  <c r="J3455" i="7"/>
  <c r="J3456" i="7"/>
  <c r="J3457" i="7"/>
  <c r="J3458" i="7"/>
  <c r="J3459" i="7"/>
  <c r="J3460" i="7"/>
  <c r="J3461" i="7"/>
  <c r="J3462" i="7"/>
  <c r="J3463" i="7"/>
  <c r="J3464" i="7"/>
  <c r="J3465" i="7"/>
  <c r="J3466" i="7"/>
  <c r="J3467" i="7"/>
  <c r="J3468" i="7"/>
  <c r="J3469" i="7"/>
  <c r="J3470" i="7"/>
  <c r="J3471" i="7"/>
  <c r="J3472" i="7"/>
  <c r="J3473" i="7"/>
  <c r="J3474" i="7"/>
  <c r="J3475" i="7"/>
  <c r="J3476" i="7"/>
  <c r="J3477" i="7"/>
  <c r="J3478" i="7"/>
  <c r="J3479" i="7"/>
  <c r="J3480" i="7"/>
  <c r="J3481" i="7"/>
  <c r="J3482" i="7"/>
  <c r="J3483" i="7"/>
  <c r="J3484" i="7"/>
  <c r="J3485" i="7"/>
  <c r="J3486" i="7"/>
  <c r="J3487" i="7"/>
  <c r="J3488" i="7"/>
  <c r="J3489" i="7"/>
  <c r="J3490" i="7"/>
  <c r="J3491" i="7"/>
  <c r="J3492" i="7"/>
  <c r="J3493" i="7"/>
  <c r="J3494" i="7"/>
  <c r="J3495" i="7"/>
  <c r="J3496" i="7"/>
  <c r="J3497" i="7"/>
  <c r="J3498" i="7"/>
  <c r="J3499" i="7"/>
  <c r="J3500" i="7"/>
  <c r="J3501" i="7"/>
  <c r="J3502" i="7"/>
  <c r="J3503" i="7"/>
  <c r="J3504" i="7"/>
  <c r="J3505" i="7"/>
  <c r="J3506" i="7"/>
  <c r="J3507" i="7"/>
  <c r="J3508" i="7"/>
  <c r="J3509" i="7"/>
  <c r="J3510" i="7"/>
  <c r="J3511" i="7"/>
  <c r="J3512" i="7"/>
  <c r="J3513" i="7"/>
  <c r="J3514" i="7"/>
  <c r="J3515" i="7"/>
  <c r="J3516" i="7"/>
  <c r="J3517" i="7"/>
  <c r="J3518" i="7"/>
  <c r="J3519" i="7"/>
  <c r="J3520" i="7"/>
  <c r="J3521" i="7"/>
  <c r="J3522" i="7"/>
  <c r="J3523" i="7"/>
  <c r="J3524" i="7"/>
  <c r="J3525" i="7"/>
  <c r="J3526" i="7"/>
  <c r="J3527" i="7"/>
  <c r="J3528" i="7"/>
  <c r="J3529" i="7"/>
  <c r="J3530" i="7"/>
  <c r="J3531" i="7"/>
  <c r="J3532" i="7"/>
  <c r="J3533" i="7"/>
  <c r="J3534" i="7"/>
  <c r="J3535" i="7"/>
  <c r="J3536" i="7"/>
  <c r="J3537" i="7"/>
  <c r="J3538" i="7"/>
  <c r="J3539" i="7"/>
  <c r="J3540" i="7"/>
  <c r="J3541" i="7"/>
  <c r="J3542" i="7"/>
  <c r="J3543" i="7"/>
  <c r="J3544" i="7"/>
  <c r="J3545" i="7"/>
  <c r="J3546" i="7"/>
  <c r="F2" i="16"/>
  <c r="B4"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tc={43F1EF4D-8E42-4589-9EF1-6B9AF8A71907}</author>
  </authors>
  <commentList>
    <comment ref="J1" authorId="0" shapeId="0" xr:uid="{43F1EF4D-8E42-4589-9EF1-6B9AF8A71907}">
      <text>
        <t xml:space="preserve">[Threaded comment]
Your version of Excel allows you to read this threaded comment; however, any edits to it will get removed if the file is opened in a newer version of Excel. Learn more: https://go.microsoft.com/fwlink/?linkid=870924
Comment:
    Categorizing based on Price per Sq Ft. The median PPSF in Oakland County is $213 for example. This IF statement will need tweaking to match the data we have, unless it's in fact true that most of these home's PPSF is actually low based on the median price.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tc={50BB8DB2-914C-46A4-8BD8-5017CBF8AD8F}</author>
  </authors>
  <commentList>
    <comment ref="D2" authorId="0" shapeId="0" xr:uid="{50BB8DB2-914C-46A4-8BD8-5017CBF8AD8F}">
      <text>
        <t>[Threaded comment]
Your version of Excel allows you to read this threaded comment; however, any edits to it will get removed if the file is opened in a newer version of Excel. Learn more: https://go.microsoft.com/fwlink/?linkid=870924
Comment:
    Added conditional formatting color scales to differentiate high and low values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tc={976F28BC-D9CF-4D5F-B03A-BEEF289D4F57}</author>
  </authors>
  <commentList>
    <comment ref="B2" authorId="0" shapeId="0" xr:uid="{976F28BC-D9CF-4D5F-B03A-BEEF289D4F57}">
      <text>
        <t>[Threaded comment]
Your version of Excel allows you to read this threaded comment; however, any edits to it will get removed if the file is opened in a newer version of Excel. Learn more: https://go.microsoft.com/fwlink/?linkid=870924
Comment:
    Added conditional formatting color scales to differentiate high and low values</t>
      </text>
    </comment>
  </commentList>
</comments>
</file>

<file path=xl/sharedStrings.xml><?xml version="1.0" encoding="utf-8"?>
<sst xmlns="http://schemas.openxmlformats.org/spreadsheetml/2006/main" count="10923" uniqueCount="3701">
  <si>
    <t>Address</t>
  </si>
  <si>
    <t>City</t>
  </si>
  <si>
    <t>County</t>
  </si>
  <si>
    <t>Price</t>
  </si>
  <si>
    <t>Days on Market</t>
  </si>
  <si>
    <t>Beds Total</t>
  </si>
  <si>
    <t>Baths</t>
  </si>
  <si>
    <t>Sq Ft</t>
  </si>
  <si>
    <t>Price per Sq Ft</t>
  </si>
  <si>
    <t>Price per Sq Ft Category</t>
  </si>
  <si>
    <t>6868 Essex Court</t>
  </si>
  <si>
    <t>Waterford Twp</t>
  </si>
  <si>
    <t>Oakland</t>
  </si>
  <si>
    <t>233 S EDITH Street</t>
  </si>
  <si>
    <t>Pontiac</t>
  </si>
  <si>
    <t xml:space="preserve">42125  La Roi </t>
  </si>
  <si>
    <t>Novi</t>
  </si>
  <si>
    <t>63 Mirabeau</t>
  </si>
  <si>
    <t>Rochester Hills</t>
  </si>
  <si>
    <t>68 Mirabeau</t>
  </si>
  <si>
    <t>3710 Elm Court</t>
  </si>
  <si>
    <t>Village Of Clarkston</t>
  </si>
  <si>
    <t>157 W HOWARD Street</t>
  </si>
  <si>
    <t>56 DWIGHT Avenue</t>
  </si>
  <si>
    <t>2700 Shimmons Road</t>
  </si>
  <si>
    <t>Auburn Hills</t>
  </si>
  <si>
    <t>24 MARY DAY Avenue</t>
  </si>
  <si>
    <t>256 W KENNETT Road</t>
  </si>
  <si>
    <t>621 ARDMORE Drive</t>
  </si>
  <si>
    <t>Ferndale</t>
  </si>
  <si>
    <t>577 ARTHUR Avenue</t>
  </si>
  <si>
    <t>500 CALIFORNIA Avenue</t>
  </si>
  <si>
    <t>94 N MERRIMAC Street</t>
  </si>
  <si>
    <t>38 EARLMOOR Boulevard</t>
  </si>
  <si>
    <t>188 UNIVERSITY Drive</t>
  </si>
  <si>
    <t>23084 HOOVER Avenue</t>
  </si>
  <si>
    <t>Hazel Park</t>
  </si>
  <si>
    <t>96 W Fairmount</t>
  </si>
  <si>
    <t>23147 TAWAS Avenue</t>
  </si>
  <si>
    <t>346 E Bernhard Avenue</t>
  </si>
  <si>
    <t>269 N CASS Avenue</t>
  </si>
  <si>
    <t>27104 OSMUN Street</t>
  </si>
  <si>
    <t>Madison Heights</t>
  </si>
  <si>
    <t>498 OMAR Street</t>
  </si>
  <si>
    <t>57 PARK Place</t>
  </si>
  <si>
    <t>49 LEWIS Street</t>
  </si>
  <si>
    <t>512 Midway Avenue</t>
  </si>
  <si>
    <t>57 VINEWOOD Court</t>
  </si>
  <si>
    <t>725 CORTWRIGHT Street</t>
  </si>
  <si>
    <t>405 Broadway Street</t>
  </si>
  <si>
    <t>1435 E BERNHARD Avenue</t>
  </si>
  <si>
    <t>1125 VOORHEIS Street</t>
  </si>
  <si>
    <t>454 W MADGE Avenue</t>
  </si>
  <si>
    <t>16257 DERBY Circle</t>
  </si>
  <si>
    <t>Holly Twp</t>
  </si>
  <si>
    <t>3446 DUFFIELD Street</t>
  </si>
  <si>
    <t>White Lake Twp</t>
  </si>
  <si>
    <t>30 E SHEFFIELD Avenue</t>
  </si>
  <si>
    <t>68 HENRY CLAY Avenue</t>
  </si>
  <si>
    <t>829 BAY Street</t>
  </si>
  <si>
    <t>1621 E MEYERS Avenue</t>
  </si>
  <si>
    <t>674 E MANSFIELD Avenue</t>
  </si>
  <si>
    <t>26803 WOLVERINE Street</t>
  </si>
  <si>
    <t>1064 MYRTLE Avenue</t>
  </si>
  <si>
    <t>132 E Howard Street</t>
  </si>
  <si>
    <t>396 HIGHLAND Avenue</t>
  </si>
  <si>
    <t>96 N Roselawn Street</t>
  </si>
  <si>
    <t>986 BERWICK Boulevard</t>
  </si>
  <si>
    <t>39 PORTAGE Street</t>
  </si>
  <si>
    <t>21024 Ontaga Street</t>
  </si>
  <si>
    <t>Farmington Hills</t>
  </si>
  <si>
    <t>664 SCOTTWOOD Street</t>
  </si>
  <si>
    <t>21335 Negaunee</t>
  </si>
  <si>
    <t>Southfield</t>
  </si>
  <si>
    <t>521 HARPER Street</t>
  </si>
  <si>
    <t>124 KEMP Street</t>
  </si>
  <si>
    <t>1069 BROWN Road</t>
  </si>
  <si>
    <t>Orion Twp</t>
  </si>
  <si>
    <t>887 Woodland</t>
  </si>
  <si>
    <t>8236 Dickert Street</t>
  </si>
  <si>
    <t>Commerce Twp</t>
  </si>
  <si>
    <t>469 S JESSIE Street</t>
  </si>
  <si>
    <t>14041 W 10 MILE Road</t>
  </si>
  <si>
    <t>Oak Park</t>
  </si>
  <si>
    <t>10741 CORNING Street</t>
  </si>
  <si>
    <t>146 W TENNYSON Avenue</t>
  </si>
  <si>
    <t>511 E PIKE Street</t>
  </si>
  <si>
    <t>103 Calvert Avenue</t>
  </si>
  <si>
    <t>982 Dewey Street</t>
  </si>
  <si>
    <t>197 Crystal lake Drive</t>
  </si>
  <si>
    <t>576 MONTANA Avenue</t>
  </si>
  <si>
    <t>1552 E GRANET Avenue</t>
  </si>
  <si>
    <t>440 E Lake Street</t>
  </si>
  <si>
    <t>South Lyon</t>
  </si>
  <si>
    <t>351 E Evelyn</t>
  </si>
  <si>
    <t>20200 WESTHAMPTON Avenue</t>
  </si>
  <si>
    <t>421 4th Avenue</t>
  </si>
  <si>
    <t>113 E RUTGERS Avenue</t>
  </si>
  <si>
    <t>456 Nevada Avenue</t>
  </si>
  <si>
    <t>226 N JOHNSON Street</t>
  </si>
  <si>
    <t>46 E SHEFFIELD Avenue</t>
  </si>
  <si>
    <t>90 VIRGINIA Street</t>
  </si>
  <si>
    <t>654 E MANSFIELD Avenue</t>
  </si>
  <si>
    <t>19871 Albany Avenue</t>
  </si>
  <si>
    <t>22104 BERG Road</t>
  </si>
  <si>
    <t>82 CADILLAC Street</t>
  </si>
  <si>
    <t>23066 Vance Avenue</t>
  </si>
  <si>
    <t>2543 Harrison</t>
  </si>
  <si>
    <t>160 OGEMAW Road</t>
  </si>
  <si>
    <t>21428 CALEDONIA Avenue</t>
  </si>
  <si>
    <t>142 W BRICKLEY Avenue</t>
  </si>
  <si>
    <t>27304 GROVELAND Street</t>
  </si>
  <si>
    <t>26451 LORENZ Street</t>
  </si>
  <si>
    <t>155 EARLMOOR Boulevard</t>
  </si>
  <si>
    <t>22041 JEROME Street</t>
  </si>
  <si>
    <t>68 Omar Street</t>
  </si>
  <si>
    <t>4021 N DUCK LAKE Road</t>
  </si>
  <si>
    <t>Highland Twp</t>
  </si>
  <si>
    <t>21601 Poinciana Street</t>
  </si>
  <si>
    <t>734 PARKWOOD Avenue</t>
  </si>
  <si>
    <t>307 3RD Avenue</t>
  </si>
  <si>
    <t>902 MELROSE Street</t>
  </si>
  <si>
    <t>21000 MADA Avenue</t>
  </si>
  <si>
    <t>1117 Cherrylawn  Drive</t>
  </si>
  <si>
    <t>30829 FAIRFAX Street</t>
  </si>
  <si>
    <t>2890 CENTRAL Boulevard</t>
  </si>
  <si>
    <t>13 OSCEOLA Drive</t>
  </si>
  <si>
    <t>277 Nebraska Avenue</t>
  </si>
  <si>
    <t>1754 E MADGE</t>
  </si>
  <si>
    <t>54 W PRINCETON Avenue</t>
  </si>
  <si>
    <t>1221 E 13 MILE Road</t>
  </si>
  <si>
    <t>Royal Oak</t>
  </si>
  <si>
    <t>27058 PALMER Boulevard</t>
  </si>
  <si>
    <t>279 MARTIN LUTHER KING JR Boulevard S</t>
  </si>
  <si>
    <t>3280 WATKINS LAKE Road</t>
  </si>
  <si>
    <t>381 N SAGINAW Street</t>
  </si>
  <si>
    <t>10200 ALBANY Street</t>
  </si>
  <si>
    <t>3814 Tienken</t>
  </si>
  <si>
    <t>4020 Elmhurst</t>
  </si>
  <si>
    <t>21111 Indian Street</t>
  </si>
  <si>
    <t>27028 BARRINGTON Street</t>
  </si>
  <si>
    <t>10050 TROY Street</t>
  </si>
  <si>
    <t>2255 Novara Avenue</t>
  </si>
  <si>
    <t>1755 E PEARL Avenue</t>
  </si>
  <si>
    <t>1751 Woodward Heights</t>
  </si>
  <si>
    <t>365 S MARSHALL Street</t>
  </si>
  <si>
    <t>1657 LEROY Street</t>
  </si>
  <si>
    <t>4146 LOTUS Drive</t>
  </si>
  <si>
    <t>92 N Telegraph Road</t>
  </si>
  <si>
    <t>23034 HAZELWOOD Avenue</t>
  </si>
  <si>
    <t>166 W LONGFELLOW Avenue</t>
  </si>
  <si>
    <t>449 W Goulson</t>
  </si>
  <si>
    <t>20853 GARDEN Lane</t>
  </si>
  <si>
    <t>Royal Oak Twp</t>
  </si>
  <si>
    <t>1744 PATTERSON Street</t>
  </si>
  <si>
    <t>Brandon Twp</t>
  </si>
  <si>
    <t>64 Whitfield</t>
  </si>
  <si>
    <t>1645 E Goulson Avenue</t>
  </si>
  <si>
    <t>26616 HAMPDEN Street</t>
  </si>
  <si>
    <t>5763 Graves Street</t>
  </si>
  <si>
    <t>2128 ROMEO Street</t>
  </si>
  <si>
    <t>970 E ROBERT Avenue</t>
  </si>
  <si>
    <t>377 W Elza</t>
  </si>
  <si>
    <t>21105 MIDWAY Avenue</t>
  </si>
  <si>
    <t>645 CENTER Ridge</t>
  </si>
  <si>
    <t>511 E KALAMA Avenue</t>
  </si>
  <si>
    <t>22031 JEROME Street</t>
  </si>
  <si>
    <t>200 STARR Avenue</t>
  </si>
  <si>
    <t>765 STANLEY Avenue</t>
  </si>
  <si>
    <t>60 MARK Avenue</t>
  </si>
  <si>
    <t>75 Mathews Street</t>
  </si>
  <si>
    <t>18618 W 9 MILE Road</t>
  </si>
  <si>
    <t>25 MARY DAY Avenue</t>
  </si>
  <si>
    <t>546 E WOODRUFF Avenue</t>
  </si>
  <si>
    <t>819 E Harwood</t>
  </si>
  <si>
    <t>14211 NORTHEND Avenue</t>
  </si>
  <si>
    <t>10201 SARATOGA Street</t>
  </si>
  <si>
    <t>27320 Osmun</t>
  </si>
  <si>
    <t>1111 AIRPORT Road</t>
  </si>
  <si>
    <t>26147 BARRINGTON Street</t>
  </si>
  <si>
    <t>2276 MONTROYAL Avenue</t>
  </si>
  <si>
    <t>70 W Meyers</t>
  </si>
  <si>
    <t>20433 WESTOVER Avenue</t>
  </si>
  <si>
    <t>72 W Milton</t>
  </si>
  <si>
    <t>91 THORPE Street</t>
  </si>
  <si>
    <t>1107 E HUDSON Avenue</t>
  </si>
  <si>
    <t>1540 Joslyn</t>
  </si>
  <si>
    <t>53 E Goulson Avenue</t>
  </si>
  <si>
    <t>1064 Argyle Avenue</t>
  </si>
  <si>
    <t>23122 CROSSLEY Avenue</t>
  </si>
  <si>
    <t>1970 BEECHMONT Street</t>
  </si>
  <si>
    <t>Keego Harbor</t>
  </si>
  <si>
    <t>953 EMWILL Street</t>
  </si>
  <si>
    <t>11 Lexington Place</t>
  </si>
  <si>
    <t>2317 DALLAS Avenue</t>
  </si>
  <si>
    <t>54 W MAXLOW Avenue</t>
  </si>
  <si>
    <t>104  W Hayes Avenue</t>
  </si>
  <si>
    <t>51 W GRANET Avenue</t>
  </si>
  <si>
    <t>1585 VALLEY Drive</t>
  </si>
  <si>
    <t>92 AUGUSTA Avenue</t>
  </si>
  <si>
    <t>1380 Paul</t>
  </si>
  <si>
    <t>6130  Tucker  Road</t>
  </si>
  <si>
    <t>152 DWIGHT Avenue</t>
  </si>
  <si>
    <t>5426 FLEET Avenue</t>
  </si>
  <si>
    <t>940 Marvell</t>
  </si>
  <si>
    <t>95 W HUDSON Avenue</t>
  </si>
  <si>
    <t>71 W Mapledale</t>
  </si>
  <si>
    <t>30456 Palmer Boulevard</t>
  </si>
  <si>
    <t>2997 E WALTON Boulevard</t>
  </si>
  <si>
    <t>345 3RD Avenue</t>
  </si>
  <si>
    <t>131 W MEYERS Avenue</t>
  </si>
  <si>
    <t>2720 Iowa</t>
  </si>
  <si>
    <t>Troy</t>
  </si>
  <si>
    <t>24291 PARKLAWN Street</t>
  </si>
  <si>
    <t>840 E BARRETT Avenue</t>
  </si>
  <si>
    <t>2881 AUBURN Road</t>
  </si>
  <si>
    <t>877 E DALLAS Avenue</t>
  </si>
  <si>
    <t>14230 NORTHEND Avenue</t>
  </si>
  <si>
    <t>86 E RUTGERS Avenue</t>
  </si>
  <si>
    <t>21611 Cloverlawn Street</t>
  </si>
  <si>
    <t>771 W Marshall Street</t>
  </si>
  <si>
    <t>871 SPENCE Street</t>
  </si>
  <si>
    <t>27036 ALDEN Street</t>
  </si>
  <si>
    <t>10630 TROY Street</t>
  </si>
  <si>
    <t>345 W WOODRUFF Avenue</t>
  </si>
  <si>
    <t>21234 SAINT FRANCIS Street</t>
  </si>
  <si>
    <t>437 Linda Vista Drive</t>
  </si>
  <si>
    <t>1092 SCOTT LAKE Road</t>
  </si>
  <si>
    <t>414 LAKEVIEW Street</t>
  </si>
  <si>
    <t>Holly Vlg</t>
  </si>
  <si>
    <t>32 STEPHENS Court</t>
  </si>
  <si>
    <t>45 E CORNELL Avenue</t>
  </si>
  <si>
    <t>21661 CLOVERLAWN Street</t>
  </si>
  <si>
    <t>23347 Easterling Avenue</t>
  </si>
  <si>
    <t>4611 HATCHERY Road</t>
  </si>
  <si>
    <t>5100 LAKEBORN Drive</t>
  </si>
  <si>
    <t>2440 Jones Road</t>
  </si>
  <si>
    <t>2828 HONEYWELL LAKE Road</t>
  </si>
  <si>
    <t>107 NEWBERRY Street</t>
  </si>
  <si>
    <t>21820  Church street</t>
  </si>
  <si>
    <t>40 ORCHARD Avenue</t>
  </si>
  <si>
    <t>688 E ANNABELLE Avenue</t>
  </si>
  <si>
    <t>3087 LINCOLNVIEW Street</t>
  </si>
  <si>
    <t>8610 SARATOGA Street</t>
  </si>
  <si>
    <t>2694 CHRYSLER Avenue</t>
  </si>
  <si>
    <t>24341 Parklawn Street</t>
  </si>
  <si>
    <t>27136 SHAGBARK Drive</t>
  </si>
  <si>
    <t>3296 Crooks Road</t>
  </si>
  <si>
    <t>582 E TENNYSON Avenue</t>
  </si>
  <si>
    <t>480 Granada Drive</t>
  </si>
  <si>
    <t>21812 COLGATE Street</t>
  </si>
  <si>
    <t>21701 PARKLAWN Street</t>
  </si>
  <si>
    <t>19610 HILTON Drive</t>
  </si>
  <si>
    <t>5275 SHERWOOD Road</t>
  </si>
  <si>
    <t>131 DRAPER Avenue</t>
  </si>
  <si>
    <t>751 CRESCENT LAKE Road</t>
  </si>
  <si>
    <t>27105 BRUSH Street</t>
  </si>
  <si>
    <t>1110 Tecumseh</t>
  </si>
  <si>
    <t>23154 BATTELLE Avenue</t>
  </si>
  <si>
    <t>251 SPENCER Street</t>
  </si>
  <si>
    <t>2434  McDowell  Street</t>
  </si>
  <si>
    <t>3186 WOODLAWN Street</t>
  </si>
  <si>
    <t>324 Spencer Street</t>
  </si>
  <si>
    <t>15120 NORTHFIELD Boulevard</t>
  </si>
  <si>
    <t>89 OSCEOLA Drive</t>
  </si>
  <si>
    <t>26036 Alger</t>
  </si>
  <si>
    <t>3218 GRAYSON Street</t>
  </si>
  <si>
    <t>2370 ROLANDALE Road E</t>
  </si>
  <si>
    <t>West Bloomfield Twp</t>
  </si>
  <si>
    <t>550 E MUIR Avenue</t>
  </si>
  <si>
    <t>23424 VASSAR Avenue</t>
  </si>
  <si>
    <t>9045 MILLWARD Avenue</t>
  </si>
  <si>
    <t>62 E Rowland</t>
  </si>
  <si>
    <t>27120 Brettonwoods Street</t>
  </si>
  <si>
    <t>6339 Dellwood Drive</t>
  </si>
  <si>
    <t>19941 DORSET Street</t>
  </si>
  <si>
    <t>25626 DUNBAR Street</t>
  </si>
  <si>
    <t>4914 LAKE GROVE Drive N</t>
  </si>
  <si>
    <t>282 Hershey Boulevard</t>
  </si>
  <si>
    <t>23029 STAUBER Avenue</t>
  </si>
  <si>
    <t>18 S SHIRLEY Street</t>
  </si>
  <si>
    <t>3689 BUCKINGHAM Avenue</t>
  </si>
  <si>
    <t>Berkley</t>
  </si>
  <si>
    <t>6621 S Doyon</t>
  </si>
  <si>
    <t>6621 DOYON Drive S</t>
  </si>
  <si>
    <t>28641 DENISE Street</t>
  </si>
  <si>
    <t>21900 EASTWOOD Street</t>
  </si>
  <si>
    <t>571 Andresen Court</t>
  </si>
  <si>
    <t>10280 Troy</t>
  </si>
  <si>
    <t>21355 Woodside</t>
  </si>
  <si>
    <t>23830 ROANOKE Avenue</t>
  </si>
  <si>
    <t>280 DICK Avenue</t>
  </si>
  <si>
    <t>2260 BRICKLEY Street</t>
  </si>
  <si>
    <t>310 Sherwood</t>
  </si>
  <si>
    <t>Holly</t>
  </si>
  <si>
    <t>20805 BETHLAWN Boulevard</t>
  </si>
  <si>
    <t>5481 E HOLLY Road</t>
  </si>
  <si>
    <t>8354 BUCKELL LAKE Road</t>
  </si>
  <si>
    <t>Groveland Twp</t>
  </si>
  <si>
    <t>30 W Harwood</t>
  </si>
  <si>
    <t>21217 ONTAGA Street</t>
  </si>
  <si>
    <t>23850 JEROME Street</t>
  </si>
  <si>
    <t>30027 FINK Avenue</t>
  </si>
  <si>
    <t>27344 GROVELAND Street</t>
  </si>
  <si>
    <t>22500 CARLETON Avenue</t>
  </si>
  <si>
    <t>1465 LANGFIELD Avenue</t>
  </si>
  <si>
    <t>1762 E Hayes</t>
  </si>
  <si>
    <t>26620 Osmun</t>
  </si>
  <si>
    <t>422 HARDEN Street</t>
  </si>
  <si>
    <t>5185 GRANGE HALL Road</t>
  </si>
  <si>
    <t>19160 HILTON Drive</t>
  </si>
  <si>
    <t>480 University Street</t>
  </si>
  <si>
    <t>634 W HARWOOD Avenue</t>
  </si>
  <si>
    <t>620 W DALLAS Avenue</t>
  </si>
  <si>
    <t>3341 Frembes Road</t>
  </si>
  <si>
    <t>2286 DAVISTA Drive</t>
  </si>
  <si>
    <t>23789 Crossley</t>
  </si>
  <si>
    <t>9238 EAGLE HILL Drive</t>
  </si>
  <si>
    <t>Springfield Twp</t>
  </si>
  <si>
    <t>464 E MAPLEHURST Street</t>
  </si>
  <si>
    <t>425 SHERWOOD Court</t>
  </si>
  <si>
    <t>1034 HOLBROOK Avenue</t>
  </si>
  <si>
    <t>12931 ROSEMARY Boulevard</t>
  </si>
  <si>
    <t>23385 MELVILLE Avenue</t>
  </si>
  <si>
    <t>4014 Greenfield Road</t>
  </si>
  <si>
    <t>647 SAINT LOUIS Street</t>
  </si>
  <si>
    <t>23336 HOOVER Avenue</t>
  </si>
  <si>
    <t>23385 BATTELLE Avenue</t>
  </si>
  <si>
    <t>23460 CLOVERLAWN Street</t>
  </si>
  <si>
    <t>21615 ROCKWELL Street</t>
  </si>
  <si>
    <t>6281 WALDON Road</t>
  </si>
  <si>
    <t>Independence Twp</t>
  </si>
  <si>
    <t>1405 MARIE Street</t>
  </si>
  <si>
    <t>3700 W WALTON Boulevard</t>
  </si>
  <si>
    <t>21814 Purdue Avenue</t>
  </si>
  <si>
    <t>34 N LYNN Avenue</t>
  </si>
  <si>
    <t>25274 MIDDLEBELT Road</t>
  </si>
  <si>
    <t>15160 FISH LAKE Road</t>
  </si>
  <si>
    <t>938 Arlene</t>
  </si>
  <si>
    <t>21185 Poinciana Street</t>
  </si>
  <si>
    <t>1114 E MEYERS Avenue</t>
  </si>
  <si>
    <t>28670 INKSTER Road</t>
  </si>
  <si>
    <t>23581 Condon Street</t>
  </si>
  <si>
    <t>141 HIBBARD CT S S</t>
  </si>
  <si>
    <t>941 HARRY PAUL Drive</t>
  </si>
  <si>
    <t>9525 CORNELL Avenue</t>
  </si>
  <si>
    <t>703 GARDENIA Avenue</t>
  </si>
  <si>
    <t>24321 JEROME Street</t>
  </si>
  <si>
    <t>1007 Mohawk</t>
  </si>
  <si>
    <t>124 W Woodward Heights Boulevard</t>
  </si>
  <si>
    <t>14521 BISHOP Street</t>
  </si>
  <si>
    <t>279 SCOTT LAKE Road</t>
  </si>
  <si>
    <t>631 BUTLER Drive</t>
  </si>
  <si>
    <t>1914 FARROW Street</t>
  </si>
  <si>
    <t>14325 Oak Park Boulevard</t>
  </si>
  <si>
    <t>20 CHAPMAN Street</t>
  </si>
  <si>
    <t>28835 Hales</t>
  </si>
  <si>
    <t>65 Oakmont E</t>
  </si>
  <si>
    <t>30114 STOCKTON Avenue</t>
  </si>
  <si>
    <t>1456 MOORHOUSE Street</t>
  </si>
  <si>
    <t>2299 DENBY Drive</t>
  </si>
  <si>
    <t>3796 ELLWOOD Avenue Avenue</t>
  </si>
  <si>
    <t>96 W TACOMA Street</t>
  </si>
  <si>
    <t>Clawson</t>
  </si>
  <si>
    <t>1116 VESTER Street</t>
  </si>
  <si>
    <t>1005 W 12 MILE Road</t>
  </si>
  <si>
    <t>28705 EVERETT Street</t>
  </si>
  <si>
    <t>59 W PEARL Avenue</t>
  </si>
  <si>
    <t>6214 ANDERSONVILLE Road</t>
  </si>
  <si>
    <t>1686 BEECH</t>
  </si>
  <si>
    <t>2338 MAHAN Street</t>
  </si>
  <si>
    <t>20825 PARKSIDE Boulevard</t>
  </si>
  <si>
    <t>8870 CROSBY LAKE Road</t>
  </si>
  <si>
    <t>2914 Horton St</t>
  </si>
  <si>
    <t>624 S Vermont Avenue</t>
  </si>
  <si>
    <t>624 S VERMONT Avenue</t>
  </si>
  <si>
    <t>821 E Bernhard Avenue</t>
  </si>
  <si>
    <t>84 N GENESEE Avenue</t>
  </si>
  <si>
    <t>696 Crescent Lake Road</t>
  </si>
  <si>
    <t>1516 E CHESTERFIELD Street</t>
  </si>
  <si>
    <t>10 W BURDICK Street</t>
  </si>
  <si>
    <t>Oxford Vlg</t>
  </si>
  <si>
    <t>17260 Magnolia Parkway</t>
  </si>
  <si>
    <t>2435 ROSELAWN Street</t>
  </si>
  <si>
    <t>Wolverine Lake Vlg</t>
  </si>
  <si>
    <t>412 WHIPPLE Street</t>
  </si>
  <si>
    <t>2266 NEWBERRY Road</t>
  </si>
  <si>
    <t>1867 PAYSON Road</t>
  </si>
  <si>
    <t>Walled Lake</t>
  </si>
  <si>
    <t>26074 BARRINGTON Street</t>
  </si>
  <si>
    <t>1541 E WATTLES Road</t>
  </si>
  <si>
    <t>14220 Greenbriar</t>
  </si>
  <si>
    <t>3915 LAWLEY Avenue</t>
  </si>
  <si>
    <t>6031 SOUTHWARD Avenue</t>
  </si>
  <si>
    <t>670 3RD Avenue</t>
  </si>
  <si>
    <t>864 MENOMINEE Road</t>
  </si>
  <si>
    <t>635 JOHN M Avenue</t>
  </si>
  <si>
    <t>2149 PONTIAC Drive</t>
  </si>
  <si>
    <t>Sylvan Lake</t>
  </si>
  <si>
    <t>78 Leota Boulevard</t>
  </si>
  <si>
    <t>Oakland Twp</t>
  </si>
  <si>
    <t>1816 JUNE Avenue</t>
  </si>
  <si>
    <t>4482 ROHR Road</t>
  </si>
  <si>
    <t>1504 MOULIN Ave</t>
  </si>
  <si>
    <t>2961 HUNTINGTON PARK Drive</t>
  </si>
  <si>
    <t>24225 COOLIDGE</t>
  </si>
  <si>
    <t>25322 KILDARE Street</t>
  </si>
  <si>
    <t>1270 Kalama Avenue</t>
  </si>
  <si>
    <t>590 Hecht</t>
  </si>
  <si>
    <t>537 E LINCOLN Avenue</t>
  </si>
  <si>
    <t>28480 SUTHERLAND Street</t>
  </si>
  <si>
    <t>116 W Shevlin</t>
  </si>
  <si>
    <t>6570 SALINE Drive</t>
  </si>
  <si>
    <t>3161 Terry</t>
  </si>
  <si>
    <t>95 Chopin Avenue</t>
  </si>
  <si>
    <t>4556 CHADSWORTH Street</t>
  </si>
  <si>
    <t>23718 WILDWOOD Street</t>
  </si>
  <si>
    <t>29646 Spoon</t>
  </si>
  <si>
    <t>1009 WINIFRED Drive</t>
  </si>
  <si>
    <t>27112 DARTMOUTH Street</t>
  </si>
  <si>
    <t>95 N WASHINGTON Street</t>
  </si>
  <si>
    <t>2448 W AUBURN Road</t>
  </si>
  <si>
    <t>1479 MORLEY Avenue</t>
  </si>
  <si>
    <t>1543 GRINSHAW Street</t>
  </si>
  <si>
    <t>6798 SALINE Drive</t>
  </si>
  <si>
    <t>1041 E Robert</t>
  </si>
  <si>
    <t>54 DAKOTA Street</t>
  </si>
  <si>
    <t>2621 VOORHEIS Road</t>
  </si>
  <si>
    <t>1912 KALAMA Avenue</t>
  </si>
  <si>
    <t>830 HARTNER Drive</t>
  </si>
  <si>
    <t>228 Oriley</t>
  </si>
  <si>
    <t>6404 Saline Drive</t>
  </si>
  <si>
    <t>23530 Seneca</t>
  </si>
  <si>
    <t>27116 Delton</t>
  </si>
  <si>
    <t>106 Lakeview Street</t>
  </si>
  <si>
    <t>9310 HILLCREST</t>
  </si>
  <si>
    <t>106 LAKEVIEW Street</t>
  </si>
  <si>
    <t>1221 West Boulevard</t>
  </si>
  <si>
    <t>1176 HARTLAND Drive</t>
  </si>
  <si>
    <t>4013 DEVON Road</t>
  </si>
  <si>
    <t>4805 FENMORE Avenue</t>
  </si>
  <si>
    <t>1221 WEST Boulevard</t>
  </si>
  <si>
    <t>28146 PARK Court</t>
  </si>
  <si>
    <t>28748 Herbert</t>
  </si>
  <si>
    <t>27811 BARRINGTON Street</t>
  </si>
  <si>
    <t>5500 SUNWOOD Drive</t>
  </si>
  <si>
    <t>636 W BROCKTON Avenue</t>
  </si>
  <si>
    <t>62 SCOTT LAKE Road</t>
  </si>
  <si>
    <t>2351 DEXTER Road</t>
  </si>
  <si>
    <t>19621 GOLDWIN Street</t>
  </si>
  <si>
    <t>2307 GEORGELAND Drive</t>
  </si>
  <si>
    <t>903 Emma Dr</t>
  </si>
  <si>
    <t>422 FERNBARRY Drive</t>
  </si>
  <si>
    <t>25707 MIRACLE Drive</t>
  </si>
  <si>
    <t>30184 PALMER Boulevard</t>
  </si>
  <si>
    <t>2524 N TRAIL Court</t>
  </si>
  <si>
    <t>69 W ROBERT Avenue</t>
  </si>
  <si>
    <t>27729 SHIAWASSEE Road</t>
  </si>
  <si>
    <t>590 ALBERTA Street</t>
  </si>
  <si>
    <t>26520 Lenox</t>
  </si>
  <si>
    <t>400 Josephine Avenue</t>
  </si>
  <si>
    <t>29104 HOWARD Avenue</t>
  </si>
  <si>
    <t>1704 UNIVERSITY Street</t>
  </si>
  <si>
    <t>4710 INDEPENDENCE Drive</t>
  </si>
  <si>
    <t>1705 ROSZEL Street</t>
  </si>
  <si>
    <t>27097 Nanton</t>
  </si>
  <si>
    <t>12811 OAK PARK Boulevard</t>
  </si>
  <si>
    <t>9087 BUCKINGHAM Street</t>
  </si>
  <si>
    <t>43 N GLASPIE Street</t>
  </si>
  <si>
    <t>23570 Moritz</t>
  </si>
  <si>
    <t>6365 SALINE Drive</t>
  </si>
  <si>
    <t>23704 Couzens</t>
  </si>
  <si>
    <t>23240 EASTWOOD Street</t>
  </si>
  <si>
    <t>406 Atwater</t>
  </si>
  <si>
    <t>Lake Orion Vlg</t>
  </si>
  <si>
    <t>19022 GOLDWIN Street</t>
  </si>
  <si>
    <t>23630 Parklawn Street</t>
  </si>
  <si>
    <t>910 W MAPLEHURST Street</t>
  </si>
  <si>
    <t>74 PRESTON Avenue</t>
  </si>
  <si>
    <t>23161 Cayuga</t>
  </si>
  <si>
    <t>23995 Edinburgh Street</t>
  </si>
  <si>
    <t>1595 W 13 MILE Road</t>
  </si>
  <si>
    <t>346 DOVER Road</t>
  </si>
  <si>
    <t>633 E HARWOOD Avenue</t>
  </si>
  <si>
    <t>8745 Kenberton</t>
  </si>
  <si>
    <t>3663 BIRD Road</t>
  </si>
  <si>
    <t>1427 W Hazelhurst</t>
  </si>
  <si>
    <t>6625 LANMAN Drive</t>
  </si>
  <si>
    <t>1538 W HAZELHURST Street</t>
  </si>
  <si>
    <t>27612 SHAGBARK Drive</t>
  </si>
  <si>
    <t>2717 Rochester</t>
  </si>
  <si>
    <t>652 Franklin Rd</t>
  </si>
  <si>
    <t>4015 Cresthaven Drive</t>
  </si>
  <si>
    <t>22470 BROOKSIDE Drive</t>
  </si>
  <si>
    <t>2442 FLINTRIDGE Street</t>
  </si>
  <si>
    <t>1429 CADMUS Drive</t>
  </si>
  <si>
    <t>2326 ROWLAND Avenue</t>
  </si>
  <si>
    <t>23620 OAK GLEN Drive</t>
  </si>
  <si>
    <t>22041 RIDGEDALE Street</t>
  </si>
  <si>
    <t>6859 SALINE Drive</t>
  </si>
  <si>
    <t>3941 Cresthaven  Drive</t>
  </si>
  <si>
    <t>1612 MARSHBANK Drive</t>
  </si>
  <si>
    <t>962 Marvell Street</t>
  </si>
  <si>
    <t>103 W Dallas Avenue</t>
  </si>
  <si>
    <t>427 CLAYBURN Boulevard</t>
  </si>
  <si>
    <t>18406 Westhampton Avenue</t>
  </si>
  <si>
    <t>4180 Lotus Drive</t>
  </si>
  <si>
    <t>4870 CRESTVIEW Drive</t>
  </si>
  <si>
    <t>1633 INNER Drive</t>
  </si>
  <si>
    <t>6903 DANDISON Boulevard</t>
  </si>
  <si>
    <t>2415 CRANE Street</t>
  </si>
  <si>
    <t>1500 QUINIF Drive</t>
  </si>
  <si>
    <t>34660 BRIDGEMAN Street</t>
  </si>
  <si>
    <t>3367 Kilmer Drive</t>
  </si>
  <si>
    <t>1859 OLDTOWN Avenue</t>
  </si>
  <si>
    <t>4288 Greenfield</t>
  </si>
  <si>
    <t>4460 MAJOR Avenue</t>
  </si>
  <si>
    <t>1517 PEARSON Street</t>
  </si>
  <si>
    <t>5295 Clinton River Drive</t>
  </si>
  <si>
    <t>23000 OAK CREST Street</t>
  </si>
  <si>
    <t>117 Exmoor</t>
  </si>
  <si>
    <t>5049 W HARVARD Avenue</t>
  </si>
  <si>
    <t>4975 N CATHY Lane E</t>
  </si>
  <si>
    <t>2875 Watkins Lake Road</t>
  </si>
  <si>
    <t>3301 Grayson Street</t>
  </si>
  <si>
    <t>30739 Longfellow</t>
  </si>
  <si>
    <t>28680 Park</t>
  </si>
  <si>
    <t>4006 EDGAR Avenue</t>
  </si>
  <si>
    <t>76 W Katherine Avenue</t>
  </si>
  <si>
    <t>27064 Barrington</t>
  </si>
  <si>
    <t>205 Gateway Drive</t>
  </si>
  <si>
    <t>5425 Hanley</t>
  </si>
  <si>
    <t>13230 Rosemary Boulevard</t>
  </si>
  <si>
    <t>3360 Healy Drive</t>
  </si>
  <si>
    <t>29495 MILTON Avenue</t>
  </si>
  <si>
    <t>1292 Beaupre Avenue</t>
  </si>
  <si>
    <t>2845 WHITE LAKE Road</t>
  </si>
  <si>
    <t>24627 Roanoke Avenue</t>
  </si>
  <si>
    <t>2 Neome Drive</t>
  </si>
  <si>
    <t>610 ALBERTA Street</t>
  </si>
  <si>
    <t>751 E E Chesterfield Street</t>
  </si>
  <si>
    <t>751 E CHESTERFIELD Street</t>
  </si>
  <si>
    <t>4089 MILL LAKE Road</t>
  </si>
  <si>
    <t>57670 PONTIAC Trail</t>
  </si>
  <si>
    <t>Lyon Twp</t>
  </si>
  <si>
    <t>3548 FORT Drive</t>
  </si>
  <si>
    <t>13630 MANHATTAN Street</t>
  </si>
  <si>
    <t>24560 SENECA Street</t>
  </si>
  <si>
    <t>29270 RAMBLING Road</t>
  </si>
  <si>
    <t>21341 MADA Avenue</t>
  </si>
  <si>
    <t>21632 HANCOCK Street</t>
  </si>
  <si>
    <t>3403 CARMAN Street</t>
  </si>
  <si>
    <t>23027 VIOLET Street</t>
  </si>
  <si>
    <t>Farmington</t>
  </si>
  <si>
    <t>23420 MAJESTIC Street</t>
  </si>
  <si>
    <t>21190 WESTHAMPTON Street</t>
  </si>
  <si>
    <t>19394 CORAL GABLES Street</t>
  </si>
  <si>
    <t>24770 Manistee</t>
  </si>
  <si>
    <t>24141 ONEIDA Street</t>
  </si>
  <si>
    <t>78 W TACOMA Street</t>
  </si>
  <si>
    <t>700 DEVILLEN Avenue</t>
  </si>
  <si>
    <t>13351 Woodvale</t>
  </si>
  <si>
    <t>3022 Avon Manor</t>
  </si>
  <si>
    <t>603 E SARATOGA Street</t>
  </si>
  <si>
    <t>21397 GREENVIEW Road</t>
  </si>
  <si>
    <t>23460 CAYUGA Avenue</t>
  </si>
  <si>
    <t>981 SCHOOL Street</t>
  </si>
  <si>
    <t>16336 ADDISON Street</t>
  </si>
  <si>
    <t>61761 FAIRLAND Drive</t>
  </si>
  <si>
    <t>5531 BERKLEY Drive</t>
  </si>
  <si>
    <t>209 Park Avenue</t>
  </si>
  <si>
    <t>21257 PARKER Street</t>
  </si>
  <si>
    <t>3316 EDGEWORTH Street</t>
  </si>
  <si>
    <t>3150 OAKRIDGE Drive</t>
  </si>
  <si>
    <t>638 NAHMA Avenue</t>
  </si>
  <si>
    <t>2175 JARMAN  Drive</t>
  </si>
  <si>
    <t>3739 Mariner Street</t>
  </si>
  <si>
    <t>637 FLOWERDALE Street</t>
  </si>
  <si>
    <t>19810 SILVER SPRING Street</t>
  </si>
  <si>
    <t>2305 BARRETT Avenue</t>
  </si>
  <si>
    <t>3340 EDGEWORTH Street</t>
  </si>
  <si>
    <t>1311 Mohawk Avenue</t>
  </si>
  <si>
    <t>269 JEWELL Street</t>
  </si>
  <si>
    <t>701 S CAMPBELL Road</t>
  </si>
  <si>
    <t>2811 Burdette</t>
  </si>
  <si>
    <t>1279 S CASS LAKE Road</t>
  </si>
  <si>
    <t>14201 GREENBRIAR Street</t>
  </si>
  <si>
    <t>3755 WALDON Road</t>
  </si>
  <si>
    <t>13231 OAK PARK Boulevard</t>
  </si>
  <si>
    <t>558 Overlook Street</t>
  </si>
  <si>
    <t>6675 Buckland</t>
  </si>
  <si>
    <t>29760 Red Leaf Drive</t>
  </si>
  <si>
    <t>349 E PARKER Avenue</t>
  </si>
  <si>
    <t>24501 SENECA Street</t>
  </si>
  <si>
    <t>1444 FONTAINE Avenue</t>
  </si>
  <si>
    <t>1907 KENT Road</t>
  </si>
  <si>
    <t>3966 AIRPORT Road</t>
  </si>
  <si>
    <t>2360 KOHLER Street</t>
  </si>
  <si>
    <t>1331 NANCYWOOD</t>
  </si>
  <si>
    <t>12 PEARL Street</t>
  </si>
  <si>
    <t>1187 E HENDRICKS Way S</t>
  </si>
  <si>
    <t>1760 WESTWOOD Drive</t>
  </si>
  <si>
    <t>745 S MANITOU Avenue</t>
  </si>
  <si>
    <t>682 CRANBOURNE Street</t>
  </si>
  <si>
    <t>505 Hillcliff</t>
  </si>
  <si>
    <t>5527 Oster Drive</t>
  </si>
  <si>
    <t>2342 ELLERY Avenue</t>
  </si>
  <si>
    <t>9368 DEBBY JO Drive</t>
  </si>
  <si>
    <t>302 N GAINSBOROUGH Avenue</t>
  </si>
  <si>
    <t>1603 WESTBROOK Drive</t>
  </si>
  <si>
    <t>2546 N WILLIAMS LAKE Road</t>
  </si>
  <si>
    <t>1170 Fairview  Street</t>
  </si>
  <si>
    <t>12815 SHAFFER Road</t>
  </si>
  <si>
    <t>244 TUCKER Street</t>
  </si>
  <si>
    <t>226 BROADACRE Avenue</t>
  </si>
  <si>
    <t>29711 SPOON Avenue</t>
  </si>
  <si>
    <t>2229 WALNUT Road</t>
  </si>
  <si>
    <t>6591 SALINE Drive</t>
  </si>
  <si>
    <t>3366 PASADENA</t>
  </si>
  <si>
    <t>21610 KIPLING Street</t>
  </si>
  <si>
    <t>2494 LITER Road</t>
  </si>
  <si>
    <t>1185 BETA Road</t>
  </si>
  <si>
    <t>1476  Whittier Drive</t>
  </si>
  <si>
    <t>2027 MARTIN Road</t>
  </si>
  <si>
    <t>24179 LOCUST Street</t>
  </si>
  <si>
    <t>2227 OVERRIDGE Avenue</t>
  </si>
  <si>
    <t>2030  Orpington Drive</t>
  </si>
  <si>
    <t>3185 SEEBALDT Avenue</t>
  </si>
  <si>
    <t>603 WOODINGHAM Avenue</t>
  </si>
  <si>
    <t>9924 BURGESS Court</t>
  </si>
  <si>
    <t>23470 SENECA Street</t>
  </si>
  <si>
    <t>28153 BRUSH Street</t>
  </si>
  <si>
    <t>412 Massoit Street</t>
  </si>
  <si>
    <t>4070 MAYBEE Road</t>
  </si>
  <si>
    <t>21788 S BRANDON Street</t>
  </si>
  <si>
    <t>4615 GRANGER Road</t>
  </si>
  <si>
    <t>28430 Palmer Boulevard</t>
  </si>
  <si>
    <t>753 E WALTON Boulevard</t>
  </si>
  <si>
    <t>31283 EDGEWORTH Drive</t>
  </si>
  <si>
    <t>22067 Malden</t>
  </si>
  <si>
    <t>2550 COSTA MESA Road</t>
  </si>
  <si>
    <t>1660 BEECHMONT Street</t>
  </si>
  <si>
    <t>23005 CHURCH Street</t>
  </si>
  <si>
    <t>629 W LEWISTON Avenue</t>
  </si>
  <si>
    <t>801 BISHOP Street</t>
  </si>
  <si>
    <t>Milford Vlg</t>
  </si>
  <si>
    <t>18252 WESTLAND Avenue</t>
  </si>
  <si>
    <t>4873 SHERWELL Drive</t>
  </si>
  <si>
    <t>1817 CASS Boulevard</t>
  </si>
  <si>
    <t>27319 PIERCE Street</t>
  </si>
  <si>
    <t>24361 SCOTIA Road</t>
  </si>
  <si>
    <t>1384 DIANA Avenue</t>
  </si>
  <si>
    <t>28110 WILDWOOD Trail</t>
  </si>
  <si>
    <t>8223 ARLIS Street</t>
  </si>
  <si>
    <t>9034 PATRICK Drive</t>
  </si>
  <si>
    <t>23011 Radclift Street</t>
  </si>
  <si>
    <t>21535 WHITTINGTON Street</t>
  </si>
  <si>
    <t>41 REGENTS Drive</t>
  </si>
  <si>
    <t>238 COLEMAN Drive</t>
  </si>
  <si>
    <t>22000 Stratford Street</t>
  </si>
  <si>
    <t>2000 WOODLAND Avenue</t>
  </si>
  <si>
    <t>28335 Palmer Boulevard</t>
  </si>
  <si>
    <t>1722 SHANKIN Drive</t>
  </si>
  <si>
    <t>27312 HAMPDEN Street</t>
  </si>
  <si>
    <t>2005 HEMPSTEAD Drive</t>
  </si>
  <si>
    <t>6219 S WILLIAMS LAKE Road S</t>
  </si>
  <si>
    <t>5271 WAYNE Road</t>
  </si>
  <si>
    <t>1211 N SELFRIDGE Boulevard</t>
  </si>
  <si>
    <t>3364 KENWOOD Street</t>
  </si>
  <si>
    <t>23488 BARFIELD Street</t>
  </si>
  <si>
    <t>307 UNIVERSITY Avenue</t>
  </si>
  <si>
    <t>24801 SHERMAN Street</t>
  </si>
  <si>
    <t>8740 SARATOGA Street</t>
  </si>
  <si>
    <t>310 HILLCLIFF Drive</t>
  </si>
  <si>
    <t>1627 BEVERLY Avenue</t>
  </si>
  <si>
    <t>443 Trombley Drive</t>
  </si>
  <si>
    <t>3057 MOSS Street</t>
  </si>
  <si>
    <t>29087 W 10 MILE Road</t>
  </si>
  <si>
    <t>1759 HOLLAND Street</t>
  </si>
  <si>
    <t>Birmingham</t>
  </si>
  <si>
    <t>7978 HOFFMAN Drive</t>
  </si>
  <si>
    <t>17573 MOUNT VERNON Street</t>
  </si>
  <si>
    <t>25800 Acacia Street</t>
  </si>
  <si>
    <t>28236 DELTON Street</t>
  </si>
  <si>
    <t>5216 Frankwill  Avenue</t>
  </si>
  <si>
    <t>1257 CATALPA Drive</t>
  </si>
  <si>
    <t>25220 Larkins Street</t>
  </si>
  <si>
    <t>8823 KENBERTON Drive</t>
  </si>
  <si>
    <t>20620 WOODBURN Drive</t>
  </si>
  <si>
    <t>32270 RED CLOVER Road</t>
  </si>
  <si>
    <t>8197 VANDEN Drive</t>
  </si>
  <si>
    <t>29094 HERBERT Street</t>
  </si>
  <si>
    <t>234 CHARLEVOIX Street</t>
  </si>
  <si>
    <t>3941 S ELLAMAE Road</t>
  </si>
  <si>
    <t>6413 SNOW APPLE Drive</t>
  </si>
  <si>
    <t>1267 PARLIAMENT Avenue</t>
  </si>
  <si>
    <t>28011 Tyler Street</t>
  </si>
  <si>
    <t>801 HANNAH Drive</t>
  </si>
  <si>
    <t>1626 CAMBRIDGE Road</t>
  </si>
  <si>
    <t>29604 E CHELMSFORD Road</t>
  </si>
  <si>
    <t>434 FARNSWORTH Road</t>
  </si>
  <si>
    <t>42503 PARK RIDGE Road</t>
  </si>
  <si>
    <t>369 Pearson Street</t>
  </si>
  <si>
    <t>510 SHEFFIELD Drive</t>
  </si>
  <si>
    <t>27884 Wrenson Street</t>
  </si>
  <si>
    <t>309 HIRAM Street</t>
  </si>
  <si>
    <t>312 E SARATOGA Street</t>
  </si>
  <si>
    <t>2067 ISABELL Drive</t>
  </si>
  <si>
    <t>1044 PARKWAY</t>
  </si>
  <si>
    <t>2261 PARIS Drive</t>
  </si>
  <si>
    <t>1295 Columbia Road</t>
  </si>
  <si>
    <t>5821 PLEASANT Drive</t>
  </si>
  <si>
    <t>26096 HAMPDEN Street</t>
  </si>
  <si>
    <t>28225 Delton Street</t>
  </si>
  <si>
    <t>25844 ARROWHEAD Street</t>
  </si>
  <si>
    <t>550 GRANGE HALL Road</t>
  </si>
  <si>
    <t>6252 WAKING Lane</t>
  </si>
  <si>
    <t>140 WOODLAND Drive</t>
  </si>
  <si>
    <t>7272 IDEAL Terrace</t>
  </si>
  <si>
    <t>4291 Marcus Road</t>
  </si>
  <si>
    <t>316 E BERNHARD Avenue</t>
  </si>
  <si>
    <t>502 BROADACRE Avenue</t>
  </si>
  <si>
    <t>4147 NORMANDY Road</t>
  </si>
  <si>
    <t>210 S WILSON Avenue</t>
  </si>
  <si>
    <t>1609 Inverness Street</t>
  </si>
  <si>
    <t>2950 ONAGON Trail</t>
  </si>
  <si>
    <t>14310 Lincoln Street</t>
  </si>
  <si>
    <t>15509 BIRWOOD Avenue</t>
  </si>
  <si>
    <t>Beverly Hills Vlg</t>
  </si>
  <si>
    <t>2927 ORANGE GROVE Road</t>
  </si>
  <si>
    <t>15225 Rosemary Boulevard</t>
  </si>
  <si>
    <t>609 BRADY Lane</t>
  </si>
  <si>
    <t>22555 LEEWRIGHT Avenue</t>
  </si>
  <si>
    <t>2727  Walton  Boulevard</t>
  </si>
  <si>
    <t>23541 Loomis Court</t>
  </si>
  <si>
    <t>4672 STRATHCONA</t>
  </si>
  <si>
    <t>1936 HOLLAND Street</t>
  </si>
  <si>
    <t>63 Glanworth</t>
  </si>
  <si>
    <t>20200 WINCHESTER Street</t>
  </si>
  <si>
    <t>4315  Oakvista</t>
  </si>
  <si>
    <t>30366 WINTHROP Drive</t>
  </si>
  <si>
    <t>28374 Westerleigh Road</t>
  </si>
  <si>
    <t>1360 NANCYWOOD Drive</t>
  </si>
  <si>
    <t>1036 ROYAL Avenue</t>
  </si>
  <si>
    <t>2515 Peters</t>
  </si>
  <si>
    <t>6791 DANDISON Boulevard</t>
  </si>
  <si>
    <t>4250 SEEDEN Street</t>
  </si>
  <si>
    <t>201 E Harrison Avenue</t>
  </si>
  <si>
    <t>1936 LAKELAND Avenue</t>
  </si>
  <si>
    <t>4802 Shoreline Court</t>
  </si>
  <si>
    <t>5423 MIKEWOOD Drive</t>
  </si>
  <si>
    <t>24112 S DUNCAN Circle</t>
  </si>
  <si>
    <t>2972 PARLIAMENT Drive</t>
  </si>
  <si>
    <t>455  Paragon Drive</t>
  </si>
  <si>
    <t>714 Sweetbriar</t>
  </si>
  <si>
    <t>1720 Beaufield Street</t>
  </si>
  <si>
    <t>2330 KEITH Road</t>
  </si>
  <si>
    <t>3012 BENJAMIN Avenue</t>
  </si>
  <si>
    <t>3859 CUMMINGS Avenue</t>
  </si>
  <si>
    <t>237 LEROY Avenue</t>
  </si>
  <si>
    <t>4475 COUNTY LINE Road</t>
  </si>
  <si>
    <t>23910 EDINBURGH Street</t>
  </si>
  <si>
    <t>23481 WILDWOOD Street</t>
  </si>
  <si>
    <t>2228 Virginia</t>
  </si>
  <si>
    <t>6204  Belford Road</t>
  </si>
  <si>
    <t>11610 DIXIE Highway</t>
  </si>
  <si>
    <t>620 BRADY Lane</t>
  </si>
  <si>
    <t>1277 HARVARD Road</t>
  </si>
  <si>
    <t>2355 CHELTINGHAM Street</t>
  </si>
  <si>
    <t>2093 N Pontiac Trail</t>
  </si>
  <si>
    <t>2955 Kenford Road</t>
  </si>
  <si>
    <t>22802 MONTCLAIR Street</t>
  </si>
  <si>
    <t>2196 Allerton</t>
  </si>
  <si>
    <t>1907 N Wilson</t>
  </si>
  <si>
    <t>5928 PICKBOURNE Street</t>
  </si>
  <si>
    <t>9987 Sedlock Avenue</t>
  </si>
  <si>
    <t>4321 Lone Tree Road</t>
  </si>
  <si>
    <t>196 S BALDWIN Road</t>
  </si>
  <si>
    <t>2186 ALLERTON Road</t>
  </si>
  <si>
    <t>1030 KURTZ ROAD</t>
  </si>
  <si>
    <t>5277 OLD COVE Road</t>
  </si>
  <si>
    <t>18480 W 9 MILE Road</t>
  </si>
  <si>
    <t>23745 McCall Street</t>
  </si>
  <si>
    <t>9553 SUSIN Lane</t>
  </si>
  <si>
    <t>13720 BORGMAN Street</t>
  </si>
  <si>
    <t>1323 LONGFELLOW Avenue</t>
  </si>
  <si>
    <t>3400 Alisa Lane</t>
  </si>
  <si>
    <t>2219 BACON Avenue</t>
  </si>
  <si>
    <t>3625 THOMAS Avenue</t>
  </si>
  <si>
    <t>1558 MILLARD Avenue</t>
  </si>
  <si>
    <t>3115 DEVONDALE Road</t>
  </si>
  <si>
    <t>225 WILSON Avenue</t>
  </si>
  <si>
    <t>2443 IVANHOE Drive</t>
  </si>
  <si>
    <t>535 SHEFFIELD Drive</t>
  </si>
  <si>
    <t>1909 BROCKTON Avenue</t>
  </si>
  <si>
    <t>20910 MADA Avenue</t>
  </si>
  <si>
    <t>21719 Tulane Avenue</t>
  </si>
  <si>
    <t>27045 MARSHALL Street</t>
  </si>
  <si>
    <t>4025 S Shore Street</t>
  </si>
  <si>
    <t>3026 BENSTEIN Road</t>
  </si>
  <si>
    <t>29181 SHERRY Avenue</t>
  </si>
  <si>
    <t>927 N Edgeworth</t>
  </si>
  <si>
    <t>23580 W NEWELL Circle</t>
  </si>
  <si>
    <t>195 HIRAM Street</t>
  </si>
  <si>
    <t>4080 FOREST GLEN</t>
  </si>
  <si>
    <t>1811 ORCHID Street</t>
  </si>
  <si>
    <t>592 SHARON Street</t>
  </si>
  <si>
    <t>1222 N SELFRIDGE Boulevard</t>
  </si>
  <si>
    <t>712 SAINT CHARLES</t>
  </si>
  <si>
    <t>30521 BALEWOOD Street</t>
  </si>
  <si>
    <t>638 BRADY Lane</t>
  </si>
  <si>
    <t>3790 FERNLEIGH Drive</t>
  </si>
  <si>
    <t>1260 CADMUS Drive</t>
  </si>
  <si>
    <t>4086 IRONSIDE Drive</t>
  </si>
  <si>
    <t>2789 HICKORY LAWN Road</t>
  </si>
  <si>
    <t>69 DENNISON Street</t>
  </si>
  <si>
    <t>20 Kensington Boulevard</t>
  </si>
  <si>
    <t>Pleasant Ridge</t>
  </si>
  <si>
    <t>248 ALHAMBRA Street</t>
  </si>
  <si>
    <t>15529 KIRKSHIRE Avenue</t>
  </si>
  <si>
    <t>604 Ardmore Drive</t>
  </si>
  <si>
    <t>1275 LARCH Place</t>
  </si>
  <si>
    <t>921 Wise St</t>
  </si>
  <si>
    <t>Oxford Twp</t>
  </si>
  <si>
    <t>1960 OLTESVIG Lane</t>
  </si>
  <si>
    <t>3754 THOMAS Avenue</t>
  </si>
  <si>
    <t>23290 HARDING Street</t>
  </si>
  <si>
    <t>501 S Edgeworth Avenue</t>
  </si>
  <si>
    <t>31656 LAMAR Drive</t>
  </si>
  <si>
    <t>731 N Cass Lake</t>
  </si>
  <si>
    <t>8156 Kenwick Drive</t>
  </si>
  <si>
    <t>5030 SHERWELL Drive</t>
  </si>
  <si>
    <t>6620 WEDGEWOOD</t>
  </si>
  <si>
    <t>9605 VISTA Lane</t>
  </si>
  <si>
    <t>5610 AYLESBURY Drive</t>
  </si>
  <si>
    <t>701 GARDENIA Avenue</t>
  </si>
  <si>
    <t>1583 GIDDINGS Road</t>
  </si>
  <si>
    <t>220 MASSOIT Street</t>
  </si>
  <si>
    <t>22040 TREDWELL Avenue</t>
  </si>
  <si>
    <t>31560 LEELANE</t>
  </si>
  <si>
    <t>819 Hawthorn Avenue</t>
  </si>
  <si>
    <t>3494 Cummings Avenue</t>
  </si>
  <si>
    <t>664 JAMESTOWN Road</t>
  </si>
  <si>
    <t>3312 HARVARD Road</t>
  </si>
  <si>
    <t>125 S Washington Avenue</t>
  </si>
  <si>
    <t>4419 ELMHURST Avenue</t>
  </si>
  <si>
    <t>1432 S COMMERCE Road</t>
  </si>
  <si>
    <t>1210 COLUMBIA Road</t>
  </si>
  <si>
    <t>4136 Springer Avenue</t>
  </si>
  <si>
    <t>22931 Glenmoor Heights</t>
  </si>
  <si>
    <t>4136 Springer</t>
  </si>
  <si>
    <t>30618 Shiawassee Street</t>
  </si>
  <si>
    <t>3259 YORK Road</t>
  </si>
  <si>
    <t>207 W Tienken Road</t>
  </si>
  <si>
    <t>24002 COLCHESTER Drive</t>
  </si>
  <si>
    <t>878 CANYON CREEK Drive</t>
  </si>
  <si>
    <t>644 Brady Lane</t>
  </si>
  <si>
    <t>892 PRINCETON Road</t>
  </si>
  <si>
    <t>1746 S HICKORY RIDGE Road</t>
  </si>
  <si>
    <t>4468 MAJOR Avenue</t>
  </si>
  <si>
    <t>1023 N VERMONT Avenue</t>
  </si>
  <si>
    <t>629 S Alexander Avenue</t>
  </si>
  <si>
    <t>1040 Buster Drive</t>
  </si>
  <si>
    <t>237 Buckhorn Drive</t>
  </si>
  <si>
    <t>1882 BACON Avenue</t>
  </si>
  <si>
    <t>1037 Cobalt Avenue</t>
  </si>
  <si>
    <t>26550 Meadowood</t>
  </si>
  <si>
    <t>Lathrup Village</t>
  </si>
  <si>
    <t>16390 E RUTHERLAND Street</t>
  </si>
  <si>
    <t>8866 WOODSHIRE Drive</t>
  </si>
  <si>
    <t>14245 Oak Park Boulevard</t>
  </si>
  <si>
    <t>2625 CAMPBELLGATE Drive</t>
  </si>
  <si>
    <t>2855 ELLWOOD Avenue</t>
  </si>
  <si>
    <t>3952 SAGINAW Trail</t>
  </si>
  <si>
    <t>241 LINDEN Avenue</t>
  </si>
  <si>
    <t>3088 SYLVAN Drive</t>
  </si>
  <si>
    <t>3721 KENT Road</t>
  </si>
  <si>
    <t>1487 S HOLLY Road</t>
  </si>
  <si>
    <t>Rose Twp</t>
  </si>
  <si>
    <t>85 BOYKEN Road</t>
  </si>
  <si>
    <t>921 W 14 Mile Road</t>
  </si>
  <si>
    <t>3275 CHENOA Street</t>
  </si>
  <si>
    <t>24560 ORCHARD LAKE Road</t>
  </si>
  <si>
    <t>22826 FREDERICK Avenue</t>
  </si>
  <si>
    <t>46 SMITH Court</t>
  </si>
  <si>
    <t>61801 FAIRLAND Drive</t>
  </si>
  <si>
    <t>770 MCMUNN Street</t>
  </si>
  <si>
    <t>928 W 3RD Street</t>
  </si>
  <si>
    <t>Rochester</t>
  </si>
  <si>
    <t>1216 KEBLE Lane</t>
  </si>
  <si>
    <t>18184 NEW HAMPSHIRE Drive</t>
  </si>
  <si>
    <t>2143 S HAMMOND LAKE Road</t>
  </si>
  <si>
    <t>11980 DAVISBURG Road</t>
  </si>
  <si>
    <t>783 DEER PATH Trail</t>
  </si>
  <si>
    <t>100 Broadway</t>
  </si>
  <si>
    <t>3407 S FENTON Road</t>
  </si>
  <si>
    <t>23959 Springbrook Drive</t>
  </si>
  <si>
    <t>1587 S MADDOX Street E</t>
  </si>
  <si>
    <t>4165 SASHABAW Road</t>
  </si>
  <si>
    <t>3221 SYLVAN Drive</t>
  </si>
  <si>
    <t>655 OVERLOOK Street</t>
  </si>
  <si>
    <t>429 COVE VIEW DRIVE</t>
  </si>
  <si>
    <t>3673 TARA Drive</t>
  </si>
  <si>
    <t>2406 ISLAND VIEW Drive</t>
  </si>
  <si>
    <t>417 N VERMONT Avenue</t>
  </si>
  <si>
    <t>25505 Farmbrook Road</t>
  </si>
  <si>
    <t>130 N EDISON Avenue</t>
  </si>
  <si>
    <t>23632 Lake Ravines Drive</t>
  </si>
  <si>
    <t>550 ALBERTA Street</t>
  </si>
  <si>
    <t>319 ALPEANA Street</t>
  </si>
  <si>
    <t>33166 Raphael Road</t>
  </si>
  <si>
    <t>1033 Hickory Avenue</t>
  </si>
  <si>
    <t>14271 ELGIN Street</t>
  </si>
  <si>
    <t>4897 FOOTHILLS Drive</t>
  </si>
  <si>
    <t>4523 SEDGEMOOR Avenue</t>
  </si>
  <si>
    <t>8205 OLD WHITE LAKE Road</t>
  </si>
  <si>
    <t>30580 BALEWOOD Street</t>
  </si>
  <si>
    <t>1875 West Boulevard</t>
  </si>
  <si>
    <t>1194 FIELDSTONE Drive</t>
  </si>
  <si>
    <t>19760 Wildhern Court</t>
  </si>
  <si>
    <t>30237 Shiawassee Road</t>
  </si>
  <si>
    <t>1022 Marshfield</t>
  </si>
  <si>
    <t>1317 KEY WEST Drive</t>
  </si>
  <si>
    <t>6685 Cooley Lake</t>
  </si>
  <si>
    <t>1070 MARSHFIELD Street</t>
  </si>
  <si>
    <t>9403 BUCKINGHAM Street</t>
  </si>
  <si>
    <t>1947 Green Meadow Drive</t>
  </si>
  <si>
    <t>23117 DAVEY Avenue</t>
  </si>
  <si>
    <t>183 TEXAS Avenue</t>
  </si>
  <si>
    <t>17211 LOCHERBIE Avenue</t>
  </si>
  <si>
    <t>468 Otter Run Road</t>
  </si>
  <si>
    <t>468 OTTER RUN Road</t>
  </si>
  <si>
    <t>3328 CHESTER Road</t>
  </si>
  <si>
    <t>4096 IRONSIDE Drive</t>
  </si>
  <si>
    <t>2178 EVA Drive</t>
  </si>
  <si>
    <t>29444 GUY Street</t>
  </si>
  <si>
    <t>614 E FARNUM Avenue</t>
  </si>
  <si>
    <t>2021 SEYMOUR LAKE Road</t>
  </si>
  <si>
    <t>2554 EDGEVALE Drive</t>
  </si>
  <si>
    <t>488 RANDALL Drive</t>
  </si>
  <si>
    <t>1700 LADD Road</t>
  </si>
  <si>
    <t>990 Muer Drive</t>
  </si>
  <si>
    <t>3047 CUMMINGS Avenue</t>
  </si>
  <si>
    <t>28467 KENDALLWOOD Drive</t>
  </si>
  <si>
    <t>1373 NOLTA Road</t>
  </si>
  <si>
    <t>1636 Pearson Street</t>
  </si>
  <si>
    <t>44149 DURSON Street</t>
  </si>
  <si>
    <t>3676 BARBERRY Circle</t>
  </si>
  <si>
    <t>Wixom</t>
  </si>
  <si>
    <t>1327 PEARSON Street</t>
  </si>
  <si>
    <t>6210 WALDON Road</t>
  </si>
  <si>
    <t>60436 LAMPLIGHTER Drive</t>
  </si>
  <si>
    <t>1529 S SASHABAW Road</t>
  </si>
  <si>
    <t>16 AVONWOOD Boulevard</t>
  </si>
  <si>
    <t>28705 INKSTER Road</t>
  </si>
  <si>
    <t>2117 DALLAS Avenue</t>
  </si>
  <si>
    <t>335 MARLIN Avenue</t>
  </si>
  <si>
    <t>326 HUNTLEY Avenue</t>
  </si>
  <si>
    <t>2476 Browning Drive</t>
  </si>
  <si>
    <t>2470 Emerson Avenue</t>
  </si>
  <si>
    <t>Bloomfield Twp</t>
  </si>
  <si>
    <t>3303 GARDEN Avenue</t>
  </si>
  <si>
    <t>211 Blanche  Drive</t>
  </si>
  <si>
    <t>1656 Crooks</t>
  </si>
  <si>
    <t>15290 RIVIERA SHORES Drive</t>
  </si>
  <si>
    <t>2858 BIRCHWOOD Drive</t>
  </si>
  <si>
    <t>16007 MADOLINE Street</t>
  </si>
  <si>
    <t>833 TANGLEWOOD Drive</t>
  </si>
  <si>
    <t>1963 COLE Street</t>
  </si>
  <si>
    <t>2120 SEYMOUR LAKE Road</t>
  </si>
  <si>
    <t>4170 EDMORE Road</t>
  </si>
  <si>
    <t>25140 PARSONS Drive</t>
  </si>
  <si>
    <t>819 N CAMPBELL Road W</t>
  </si>
  <si>
    <t>1260 KIRKWOOD Street</t>
  </si>
  <si>
    <t>1951 OAKSHIRE Avenue</t>
  </si>
  <si>
    <t>9875 S Ortonville Road</t>
  </si>
  <si>
    <t>2220 N VERMONT Avenue</t>
  </si>
  <si>
    <t>9875 ORTONVILLE Road</t>
  </si>
  <si>
    <t>5394 EVANS Road</t>
  </si>
  <si>
    <t>2119 Kalama</t>
  </si>
  <si>
    <t>709 BUTTERNUT Avenue</t>
  </si>
  <si>
    <t>3965 Lotus Landing Circle</t>
  </si>
  <si>
    <t>4283 LAKE KNOLLS Drive</t>
  </si>
  <si>
    <t>127 S Alice</t>
  </si>
  <si>
    <t>15300 Stone Henge Drive</t>
  </si>
  <si>
    <t>4912 ANNETTE Road</t>
  </si>
  <si>
    <t>2864 MAJESTIC</t>
  </si>
  <si>
    <t>28430 BAYBERRY Road</t>
  </si>
  <si>
    <t>23717 Plumbrooke Drive</t>
  </si>
  <si>
    <t>381 W Hazelhurst Street</t>
  </si>
  <si>
    <t>509 N Minerva Avenue</t>
  </si>
  <si>
    <t>1548 N BYWOOD Avenue</t>
  </si>
  <si>
    <t>3111 FERRIS Avenue</t>
  </si>
  <si>
    <t>5133 CHESTERSHIRE</t>
  </si>
  <si>
    <t>907 MAXWELL Avenue</t>
  </si>
  <si>
    <t>511 Coolidge Road</t>
  </si>
  <si>
    <t>18131 MELROSE Avenue</t>
  </si>
  <si>
    <t>801 Oakgrove</t>
  </si>
  <si>
    <t>29932 WOODHAVEN Lane</t>
  </si>
  <si>
    <t>537 RANDALL Drive</t>
  </si>
  <si>
    <t>2425 FOXFIELD Lane</t>
  </si>
  <si>
    <t>334 S AVERY Road</t>
  </si>
  <si>
    <t>28805 RAVENWOOD Street</t>
  </si>
  <si>
    <t>407 Winchester Street</t>
  </si>
  <si>
    <t>569 LERNER Avenue</t>
  </si>
  <si>
    <t>19245 ELDRIDGE Lane</t>
  </si>
  <si>
    <t>35155 GARY Street</t>
  </si>
  <si>
    <t>2317 N Wilson Avenue</t>
  </si>
  <si>
    <t>3375 Maybee</t>
  </si>
  <si>
    <t>307 DUANA Street</t>
  </si>
  <si>
    <t>22201 BROOKSIDE Drive</t>
  </si>
  <si>
    <t>3320 E CLARICE Avenue</t>
  </si>
  <si>
    <t>1503 HUNTWOOD PARK Drive</t>
  </si>
  <si>
    <t>3103 N WILSON Avenue</t>
  </si>
  <si>
    <t>21950 NORMANDALE Street</t>
  </si>
  <si>
    <t>3033 Woodslee Drive</t>
  </si>
  <si>
    <t>6409 LAKE MEADOW Drive</t>
  </si>
  <si>
    <t>27721 BLOOMFIELD Drive</t>
  </si>
  <si>
    <t>2317 N WILSON Avenue</t>
  </si>
  <si>
    <t>3839 Pinnock Avenue</t>
  </si>
  <si>
    <t>603 E BLOOMFIELD Avenue</t>
  </si>
  <si>
    <t>10155 N BIG SCHOOL LOT LAKE Road</t>
  </si>
  <si>
    <t>4176 ALSTON Boulevard</t>
  </si>
  <si>
    <t>733 TROMBLEY Drive</t>
  </si>
  <si>
    <t>211 BOSTON Avenue</t>
  </si>
  <si>
    <t>14287 FAGAN Road</t>
  </si>
  <si>
    <t>3036 Oakshire Avenue</t>
  </si>
  <si>
    <t>46543 DEQUINDRE Road</t>
  </si>
  <si>
    <t>19771 Hickory Leaf Street</t>
  </si>
  <si>
    <t>416 Otter Run</t>
  </si>
  <si>
    <t>2915 N WILSON Avenue</t>
  </si>
  <si>
    <t>894 N Conklin</t>
  </si>
  <si>
    <t>29616 SPOON Avenue</t>
  </si>
  <si>
    <t>3585 LAKEVIEW Drive</t>
  </si>
  <si>
    <t>4007 ALBERT Avenue</t>
  </si>
  <si>
    <t>30390 RED MAPLE Lane</t>
  </si>
  <si>
    <t>796 Heights Road</t>
  </si>
  <si>
    <t>29711 W 13 MILE Road</t>
  </si>
  <si>
    <t>3423 HUNTER Avenue</t>
  </si>
  <si>
    <t>3308 HARVARD Road</t>
  </si>
  <si>
    <t>3330 LONGVIEW Avenue</t>
  </si>
  <si>
    <t>1244 Alhi Street</t>
  </si>
  <si>
    <t>348 Princeton Drive</t>
  </si>
  <si>
    <t>777 DRESSLER Lane</t>
  </si>
  <si>
    <t>2248 ISABELL Drive</t>
  </si>
  <si>
    <t>3157 MERRILL Avenue</t>
  </si>
  <si>
    <t>52 DENNISON Street</t>
  </si>
  <si>
    <t>3622 ROYAL Avenue</t>
  </si>
  <si>
    <t>23581 NILAN Drive</t>
  </si>
  <si>
    <t xml:space="preserve">6133 Paramus </t>
  </si>
  <si>
    <t>2439 E Commerce</t>
  </si>
  <si>
    <t>Milford Twp</t>
  </si>
  <si>
    <t>223 ALBANY Street</t>
  </si>
  <si>
    <t>32040 LEELANE</t>
  </si>
  <si>
    <t>7355 HEATHER HEATH</t>
  </si>
  <si>
    <t>2069 Alexander Drive</t>
  </si>
  <si>
    <t>2069 ALEXANDER Drive</t>
  </si>
  <si>
    <t>670 MARKET Street</t>
  </si>
  <si>
    <t>3221 Grange Hall Road</t>
  </si>
  <si>
    <t>2655 COMPTON Drive</t>
  </si>
  <si>
    <t>22169 Averhill Street</t>
  </si>
  <si>
    <t>709 S EDISON Avenue</t>
  </si>
  <si>
    <t>57701 Kelly Drive</t>
  </si>
  <si>
    <t>102 Forest Way</t>
  </si>
  <si>
    <t>90 STARK Road</t>
  </si>
  <si>
    <t>17532 Taylor Lake</t>
  </si>
  <si>
    <t>393 N Conklin</t>
  </si>
  <si>
    <t>393 N CONKLIN Road</t>
  </si>
  <si>
    <t>5180 WOODCREEK Trail</t>
  </si>
  <si>
    <t>8900 Thendara Boulevard</t>
  </si>
  <si>
    <t>1889 E LINCOLN Street</t>
  </si>
  <si>
    <t>8665 Tindall</t>
  </si>
  <si>
    <t>31502 MADISON Avenue</t>
  </si>
  <si>
    <t>763  HUNTCLUB</t>
  </si>
  <si>
    <t>3833 EDGAR Avenue</t>
  </si>
  <si>
    <t>32 W Hayes Avenue</t>
  </si>
  <si>
    <t>1759 COLE Street</t>
  </si>
  <si>
    <t>3154 Branch Court</t>
  </si>
  <si>
    <t>29529 GILCHREST Street</t>
  </si>
  <si>
    <t>410 N Chocolay</t>
  </si>
  <si>
    <t>2876 N DUCK LAKE Road</t>
  </si>
  <si>
    <t>4995 Lockhart</t>
  </si>
  <si>
    <t>10014 BURGESS Court</t>
  </si>
  <si>
    <t>2510 LINWOOD Avenue</t>
  </si>
  <si>
    <t>322 DOUGLAS Drive</t>
  </si>
  <si>
    <t>628 E OXHILL Drive</t>
  </si>
  <si>
    <t>31810 BELMONT Street</t>
  </si>
  <si>
    <t>1524 HURON Avenue</t>
  </si>
  <si>
    <t>2764 SAINT CLAIR Drive</t>
  </si>
  <si>
    <t>21256 BIRCHWOOD Street</t>
  </si>
  <si>
    <t>1040 Boyd</t>
  </si>
  <si>
    <t>1105 KEY WEST Drive</t>
  </si>
  <si>
    <t>1947 HARVARD Road</t>
  </si>
  <si>
    <t>8350 Buckell Lake</t>
  </si>
  <si>
    <t>3494 samuel</t>
  </si>
  <si>
    <t>876 DAHLIA Lane</t>
  </si>
  <si>
    <t>383 W DALLAS Avenue</t>
  </si>
  <si>
    <t>891 CANYON CREEK Drive</t>
  </si>
  <si>
    <t>28510 SUNSET Boulevard W</t>
  </si>
  <si>
    <t>488 SHENANDOAH Drive</t>
  </si>
  <si>
    <t>2514 N CONNECTICUT Avenue</t>
  </si>
  <si>
    <t>2090 PRIMROSE Lane</t>
  </si>
  <si>
    <t>1605 N VERMONT Avenue</t>
  </si>
  <si>
    <t>9155 SATELITE Drive</t>
  </si>
  <si>
    <t>560 Willard</t>
  </si>
  <si>
    <t>749 PRINCETON Road</t>
  </si>
  <si>
    <t>419 RIDGEWOOD Drive S</t>
  </si>
  <si>
    <t>1623 ENGLEWOOD Avenue</t>
  </si>
  <si>
    <t>829 Trombley Drive</t>
  </si>
  <si>
    <t>10897 HILLWAY Drive</t>
  </si>
  <si>
    <t>628 W Hudson</t>
  </si>
  <si>
    <t>486 River Ridge Drive</t>
  </si>
  <si>
    <t>22214 SUNRISE Boulevard</t>
  </si>
  <si>
    <t>33705 James</t>
  </si>
  <si>
    <t>40661 OAKWOOD Drive</t>
  </si>
  <si>
    <t>623 S ALEXANDER Avenue</t>
  </si>
  <si>
    <t>127 LA PLAZA Court</t>
  </si>
  <si>
    <t>3226 HARVARD Road</t>
  </si>
  <si>
    <t>4565 MILL POND Drive</t>
  </si>
  <si>
    <t>1487 COLONY Drive</t>
  </si>
  <si>
    <t>136 TERRY Avenue</t>
  </si>
  <si>
    <t>417 OAKDALE Street</t>
  </si>
  <si>
    <t>27720 STANFORD</t>
  </si>
  <si>
    <t>9495 GARFORTH Drive</t>
  </si>
  <si>
    <t>600 SEDGEFIELD Drive</t>
  </si>
  <si>
    <t>23180 LAUREL VALLEY Street</t>
  </si>
  <si>
    <t>1210 HOFFMAN Avenue</t>
  </si>
  <si>
    <t>329 NIPPIGON Street</t>
  </si>
  <si>
    <t>30 GRANADA Drive</t>
  </si>
  <si>
    <t>2105 CHALET Drive</t>
  </si>
  <si>
    <t>142 W BERNHARD Avenue</t>
  </si>
  <si>
    <t>560 ORCHARD Ridge</t>
  </si>
  <si>
    <t>1440 Ruffner</t>
  </si>
  <si>
    <t>1735 N DUCK LAKE Road</t>
  </si>
  <si>
    <t>18830 SAN QUENTIN Drive</t>
  </si>
  <si>
    <t>564 KNOLLWOOD Drive</t>
  </si>
  <si>
    <t>7806 CIRCLE Boulevard</t>
  </si>
  <si>
    <t>38996 Holsworth</t>
  </si>
  <si>
    <t>10075 ELGIN Avenue</t>
  </si>
  <si>
    <t>Huntington Woods</t>
  </si>
  <si>
    <t>7690 PLEASANT BROOK Drive</t>
  </si>
  <si>
    <t>991 BROOKLAWN Drive</t>
  </si>
  <si>
    <t>723 POPLAR Avenue</t>
  </si>
  <si>
    <t>32379 Hearthstone Road</t>
  </si>
  <si>
    <t>704 Albany Street</t>
  </si>
  <si>
    <t>1895 PRINCETON Road</t>
  </si>
  <si>
    <t>2711 Woodland Avenue</t>
  </si>
  <si>
    <t>23767 Maude Lea Street</t>
  </si>
  <si>
    <t>6086 Hillsboro Road</t>
  </si>
  <si>
    <t>601 FERNWOOD Road</t>
  </si>
  <si>
    <t>3809 SLOAN Drive</t>
  </si>
  <si>
    <t>750 PINE RIDGE Lane</t>
  </si>
  <si>
    <t>1799 Enterprise</t>
  </si>
  <si>
    <t>5189 OLD COVE Road</t>
  </si>
  <si>
    <t>1365 E LINCOLN Street</t>
  </si>
  <si>
    <t>1315 GETTYSBURG</t>
  </si>
  <si>
    <t>1354 BAYVIEW Street</t>
  </si>
  <si>
    <t>4355 Moonlight Drive</t>
  </si>
  <si>
    <t>2063 WARRINGTON Road</t>
  </si>
  <si>
    <t>7990 LITTLE FARM Lane</t>
  </si>
  <si>
    <t>788 DRESSLER Lane</t>
  </si>
  <si>
    <t>1262 JUDY Drive</t>
  </si>
  <si>
    <t>2197 GRANGE HALL Road</t>
  </si>
  <si>
    <t>555 E RIDGE Drive</t>
  </si>
  <si>
    <t>Ortonville Vlg</t>
  </si>
  <si>
    <t>35095 Savannah Lane</t>
  </si>
  <si>
    <t>23112 Vassar Avenue</t>
  </si>
  <si>
    <t>2716 Mercury</t>
  </si>
  <si>
    <t>1474 Catalpa  Drive</t>
  </si>
  <si>
    <t>7000 EAGLE Road</t>
  </si>
  <si>
    <t>1694 E Melton Road</t>
  </si>
  <si>
    <t>2020 ELSIE Drive</t>
  </si>
  <si>
    <t>936 S PARKWOOD Drive</t>
  </si>
  <si>
    <t>26735 Westmeath Street</t>
  </si>
  <si>
    <t>6821 Nashway E</t>
  </si>
  <si>
    <t>1863 BOWERS Street</t>
  </si>
  <si>
    <t>2934 N ALEXANDER Avenue</t>
  </si>
  <si>
    <t>28629 Kendallwood Drive</t>
  </si>
  <si>
    <t>16016 MADOLINE Street</t>
  </si>
  <si>
    <t>300 Samantha Way</t>
  </si>
  <si>
    <t>305 E LINCOLN Avenue</t>
  </si>
  <si>
    <t>1515 ASHTON Drive</t>
  </si>
  <si>
    <t>4306 SAMOSET Road</t>
  </si>
  <si>
    <t>60408 Lamplighter Drive</t>
  </si>
  <si>
    <t>5495 ORMOND Road</t>
  </si>
  <si>
    <t>545 Fox River Drive</t>
  </si>
  <si>
    <t>540 OLD PERCH Road</t>
  </si>
  <si>
    <t>702 DEER PATH Trail</t>
  </si>
  <si>
    <t>1675 Northumberland Drive</t>
  </si>
  <si>
    <t>457 Knollwood Drive</t>
  </si>
  <si>
    <t>10088 HART Avenue</t>
  </si>
  <si>
    <t>8821 Thendara</t>
  </si>
  <si>
    <t>3611 HUNTER Avenue</t>
  </si>
  <si>
    <t>2365 LOCHAVEN Road</t>
  </si>
  <si>
    <t>1227 Queens Drive</t>
  </si>
  <si>
    <t>1011 STELLMA Lane</t>
  </si>
  <si>
    <t>781 FORESTBERRY</t>
  </si>
  <si>
    <t>751 MARTINDALE</t>
  </si>
  <si>
    <t>626 GOLF Avenue</t>
  </si>
  <si>
    <t>3072 GARDNER Avenue</t>
  </si>
  <si>
    <t>60450 Town Square</t>
  </si>
  <si>
    <t>5245 BERWYCK Drive</t>
  </si>
  <si>
    <t>965 Watersedge</t>
  </si>
  <si>
    <t>4240 E COMMERCE Road</t>
  </si>
  <si>
    <t>6150 ODESSA  Drive</t>
  </si>
  <si>
    <t>8135 ENGLEWOOD Drive</t>
  </si>
  <si>
    <t>29989 WOODHAVEN Lane</t>
  </si>
  <si>
    <t>3443 Ellenboro Drive</t>
  </si>
  <si>
    <t>3968 KNOX Court</t>
  </si>
  <si>
    <t>2002 LINWOOD Avenue</t>
  </si>
  <si>
    <t>792 LAGUNA Drive</t>
  </si>
  <si>
    <t>5500 Murland</t>
  </si>
  <si>
    <t>23500 Middlebelt Road</t>
  </si>
  <si>
    <t>1424 Smith Avenue</t>
  </si>
  <si>
    <t>28118 Forestbrook Drive</t>
  </si>
  <si>
    <t>563 W LEWISTON Avenue</t>
  </si>
  <si>
    <t>624 MILLER Avenue</t>
  </si>
  <si>
    <t>27425 Aberdeen</t>
  </si>
  <si>
    <t>507 S VERMONT Avenue</t>
  </si>
  <si>
    <t>2011 DECKER Road</t>
  </si>
  <si>
    <t>25770 Farmington Road</t>
  </si>
  <si>
    <t>5180 EASTVIEW Road</t>
  </si>
  <si>
    <t>25770 FARMINGTON Road</t>
  </si>
  <si>
    <t>2535 E Commerce Street</t>
  </si>
  <si>
    <t>1440 N Stephen Ave.</t>
  </si>
  <si>
    <t>397 W Lewiston Avenue</t>
  </si>
  <si>
    <t>9701 KENYON LAKE Court</t>
  </si>
  <si>
    <t>4087 SILVER VALLEY Drive</t>
  </si>
  <si>
    <t>435 NEWTON Drive</t>
  </si>
  <si>
    <t>6060 CHESHIRE PARK Drive</t>
  </si>
  <si>
    <t>2909 HARVARD Road</t>
  </si>
  <si>
    <t>876 W DRAYTON Street</t>
  </si>
  <si>
    <t>1719 Morningside</t>
  </si>
  <si>
    <t>537 ALSUP Lane</t>
  </si>
  <si>
    <t>267 SANDHILL Lane</t>
  </si>
  <si>
    <t>947 Beckley Avenue</t>
  </si>
  <si>
    <t>680 CRESCENT Court</t>
  </si>
  <si>
    <t>3295 SCHOOLHOUSE Drive</t>
  </si>
  <si>
    <t>2177 ALEXANDER Drive</t>
  </si>
  <si>
    <t>2848 SUNRIDGE Drive</t>
  </si>
  <si>
    <t>3340 HADDEN Road</t>
  </si>
  <si>
    <t>5337 Weston  Court</t>
  </si>
  <si>
    <t>2170 STRATFORD Drive</t>
  </si>
  <si>
    <t>44784 HUNTINGTON Drive</t>
  </si>
  <si>
    <t>7373 KATRIN Drive</t>
  </si>
  <si>
    <t>28935 SAN CARLOS Street</t>
  </si>
  <si>
    <t>1925 LIBERTY Lane</t>
  </si>
  <si>
    <t>3801 CORRAN COURT</t>
  </si>
  <si>
    <t>3233 Chenoa Street</t>
  </si>
  <si>
    <t>1300 Parkside Court</t>
  </si>
  <si>
    <t>17320 Beverly Road</t>
  </si>
  <si>
    <t>3900 OAKWOOD Road</t>
  </si>
  <si>
    <t>895 N PEMBERTON Road</t>
  </si>
  <si>
    <t>1884 Heron View</t>
  </si>
  <si>
    <t>5371 Kingsfield Drive</t>
  </si>
  <si>
    <t>1721 FORESTDALE Court</t>
  </si>
  <si>
    <t>4866 Walnut Lake Road</t>
  </si>
  <si>
    <t>2428 LANERGAN Drive</t>
  </si>
  <si>
    <t>795 HIDDEN RIVER Drive</t>
  </si>
  <si>
    <t>7159 MARCO Drive</t>
  </si>
  <si>
    <t>73 Cross Timbers Street</t>
  </si>
  <si>
    <t>5344 WATERVIEW Drive</t>
  </si>
  <si>
    <t>2843 CHEVROLET Avenue</t>
  </si>
  <si>
    <t>642 S BLAIR Avenue</t>
  </si>
  <si>
    <t>9207 ANDERSONVILLE Road</t>
  </si>
  <si>
    <t>5166 DAYTON Drive</t>
  </si>
  <si>
    <t>21359 Birchwood Street</t>
  </si>
  <si>
    <t>6084 CHESHIRE PARK Drive</t>
  </si>
  <si>
    <t>4120 YORBA LINDA Boulevard</t>
  </si>
  <si>
    <t>1803 Nakota Road</t>
  </si>
  <si>
    <t>1647 E Commerce Street</t>
  </si>
  <si>
    <t>25109 SCOTIA Road</t>
  </si>
  <si>
    <t>4053 ABERDEEN Court</t>
  </si>
  <si>
    <t>24411 Ridgeview Drive</t>
  </si>
  <si>
    <t>1130 MAXWELL Avenue</t>
  </si>
  <si>
    <t>24411 RIDGEVIEW Drive</t>
  </si>
  <si>
    <t>4203 SUNBURST Avenue</t>
  </si>
  <si>
    <t>6736 ELLINWOOD Drive</t>
  </si>
  <si>
    <t>4029 Maiden Street</t>
  </si>
  <si>
    <t>5079 THORNCROFT Avenue</t>
  </si>
  <si>
    <t>7537 BISCAYNE Avenue</t>
  </si>
  <si>
    <t>2758 Hillendale Drive</t>
  </si>
  <si>
    <t>2558 NOTTINGHAM</t>
  </si>
  <si>
    <t>25436 WAREHAM Drive</t>
  </si>
  <si>
    <t>17124 Buckingham</t>
  </si>
  <si>
    <t>29083 APPLEBLOSSOM Lane</t>
  </si>
  <si>
    <t>5800 Appian  Way</t>
  </si>
  <si>
    <t>2449 HOLLY HEIGHTS Road</t>
  </si>
  <si>
    <t>3811 BALD MOUNTAIN Road</t>
  </si>
  <si>
    <t>2617 WOODLAND Avenue</t>
  </si>
  <si>
    <t>25441 LOIS Lane</t>
  </si>
  <si>
    <t>2428 MALENA Lane</t>
  </si>
  <si>
    <t>6500 GRAHAM Road</t>
  </si>
  <si>
    <t>13364 BALFOUR Avenue</t>
  </si>
  <si>
    <t>303 Samantha Way</t>
  </si>
  <si>
    <t>26 ROCHDALE Drive S</t>
  </si>
  <si>
    <t>31236  Oak Valley  Drive</t>
  </si>
  <si>
    <t>622 BALDWIN Avenue</t>
  </si>
  <si>
    <t>1182 WINTHROP Drive</t>
  </si>
  <si>
    <t>7481 Pine Creek Trail</t>
  </si>
  <si>
    <t>924 Eastcreek Drive</t>
  </si>
  <si>
    <t>1240 NAKOMIS Trail</t>
  </si>
  <si>
    <t>25157 APPLETON Drive</t>
  </si>
  <si>
    <t>2587 Wenona Drive</t>
  </si>
  <si>
    <t>925 CARRINGTON Drive</t>
  </si>
  <si>
    <t>Northville</t>
  </si>
  <si>
    <t>510 Lake Village Avenue</t>
  </si>
  <si>
    <t>411 Broadleaf</t>
  </si>
  <si>
    <t>20757 LUJON Drive</t>
  </si>
  <si>
    <t>1193 QUAIL RIDGE Drive</t>
  </si>
  <si>
    <t>3070 KANE Court</t>
  </si>
  <si>
    <t>5080 WHITE TAIL</t>
  </si>
  <si>
    <t>5452 Charrington</t>
  </si>
  <si>
    <t>24400 BORDERHILL</t>
  </si>
  <si>
    <t>3106 N ALEXANDER Avenue</t>
  </si>
  <si>
    <t>1119 W SELFRIDGE Boulevard</t>
  </si>
  <si>
    <t>259 W OAKRIDGE Street</t>
  </si>
  <si>
    <t>6188 BOROWY Drive</t>
  </si>
  <si>
    <t>3589 WAKEFIELD Drive</t>
  </si>
  <si>
    <t>923 Gardenia Avenue</t>
  </si>
  <si>
    <t>26644 ISLEWORTH Point</t>
  </si>
  <si>
    <t>1822 HAYNES Street</t>
  </si>
  <si>
    <t>31538 Madison Ave</t>
  </si>
  <si>
    <t>1551 JOHN R Road</t>
  </si>
  <si>
    <t>4160 CUMMINGS Avenue</t>
  </si>
  <si>
    <t>10350 DARTMOUTH Road</t>
  </si>
  <si>
    <t>960 Stratford Drive</t>
  </si>
  <si>
    <t>40392 Franklin Mill Street</t>
  </si>
  <si>
    <t>1080 WALLOON Way</t>
  </si>
  <si>
    <t>6362 ALMOND Lane</t>
  </si>
  <si>
    <t>259 N BIRCH HILL Drive</t>
  </si>
  <si>
    <t>13369 VICTORIA Avenue</t>
  </si>
  <si>
    <t>920 Shenandoah Court</t>
  </si>
  <si>
    <t>2854 YORK Road</t>
  </si>
  <si>
    <t>28696 ROXBURY Street</t>
  </si>
  <si>
    <t>5112 KINGSFIELD Drive</t>
  </si>
  <si>
    <t>30152 W 11 MILE Road</t>
  </si>
  <si>
    <t>3605 Linwood Avenue</t>
  </si>
  <si>
    <t>917 N EDGEWORTH Avenue</t>
  </si>
  <si>
    <t>9 WOODWARD HEIGHTS Boulevard</t>
  </si>
  <si>
    <t>1250 ORBAN</t>
  </si>
  <si>
    <t>671 W Oakridge Street</t>
  </si>
  <si>
    <t>3334 CUMMINGS Avenue</t>
  </si>
  <si>
    <t>32951 HAVERFORD Road</t>
  </si>
  <si>
    <t>Franklin Vlg</t>
  </si>
  <si>
    <t>59351 TRELAWNEY Drive</t>
  </si>
  <si>
    <t>4660 MESA Court</t>
  </si>
  <si>
    <t>4416 Yorktown Drive</t>
  </si>
  <si>
    <t>13180 Woodland Trail</t>
  </si>
  <si>
    <t>2098 BROWNING Street</t>
  </si>
  <si>
    <t>2752 RHINEBERRY Road</t>
  </si>
  <si>
    <t>656 ROLLING ROCK Road</t>
  </si>
  <si>
    <t>31215 Huntley Ct.</t>
  </si>
  <si>
    <t>1211 WEBSTER Street</t>
  </si>
  <si>
    <t>2985 Walmsley Circle Drive</t>
  </si>
  <si>
    <t>1772 HERON VIEW</t>
  </si>
  <si>
    <t>581 ALEXANDER Drive</t>
  </si>
  <si>
    <t>1229 CAMBRIDGE Road</t>
  </si>
  <si>
    <t>812 CAMBRIDGE Road</t>
  </si>
  <si>
    <t>485 Grace</t>
  </si>
  <si>
    <t>2926 ALEXANDER Avenue</t>
  </si>
  <si>
    <t>1898 HUMPHREY Avenue</t>
  </si>
  <si>
    <t>2011 N COATS Road</t>
  </si>
  <si>
    <t>7350 OAK HILL Road</t>
  </si>
  <si>
    <t>6556 AMY Drive</t>
  </si>
  <si>
    <t>2210 HUNT CLUB Drive</t>
  </si>
  <si>
    <t>Bloomfield Hills</t>
  </si>
  <si>
    <t>5683 GREENBRIAR Drive</t>
  </si>
  <si>
    <t>5393 PATTERSON Drive</t>
  </si>
  <si>
    <t>22500 STAUNTON Street</t>
  </si>
  <si>
    <t>1563 Colony</t>
  </si>
  <si>
    <t>3225 S Hartslock Woods  Drive</t>
  </si>
  <si>
    <t>24374 COTE DNEL Drive</t>
  </si>
  <si>
    <t>306 Samantha Way</t>
  </si>
  <si>
    <t>822 SPRINGFIELD Drive</t>
  </si>
  <si>
    <t>710 E 2ND Street</t>
  </si>
  <si>
    <t>3868 Lake Oakland Shores</t>
  </si>
  <si>
    <t>207 NAKOTA Street</t>
  </si>
  <si>
    <t>4275 E NEWLAND Drive</t>
  </si>
  <si>
    <t>1606 Amelia</t>
  </si>
  <si>
    <t>4109 AMHERST Road</t>
  </si>
  <si>
    <t>1982 E LINCOLN Street</t>
  </si>
  <si>
    <t>3443 Clarice Avenue W</t>
  </si>
  <si>
    <t>681 pine ridge Avenue</t>
  </si>
  <si>
    <t>17247 SHERFIELD</t>
  </si>
  <si>
    <t>4675 PEBBLE Court</t>
  </si>
  <si>
    <t>26 FAIRWOOD Boulevard</t>
  </si>
  <si>
    <t>34046 Northwick Street</t>
  </si>
  <si>
    <t>1311 N ALTADENA Avenue</t>
  </si>
  <si>
    <t>23045 LAUREL VALLEY Street</t>
  </si>
  <si>
    <t>2957 WALMSLEY CIRCLE Drive</t>
  </si>
  <si>
    <t>3760 EATON GATE Lane</t>
  </si>
  <si>
    <t>441  Pinehurst Drive</t>
  </si>
  <si>
    <t>2200 MILLSTREAM Drive</t>
  </si>
  <si>
    <t>6327 Golf View</t>
  </si>
  <si>
    <t>204 N Alexander</t>
  </si>
  <si>
    <t>220 S WILLIAMSBURY Road</t>
  </si>
  <si>
    <t>44 BROOKFIELD Drive</t>
  </si>
  <si>
    <t>495 Lakes Edge</t>
  </si>
  <si>
    <t>2094 Warrington Road</t>
  </si>
  <si>
    <t>1538 LEROY Street</t>
  </si>
  <si>
    <t>851 N BALDWIN Road</t>
  </si>
  <si>
    <t>324 HILLVIEW Street</t>
  </si>
  <si>
    <t>653 WILWOOD Road</t>
  </si>
  <si>
    <t>91 DOUGLAS Drive</t>
  </si>
  <si>
    <t>1420 VILLA Road</t>
  </si>
  <si>
    <t>1122 MILL VALLEY Street</t>
  </si>
  <si>
    <t>2464 WILLOW WAY Drive</t>
  </si>
  <si>
    <t>2369 HILLCRESCENT Drive</t>
  </si>
  <si>
    <t>3204 AVALON Road</t>
  </si>
  <si>
    <t>3173 Rabeeh Drive</t>
  </si>
  <si>
    <t>10104 Lincoln Drive</t>
  </si>
  <si>
    <t>1143 FOUNTAIN VIEW Lane</t>
  </si>
  <si>
    <t>3900 WALNUT LAKE Road</t>
  </si>
  <si>
    <t>600 Market</t>
  </si>
  <si>
    <t>6955 VERNMOOR Drive</t>
  </si>
  <si>
    <t>31250 Pierce</t>
  </si>
  <si>
    <t>132 Forest Way</t>
  </si>
  <si>
    <t>1125 Ferris Avenue</t>
  </si>
  <si>
    <t>5484 WHITEHAVEN Drive</t>
  </si>
  <si>
    <t>5562 ABINGTON Road</t>
  </si>
  <si>
    <t>2043 DOWNHAM Drive</t>
  </si>
  <si>
    <t>10128 HART Avenue</t>
  </si>
  <si>
    <t>41930 RIDGE Road E</t>
  </si>
  <si>
    <t>2637 White Pine  Drive</t>
  </si>
  <si>
    <t>Addison Twp</t>
  </si>
  <si>
    <t>1353 Lomas Verdes</t>
  </si>
  <si>
    <t>1509 OWANA Avenue</t>
  </si>
  <si>
    <t>6257 SANDSHORES Drive</t>
  </si>
  <si>
    <t>5794 SOUTHWARD Avenue</t>
  </si>
  <si>
    <t>37766 GLENGROVE Drive</t>
  </si>
  <si>
    <t>195 TEGGERDINE Road</t>
  </si>
  <si>
    <t>24583 MILLCREEK Drive</t>
  </si>
  <si>
    <t>1601 Grandview Drive</t>
  </si>
  <si>
    <t>4448 Crystal Creek</t>
  </si>
  <si>
    <t>6589 Orion Road</t>
  </si>
  <si>
    <t>6589 ORION Road</t>
  </si>
  <si>
    <t>244 QUARTZ Way</t>
  </si>
  <si>
    <t>Lot #137 Rockhaven</t>
  </si>
  <si>
    <t>25221 APPLETON Drive</t>
  </si>
  <si>
    <t>13327 TALBOT Avenue</t>
  </si>
  <si>
    <t>3270 VIKING Drive</t>
  </si>
  <si>
    <t>4798 Calvert</t>
  </si>
  <si>
    <t>2720 ELIZABETH Lane</t>
  </si>
  <si>
    <t>3051 HUNTINGDON Drive</t>
  </si>
  <si>
    <t>4910 MALLARDS Landing</t>
  </si>
  <si>
    <t>702 DAVIS Avenue</t>
  </si>
  <si>
    <t>26557 OLD HOMESTEAD Drive</t>
  </si>
  <si>
    <t>308 Samantha  Way</t>
  </si>
  <si>
    <t>2415 N Main Street</t>
  </si>
  <si>
    <t>2748 CANOE CIRCLE Drive</t>
  </si>
  <si>
    <t>384 Franklin Lake Circle</t>
  </si>
  <si>
    <t>37972 TRALEE Trail</t>
  </si>
  <si>
    <t>1015 BRENTHAVEN Drive</t>
  </si>
  <si>
    <t>272 QUARTZ Way</t>
  </si>
  <si>
    <t>4303 N VERONA Circle</t>
  </si>
  <si>
    <t>2376 BROWNING Drive</t>
  </si>
  <si>
    <t>10030 Cedar Shores</t>
  </si>
  <si>
    <t>482 PATTAN Drive</t>
  </si>
  <si>
    <t>300 SHERRIE Lane</t>
  </si>
  <si>
    <t>615 JUDI ANN Lane</t>
  </si>
  <si>
    <t>1095 Drakeshire</t>
  </si>
  <si>
    <t>507 Kendry Avenue</t>
  </si>
  <si>
    <t>23300 HILLVIEW Court</t>
  </si>
  <si>
    <t>32720 W HAVERFORD Drive</t>
  </si>
  <si>
    <t>2008 ALICIA Lane</t>
  </si>
  <si>
    <t>5009 Aintree</t>
  </si>
  <si>
    <t>2071 Daintree</t>
  </si>
  <si>
    <t>5800 Little Pine</t>
  </si>
  <si>
    <t>28303 FORESTBROOK Drive</t>
  </si>
  <si>
    <t>10454 BORGMAN Avenue</t>
  </si>
  <si>
    <t>417 W LEWISTON Avenue</t>
  </si>
  <si>
    <t>537 Bird Avenue</t>
  </si>
  <si>
    <t>6063 PETROS Drive</t>
  </si>
  <si>
    <t>10057 HART Avenue</t>
  </si>
  <si>
    <t>28807 W KING WILLIAM Drive</t>
  </si>
  <si>
    <t>1625 Perry Lake Road</t>
  </si>
  <si>
    <t>810 FORESTDALE Road</t>
  </si>
  <si>
    <t>4240 Mankato Avenue</t>
  </si>
  <si>
    <t>8692 GOLF LANE Drive</t>
  </si>
  <si>
    <t>31140 SHERIDAN Drive</t>
  </si>
  <si>
    <t>2811 N WILSON Avenue</t>
  </si>
  <si>
    <t>1532 GRANDVIEW Drive</t>
  </si>
  <si>
    <t>36751 LANSBURY Lane</t>
  </si>
  <si>
    <t>3137 SILVERBROOK Drive</t>
  </si>
  <si>
    <t>1299 Northover Drive</t>
  </si>
  <si>
    <t>10055 TALBOT Avenue</t>
  </si>
  <si>
    <t>948 RIVER ROCK Drive</t>
  </si>
  <si>
    <t>8233 Caribou Trail</t>
  </si>
  <si>
    <t>6784 Granger Drive</t>
  </si>
  <si>
    <t>21144 WOODFARM Drive</t>
  </si>
  <si>
    <t>2130 Huntington Drive</t>
  </si>
  <si>
    <t>6004 GRANGE HALL Road</t>
  </si>
  <si>
    <t>36162 FREDERICKSBURG Road</t>
  </si>
  <si>
    <t>1126 WATERSMEET Drive</t>
  </si>
  <si>
    <t>245 CHERRY GROVE Lane</t>
  </si>
  <si>
    <t>8129 STAGHORN Trail</t>
  </si>
  <si>
    <t>3075 Serenity</t>
  </si>
  <si>
    <t>13 MAYWOOD Avenue</t>
  </si>
  <si>
    <t>4986 Lake Bluff Road</t>
  </si>
  <si>
    <t>3174 OAKSHIRE Avenue</t>
  </si>
  <si>
    <t>1957 MIDCHESTER Drive</t>
  </si>
  <si>
    <t>332 Beverly Avenue</t>
  </si>
  <si>
    <t>33819 YORKRIDGE Street</t>
  </si>
  <si>
    <t>1155 SUGAR CREEK Drive</t>
  </si>
  <si>
    <t>660 Essex Drive</t>
  </si>
  <si>
    <t>41601 CUMMINGS Lane</t>
  </si>
  <si>
    <t>30550 STELLAMAR Street</t>
  </si>
  <si>
    <t>3337 Glacier Drive</t>
  </si>
  <si>
    <t>5850 MIDDLEBELT Road</t>
  </si>
  <si>
    <t>223 QUARTZ Way</t>
  </si>
  <si>
    <t>131 Smiths</t>
  </si>
  <si>
    <t>822 AUGUSTA Drive</t>
  </si>
  <si>
    <t>31125 Westwood Road</t>
  </si>
  <si>
    <t>928 PRESERVE Lane</t>
  </si>
  <si>
    <t>16255 Catalpa Way</t>
  </si>
  <si>
    <t>8337 SILICA Drive</t>
  </si>
  <si>
    <t>3753 WARWICK Drive</t>
  </si>
  <si>
    <t>3733 Quarton Road</t>
  </si>
  <si>
    <t>5639 Carlburt Street</t>
  </si>
  <si>
    <t>854 STANFORD Circle</t>
  </si>
  <si>
    <t>1512 CATTAIL Trail</t>
  </si>
  <si>
    <t>133 E SUNNYBROOK Drive</t>
  </si>
  <si>
    <t>119 Rivercrest Court</t>
  </si>
  <si>
    <t>2005 N WILSON Avenue</t>
  </si>
  <si>
    <t>24355 SURFSIDE Road</t>
  </si>
  <si>
    <t>4444 LANCASHIRE</t>
  </si>
  <si>
    <t>1325  E 14 MILE  Road</t>
  </si>
  <si>
    <t>38325 LOWELL Drive</t>
  </si>
  <si>
    <t>3993 DUN ROVIN Court</t>
  </si>
  <si>
    <t>1932 SHIPMAN Boulevard</t>
  </si>
  <si>
    <t>276 S WILLIAMSBURY Road</t>
  </si>
  <si>
    <t>4964 W POND Circle</t>
  </si>
  <si>
    <t>1725 MIDVALE Street</t>
  </si>
  <si>
    <t>2133 LAKESHORE Drive</t>
  </si>
  <si>
    <t>2829 Walsh Drive</t>
  </si>
  <si>
    <t>21560 Normandale Street</t>
  </si>
  <si>
    <t>1107 LAWNDALE Drive</t>
  </si>
  <si>
    <t>21560 NORMANDALE Street</t>
  </si>
  <si>
    <t>25931 POWER Road</t>
  </si>
  <si>
    <t>5396 BERWYCK Drive</t>
  </si>
  <si>
    <t xml:space="preserve">4717 Heather </t>
  </si>
  <si>
    <t>1895 BIRD Road</t>
  </si>
  <si>
    <t>10001 QUARRY RIDGE Road</t>
  </si>
  <si>
    <t>4515 COMMERCE WOODS Drive</t>
  </si>
  <si>
    <t>10301 Allen Road</t>
  </si>
  <si>
    <t>1359 CATALPA Drive</t>
  </si>
  <si>
    <t>2754 DENISE Drive</t>
  </si>
  <si>
    <t>4490 STRATHDALE</t>
  </si>
  <si>
    <t>793 Dutton Road</t>
  </si>
  <si>
    <t>590 KNOLLWOOD Drive</t>
  </si>
  <si>
    <t>5821 Zander Lane</t>
  </si>
  <si>
    <t>9052 ORTONVILLE Road</t>
  </si>
  <si>
    <t>28045 Golf Pointe Boulevard</t>
  </si>
  <si>
    <t>9046 CEDAR ISLAND Road</t>
  </si>
  <si>
    <t>32630 EVERGREEN Road</t>
  </si>
  <si>
    <t>6415 ELMOOR Drive</t>
  </si>
  <si>
    <t>860 WATERSMEET Drive</t>
  </si>
  <si>
    <t>635 TEN POINT Drive</t>
  </si>
  <si>
    <t>3313 HARBOURS Boulevard</t>
  </si>
  <si>
    <t>20023 W 14 MILE Road</t>
  </si>
  <si>
    <t>158 VALOR Way</t>
  </si>
  <si>
    <t>90 CANTERBURY TRAIL Drive</t>
  </si>
  <si>
    <t>3380 GRANGE HALL Road</t>
  </si>
  <si>
    <t>1879 Rustic Lane</t>
  </si>
  <si>
    <t>1416 Midland Rd.</t>
  </si>
  <si>
    <t>239 Slade</t>
  </si>
  <si>
    <t>1618 FLEETWOOD Drive</t>
  </si>
  <si>
    <t>2756 Brady Drive</t>
  </si>
  <si>
    <t>18455 RIVERSIDE Drive</t>
  </si>
  <si>
    <t>3300 MAUREEN Lane</t>
  </si>
  <si>
    <t>700 PUEBLO</t>
  </si>
  <si>
    <t>3325 Garden Avenue</t>
  </si>
  <si>
    <t>3152 MULBERRY Court</t>
  </si>
  <si>
    <t>3893 IRIS Drive</t>
  </si>
  <si>
    <t>35181 SPRING HILL Road</t>
  </si>
  <si>
    <t>1970 TWIN SUN Circle</t>
  </si>
  <si>
    <t>1095 APPALOOSA Court</t>
  </si>
  <si>
    <t>9672 WESTWOOD Circle</t>
  </si>
  <si>
    <t>21408 PARKLANE Street</t>
  </si>
  <si>
    <t>47129 DUNSANY Road</t>
  </si>
  <si>
    <t>650 STATE Street</t>
  </si>
  <si>
    <t>3584 BRIARBROOKE Lane</t>
  </si>
  <si>
    <t>653 CENTRAL Drive</t>
  </si>
  <si>
    <t>3182 DAVENPORT Lane</t>
  </si>
  <si>
    <t>10015 Quarry Ridge Rd</t>
  </si>
  <si>
    <t>2334 SOLANO Drive</t>
  </si>
  <si>
    <t>6532 LOVELAND Street</t>
  </si>
  <si>
    <t>1206 E 12 MILE  Road</t>
  </si>
  <si>
    <t>1269 PLOVER Drive</t>
  </si>
  <si>
    <t>1143 WHEATFIELD Drive</t>
  </si>
  <si>
    <t>4050 ORCHARD CREST Drive</t>
  </si>
  <si>
    <t>206 WOODSIDE Road</t>
  </si>
  <si>
    <t>6909 W NASHWAY</t>
  </si>
  <si>
    <t>44896 Paine Drive</t>
  </si>
  <si>
    <t>1170 W OAKLEY PARK Road</t>
  </si>
  <si>
    <t>1703 S LAKEVIEW Lane</t>
  </si>
  <si>
    <t>1185 SAINT ANDREWS</t>
  </si>
  <si>
    <t>32400 SHERIDAN Drive</t>
  </si>
  <si>
    <t>2049 SHORE HILL Drive</t>
  </si>
  <si>
    <t>45555 FREEMONT</t>
  </si>
  <si>
    <t>1836 Emerald Lane</t>
  </si>
  <si>
    <t>1014 MARYWOOD Drive</t>
  </si>
  <si>
    <t>2718 Benjamin</t>
  </si>
  <si>
    <t>212 E LA SALLE Avenue</t>
  </si>
  <si>
    <t>444 BELLEVUE Avenue</t>
  </si>
  <si>
    <t>1880 Ruby Street</t>
  </si>
  <si>
    <t>2562 JUDAH Road</t>
  </si>
  <si>
    <t>442 DALEBROOK Lane</t>
  </si>
  <si>
    <t>6679 HEATHERWOOD Drive</t>
  </si>
  <si>
    <t>1880 Ruby</t>
  </si>
  <si>
    <t>6238 MISSION Drive</t>
  </si>
  <si>
    <t>8467 Lagoon Street</t>
  </si>
  <si>
    <t>1782 STANLEY Boulevard</t>
  </si>
  <si>
    <t>9987 QUARRY RIDGE Road</t>
  </si>
  <si>
    <t>30109 Fox Grove Road</t>
  </si>
  <si>
    <t>2110 PEACHTREE Court</t>
  </si>
  <si>
    <t>6786 NORTHPOINT Drive</t>
  </si>
  <si>
    <t>2411 LASSITER Drive</t>
  </si>
  <si>
    <t>871 W BAY SHORE Drive</t>
  </si>
  <si>
    <t>22752 WAYCROFT Drive</t>
  </si>
  <si>
    <t>22470 PLAISANCE Boulevard</t>
  </si>
  <si>
    <t>5304 HIGH COURT Way</t>
  </si>
  <si>
    <t>31630 ROBINHOOD Drive</t>
  </si>
  <si>
    <t>3296 Paramount Lane</t>
  </si>
  <si>
    <t>3432 BUCKINGHAM Trail</t>
  </si>
  <si>
    <t>37985 BRADLEY Drive</t>
  </si>
  <si>
    <t>925 Polvadera Street</t>
  </si>
  <si>
    <t>1470 W Tienken Road</t>
  </si>
  <si>
    <t>2302 COLORADO Avenue</t>
  </si>
  <si>
    <t>30820 Vernon Drive</t>
  </si>
  <si>
    <t>7078 QUAIL Run</t>
  </si>
  <si>
    <t>3057 FANTAIL Court</t>
  </si>
  <si>
    <t>1640 S Shore Drive</t>
  </si>
  <si>
    <t>921 Woodside Drive</t>
  </si>
  <si>
    <t>376 STONE WOOD Court</t>
  </si>
  <si>
    <t>1153 E FAIRVIEW Lane</t>
  </si>
  <si>
    <t>5111 SHOREHAM Circle</t>
  </si>
  <si>
    <t>3047 MONTCLAIR Drive</t>
  </si>
  <si>
    <t>502 W HARRISON Avenue</t>
  </si>
  <si>
    <t>2221 Old Lane</t>
  </si>
  <si>
    <t>2476 OUR LAND ACRES</t>
  </si>
  <si>
    <t>8812 SANDY CREST</t>
  </si>
  <si>
    <t>831 N CAMPBELL Road</t>
  </si>
  <si>
    <t>4453 Creekwood Court</t>
  </si>
  <si>
    <t>2930 AUTEN Road</t>
  </si>
  <si>
    <t>1625 BOULAN Drive</t>
  </si>
  <si>
    <t>218 S GLENGARRY Road</t>
  </si>
  <si>
    <t>4053 Barnaby Court</t>
  </si>
  <si>
    <t>4311 APPLE VALLEY Lane</t>
  </si>
  <si>
    <t>953 Westlake</t>
  </si>
  <si>
    <t>1495 WASHINGTON Boulevard</t>
  </si>
  <si>
    <t>3970 LAMONT Drive N</t>
  </si>
  <si>
    <t>810 BIRCHWOOD</t>
  </si>
  <si>
    <t>886 Jennifer Court</t>
  </si>
  <si>
    <t>901 W Bay Shore</t>
  </si>
  <si>
    <t>8696 Sawgrass Lane</t>
  </si>
  <si>
    <t>12146 SCENIC VALLEY</t>
  </si>
  <si>
    <t>44489 STONE Road</t>
  </si>
  <si>
    <t>37026 ASPEN Drive</t>
  </si>
  <si>
    <t>27829 LARSON Lane</t>
  </si>
  <si>
    <t>972 Chelsea</t>
  </si>
  <si>
    <t>749 N MILL Street</t>
  </si>
  <si>
    <t>3044 PHEASANT RUN EAST Drive</t>
  </si>
  <si>
    <t>950 Dacea Court N</t>
  </si>
  <si>
    <t>1900 EMERALD Lane</t>
  </si>
  <si>
    <t>22280 MERIDIAN Lane</t>
  </si>
  <si>
    <t>6916 Copperfield Court</t>
  </si>
  <si>
    <t>1900 Emerald</t>
  </si>
  <si>
    <t>4958 CATALINA Drive</t>
  </si>
  <si>
    <t>6896 EMERALD SHORES Drive</t>
  </si>
  <si>
    <t>28221 Forestbrook Court</t>
  </si>
  <si>
    <t>155 Peters</t>
  </si>
  <si>
    <t>3038 DEVON BROOK Drive</t>
  </si>
  <si>
    <t>5431 WENTWORTH Drive</t>
  </si>
  <si>
    <t>6472 CRABAPPLE</t>
  </si>
  <si>
    <t>1215 PUTNAM Circle</t>
  </si>
  <si>
    <t>2933 BYWATER Drive</t>
  </si>
  <si>
    <t>30576 E Lincolnshire</t>
  </si>
  <si>
    <t>751 Ann Street</t>
  </si>
  <si>
    <t>1324 BUCKBOARD Circle</t>
  </si>
  <si>
    <t>5439 FALMOUTH Drive</t>
  </si>
  <si>
    <t>12774 VERNON Avenue</t>
  </si>
  <si>
    <t>24139 LOCUST Street</t>
  </si>
  <si>
    <t>1290 Loon Ridge</t>
  </si>
  <si>
    <t>24513 Sarah Flynn Drive</t>
  </si>
  <si>
    <t>4086 W Commerce Road</t>
  </si>
  <si>
    <t>2118 PINE BLUFFS</t>
  </si>
  <si>
    <t>51125 HALLFIELD Street</t>
  </si>
  <si>
    <t>12127 SHAFFER Road</t>
  </si>
  <si>
    <t>37477 BAYWOOD Drive</t>
  </si>
  <si>
    <t>5013 Knollcrest Court</t>
  </si>
  <si>
    <t>1380 PIERCE Street</t>
  </si>
  <si>
    <t>38197 FRENCH POND</t>
  </si>
  <si>
    <t>20983 OAK TREE Drive</t>
  </si>
  <si>
    <t>1083 EQUESTRIAN Drive</t>
  </si>
  <si>
    <t>1821 Emerald Lane</t>
  </si>
  <si>
    <t>2676 Castlewood Court</t>
  </si>
  <si>
    <t>2031 LANCER</t>
  </si>
  <si>
    <t>3237 LONGVIEW  Avenue</t>
  </si>
  <si>
    <t>5126  Glengate Road</t>
  </si>
  <si>
    <t>938 BEACHWAY Drive</t>
  </si>
  <si>
    <t>325 MOUNT VERNON Boulevard</t>
  </si>
  <si>
    <t>3190 OAKHILL Drive</t>
  </si>
  <si>
    <t>324 LEXINGTON Boulevard</t>
  </si>
  <si>
    <t>5074 W BLOOMFIELD LAKE Road</t>
  </si>
  <si>
    <t>4465 Strathdale Lane</t>
  </si>
  <si>
    <t>710 BELLEVUE</t>
  </si>
  <si>
    <t>6404 PENNINGTON  Drive</t>
  </si>
  <si>
    <t>2986 Hessel Ave Drive</t>
  </si>
  <si>
    <t>5576 CHELTENHAM Drive</t>
  </si>
  <si>
    <t>1129 RIVERSTONE Circle</t>
  </si>
  <si>
    <t>2547 Weaverton</t>
  </si>
  <si>
    <t>1363 HATHAWAY RISING</t>
  </si>
  <si>
    <t>498 GREEN HILL Lane</t>
  </si>
  <si>
    <t>11257 CASSIDY Trail</t>
  </si>
  <si>
    <t>1090 RIVER MIST Drive</t>
  </si>
  <si>
    <t>364 Boschma</t>
  </si>
  <si>
    <t>3845 DALICE Drive</t>
  </si>
  <si>
    <t>2030 Emerald</t>
  </si>
  <si>
    <t>7346 Silver Leaf Lane</t>
  </si>
  <si>
    <t>20908 OAK TREE Drive</t>
  </si>
  <si>
    <t>4312 CLEAR CREEK Court</t>
  </si>
  <si>
    <t>38655 CEDARBROOK</t>
  </si>
  <si>
    <t>920 SHEPARDBUSH Street</t>
  </si>
  <si>
    <t>1877 Parks</t>
  </si>
  <si>
    <t>2740 TULIP Way</t>
  </si>
  <si>
    <t>1860 VINSETTA Boulevard</t>
  </si>
  <si>
    <t>220 Stark</t>
  </si>
  <si>
    <t>25045 FRANKLIN PARK Drive</t>
  </si>
  <si>
    <t>125 ALBERTSON Street</t>
  </si>
  <si>
    <t>45310 Courtview Trail</t>
  </si>
  <si>
    <t>2954 Hessel Ave Drive</t>
  </si>
  <si>
    <t>111 Bridge</t>
  </si>
  <si>
    <t>979 Dakota</t>
  </si>
  <si>
    <t>9879 DIXIE</t>
  </si>
  <si>
    <t>26032 STEELE Road</t>
  </si>
  <si>
    <t>1875 TOWNSEND Road</t>
  </si>
  <si>
    <t>651 Timberline Drive</t>
  </si>
  <si>
    <t>58803 Gidran Drive</t>
  </si>
  <si>
    <t>5109 SHOREHAM Circle</t>
  </si>
  <si>
    <t>2902 Portage Trail Drive</t>
  </si>
  <si>
    <t>6752 REDFORD Circle</t>
  </si>
  <si>
    <t>27184 CAMBRIDGE Lane</t>
  </si>
  <si>
    <t>437 COLLEGE Street</t>
  </si>
  <si>
    <t>7423 DENALI Drive</t>
  </si>
  <si>
    <t>785 Kestrel Court</t>
  </si>
  <si>
    <t>4520 STONY RIVER Drive</t>
  </si>
  <si>
    <t>1176 CADMUS Drive</t>
  </si>
  <si>
    <t>3188 LEXHAM Lane</t>
  </si>
  <si>
    <t>45120 BARTLETT Drive</t>
  </si>
  <si>
    <t>1354 Cartwright Lane</t>
  </si>
  <si>
    <t>1465 WASHINGTON Boulevard</t>
  </si>
  <si>
    <t>29577 Macintosh Lane</t>
  </si>
  <si>
    <t>21183 E CHIGWIDDEN Street</t>
  </si>
  <si>
    <t>3539 CLYDE Road</t>
  </si>
  <si>
    <t>525 Lake Manitou Trail</t>
  </si>
  <si>
    <t>7400 JACKSON PARK Drive</t>
  </si>
  <si>
    <t>3790 BEACH Road</t>
  </si>
  <si>
    <t>8270 LOST PINES Drive</t>
  </si>
  <si>
    <t>481 BELDALE Drive</t>
  </si>
  <si>
    <t>27303 Benjamins Way</t>
  </si>
  <si>
    <t>1200 12 MILE  Road</t>
  </si>
  <si>
    <t>2822 TRILLIUM HILLS Drive</t>
  </si>
  <si>
    <t>5636 Golf Pointe Drive</t>
  </si>
  <si>
    <t>1629 Ottawa Trail Court</t>
  </si>
  <si>
    <t>35280 SPRING HILL Road</t>
  </si>
  <si>
    <t>1677 GILSAM Avenue</t>
  </si>
  <si>
    <t>3930 Bald Eagle Lake Road</t>
  </si>
  <si>
    <t>2748 Castlewood Court</t>
  </si>
  <si>
    <t>301 DUANA Street</t>
  </si>
  <si>
    <t>7572 COOLEY LAKE Road</t>
  </si>
  <si>
    <t>57949 STONELEIGH Drive</t>
  </si>
  <si>
    <t>5946 STRAWBERRY Circle</t>
  </si>
  <si>
    <t>2644 FRY Road</t>
  </si>
  <si>
    <t>772 Westlake Ave</t>
  </si>
  <si>
    <t>24662 JADE Drive</t>
  </si>
  <si>
    <t>24551 JADE Drive</t>
  </si>
  <si>
    <t>5714 Fenwick  Place</t>
  </si>
  <si>
    <t>27197 HAMPSTEAD Boulevard</t>
  </si>
  <si>
    <t>3201 RHODE ISLAND Drive</t>
  </si>
  <si>
    <t>58714 Sella Drive</t>
  </si>
  <si>
    <t>20987 Calabrese</t>
  </si>
  <si>
    <t>545 Lake Manitou Trail</t>
  </si>
  <si>
    <t>4544 Valleyview Drive</t>
  </si>
  <si>
    <t>5279 BIRCH Road</t>
  </si>
  <si>
    <t>24181 LIBERTY HILL Drive</t>
  </si>
  <si>
    <t>1368 Cedar Drive</t>
  </si>
  <si>
    <t>6287 ROSE Boulevard</t>
  </si>
  <si>
    <t>304 VALLEY VIEW Drive</t>
  </si>
  <si>
    <t>8940 EASTWAY Drive</t>
  </si>
  <si>
    <t>5294 BRIDGE Trail E</t>
  </si>
  <si>
    <t>3890 Royal Avenue</t>
  </si>
  <si>
    <t>3051 HONOR Drive</t>
  </si>
  <si>
    <t>600 Scotts Hill</t>
  </si>
  <si>
    <t>30152 TURTLE CREEK Circle</t>
  </si>
  <si>
    <t>1591 EDGEWOOD Boulevard</t>
  </si>
  <si>
    <t>20847 Calabrese Drive</t>
  </si>
  <si>
    <t>3521 STALLION Way</t>
  </si>
  <si>
    <t>948 OAKLAND Avenue</t>
  </si>
  <si>
    <t>4737 WOODBINE Circle</t>
  </si>
  <si>
    <t>4342 MEADOW Lane</t>
  </si>
  <si>
    <t>Orchard Lake Village</t>
  </si>
  <si>
    <t>32555 SUSANNE Drive</t>
  </si>
  <si>
    <t>24631 JADE Drive</t>
  </si>
  <si>
    <t>708 PARKMAN Drive</t>
  </si>
  <si>
    <t>273 Sandalwood Drive</t>
  </si>
  <si>
    <t>24426 Padstone Drive</t>
  </si>
  <si>
    <t>7286 N Village Drive</t>
  </si>
  <si>
    <t>521 HERITAGE RIDGE Drive</t>
  </si>
  <si>
    <t>20958 HASENCLEVER Drive</t>
  </si>
  <si>
    <t>1346 Ross Lane</t>
  </si>
  <si>
    <t>372 Boschma</t>
  </si>
  <si>
    <t>2375 CANYON RIDGE Drive</t>
  </si>
  <si>
    <t>160 Woodedge Drive</t>
  </si>
  <si>
    <t>1291 WASHINGTON Boulevard</t>
  </si>
  <si>
    <t>24430 BETHANY Way</t>
  </si>
  <si>
    <t>4793 W Stonegate Circle</t>
  </si>
  <si>
    <t>Lake Orion</t>
  </si>
  <si>
    <t>3267 Greentree Road</t>
  </si>
  <si>
    <t>4009 PARKVIEW Drive</t>
  </si>
  <si>
    <t>2644 Limerick Lane</t>
  </si>
  <si>
    <t>1706 WHITE BIRCH Court</t>
  </si>
  <si>
    <t>960 CANDLESTICK</t>
  </si>
  <si>
    <t>4590 BARBARA KAY</t>
  </si>
  <si>
    <t>27727 WELLINGTON Street</t>
  </si>
  <si>
    <t>5592 ELLEMERE Lane</t>
  </si>
  <si>
    <t>62017 SAVANNAH Drive</t>
  </si>
  <si>
    <t>2032 Roundtree</t>
  </si>
  <si>
    <t>4790 Marquette Drive</t>
  </si>
  <si>
    <t>2640 TOWERING OAKS Drive</t>
  </si>
  <si>
    <t>1085 NORFOLK Street</t>
  </si>
  <si>
    <t>6446 Hills Drive</t>
  </si>
  <si>
    <t>743 Caribou Court</t>
  </si>
  <si>
    <t>4414 BRANDYWYNE Drive</t>
  </si>
  <si>
    <t>6538  Cambridge  Circle</t>
  </si>
  <si>
    <t>4053 DREXEL Drive</t>
  </si>
  <si>
    <t>7076 BALMORAL Drive</t>
  </si>
  <si>
    <t>6431 ELMWOOD Drive</t>
  </si>
  <si>
    <t>7030 TUTTLE</t>
  </si>
  <si>
    <t>4065 LAHRING Road</t>
  </si>
  <si>
    <t>6751 CRESTVIEW Drive</t>
  </si>
  <si>
    <t>3541 ARBOR Avenue</t>
  </si>
  <si>
    <t>6232 LYNN Court</t>
  </si>
  <si>
    <t>27464 PAMPLONA Lane</t>
  </si>
  <si>
    <t>6890 Cedarbrook Drive</t>
  </si>
  <si>
    <t>30690 Turtle Creek Court</t>
  </si>
  <si>
    <t>57 CRESTFIELD Avenue</t>
  </si>
  <si>
    <t>2847 CUMMINGS Avenue</t>
  </si>
  <si>
    <t>10048 KING Road</t>
  </si>
  <si>
    <t>26644 INTERNATIONAL Drive</t>
  </si>
  <si>
    <t>2936 Briarwood Drive</t>
  </si>
  <si>
    <t>3134 Cairncross Drive</t>
  </si>
  <si>
    <t>1946 Kohli Drive</t>
  </si>
  <si>
    <t>927 Leafdale Dr.</t>
  </si>
  <si>
    <t>387 HILLWOOD</t>
  </si>
  <si>
    <t>4785 RANCH Lane</t>
  </si>
  <si>
    <t>20868 Hasenclever Drive</t>
  </si>
  <si>
    <t>5721 FENWICK</t>
  </si>
  <si>
    <t>2832 VINSETTA Boulevard</t>
  </si>
  <si>
    <t>26515 W 13 MILE Road</t>
  </si>
  <si>
    <t>775 Marlayna</t>
  </si>
  <si>
    <t>8482 Ranch Estates  Road</t>
  </si>
  <si>
    <t>30164 TURTLE CREEK Circle</t>
  </si>
  <si>
    <t>4702 MIDDLEBURY Drive</t>
  </si>
  <si>
    <t>3358 Phillips Avenue</t>
  </si>
  <si>
    <t>2457 Andover</t>
  </si>
  <si>
    <t>2883 CREEK BEND Drive</t>
  </si>
  <si>
    <t>27190 PEMBRIDGE Lane</t>
  </si>
  <si>
    <t>1801 Carnoustie</t>
  </si>
  <si>
    <t>1009 JAMES K Boulevard</t>
  </si>
  <si>
    <t>6008 WINSFORD Lane</t>
  </si>
  <si>
    <t>3720 Sunnyside Court</t>
  </si>
  <si>
    <t>18585 WALMER Lane</t>
  </si>
  <si>
    <t>3690 BERKSHIRE Drive</t>
  </si>
  <si>
    <t>42977 ASHBURY Drive</t>
  </si>
  <si>
    <t>3586 HIGH VIEW Drive</t>
  </si>
  <si>
    <t>3535 Dukeshire Highway</t>
  </si>
  <si>
    <t>24406 JADE Drive</t>
  </si>
  <si>
    <t>3662 MERRIWEATHER Lane</t>
  </si>
  <si>
    <t>1761 HIDDEN VALLEY Drive</t>
  </si>
  <si>
    <t>725 WESTVIEW Road</t>
  </si>
  <si>
    <t>1248 EDENBROOK</t>
  </si>
  <si>
    <t>2214 OLD NOVI Road</t>
  </si>
  <si>
    <t>770 Marlayna</t>
  </si>
  <si>
    <t>4531 N Campbell</t>
  </si>
  <si>
    <t>2196 E SHORE Drive</t>
  </si>
  <si>
    <t>2798 BUCKINGHAM Avenue</t>
  </si>
  <si>
    <t>4253 Sedgemoor</t>
  </si>
  <si>
    <t>20886 HASENCLEVER Drive</t>
  </si>
  <si>
    <t>18103 Riverside Drive</t>
  </si>
  <si>
    <t>4732 Tanglewood Lane</t>
  </si>
  <si>
    <t>23672 Stoneleigh Drive</t>
  </si>
  <si>
    <t>74 PARK ISLAND Drive</t>
  </si>
  <si>
    <t>4128 NEWGARD Drive</t>
  </si>
  <si>
    <t>6328 ELSEY Drive</t>
  </si>
  <si>
    <t>150 SINGH Boulevard</t>
  </si>
  <si>
    <t>21224 Prestwick</t>
  </si>
  <si>
    <t>3881 Quarton Road</t>
  </si>
  <si>
    <t>443 Wesley</t>
  </si>
  <si>
    <t>6480 Park View Drive Drive</t>
  </si>
  <si>
    <t>71 CHILDRESS Avenue</t>
  </si>
  <si>
    <t>6500 RED OAK Drive</t>
  </si>
  <si>
    <t>4126 LIVERNOIS Road</t>
  </si>
  <si>
    <t>5263 VINEYARD Street</t>
  </si>
  <si>
    <t>2917 Bywater</t>
  </si>
  <si>
    <t>1878 FAIRWAY Drive</t>
  </si>
  <si>
    <t>3492 ARBOR Avenue</t>
  </si>
  <si>
    <t>1973 Kohli Drive</t>
  </si>
  <si>
    <t>2735 TULIP Way</t>
  </si>
  <si>
    <t>3555 SHADY BEACH Boulevard</t>
  </si>
  <si>
    <t>2802 DERBY Road</t>
  </si>
  <si>
    <t>1613 POPLAR Avenue</t>
  </si>
  <si>
    <t>8380 Woodspur Drive</t>
  </si>
  <si>
    <t>4385 STONELEIGH Road</t>
  </si>
  <si>
    <t>5075 MIDMOOR Road</t>
  </si>
  <si>
    <t>22367 WORCESTER Drive</t>
  </si>
  <si>
    <t>3712 ELMHURST Avenue</t>
  </si>
  <si>
    <t>2688 LAMPLIGHTER Lane</t>
  </si>
  <si>
    <t>26075 WOODLORE Road</t>
  </si>
  <si>
    <t>223 KIRKSWAY Lane</t>
  </si>
  <si>
    <t>2765 Tulip Way</t>
  </si>
  <si>
    <t>21071 WHEATON Lane</t>
  </si>
  <si>
    <t>1931 HAVERHILL Drive</t>
  </si>
  <si>
    <t>6330 BRANFORD Drive</t>
  </si>
  <si>
    <t>10001 ELLIS Road</t>
  </si>
  <si>
    <t>1693 TOWNSEND Road</t>
  </si>
  <si>
    <t>13312 LUDLOW Avenue</t>
  </si>
  <si>
    <t>695 PEACH TREE Lane</t>
  </si>
  <si>
    <t>6235 WINDSTONE Circle</t>
  </si>
  <si>
    <t>6095 GOLFVIEW Drive</t>
  </si>
  <si>
    <t>11578 Haylock</t>
  </si>
  <si>
    <t>550 BAY POINTE Drive</t>
  </si>
  <si>
    <t>2893 OAK HILL Trail</t>
  </si>
  <si>
    <t>7494 AUTUMN HILL Drive</t>
  </si>
  <si>
    <t>316 S VERMONT Avenue</t>
  </si>
  <si>
    <t>62249 KEENELAND</t>
  </si>
  <si>
    <t>4523 Woodcliff Court</t>
  </si>
  <si>
    <t>1852 LATHAM Street</t>
  </si>
  <si>
    <t>3790 BURNING TREE Drive</t>
  </si>
  <si>
    <t>4901 LIVERNOIS Road</t>
  </si>
  <si>
    <t>1291 PALATINE Drive</t>
  </si>
  <si>
    <t>614 ARDMOOR Drive</t>
  </si>
  <si>
    <t>7029 CARLYLE Crossing</t>
  </si>
  <si>
    <t>1950 Trowbridge Lane</t>
  </si>
  <si>
    <t>2476 HUNT CLUB Drive</t>
  </si>
  <si>
    <t>1689  Gleneagles</t>
  </si>
  <si>
    <t>4511 LAKEVIEW</t>
  </si>
  <si>
    <t>7130 SUNCREST Road</t>
  </si>
  <si>
    <t>5600  Oak Bluff  Road</t>
  </si>
  <si>
    <t>93 OAKDALE Boulevard</t>
  </si>
  <si>
    <t>9235 Lakebluff Drive</t>
  </si>
  <si>
    <t>21669 Hampton Street</t>
  </si>
  <si>
    <t>Beverly Hills</t>
  </si>
  <si>
    <t>16301 WINDY KNOLL Drive</t>
  </si>
  <si>
    <t>22767 Martin</t>
  </si>
  <si>
    <t>1809 COLE Street</t>
  </si>
  <si>
    <t>819 1st</t>
  </si>
  <si>
    <t>4153 HOLLY Lane</t>
  </si>
  <si>
    <t>1166 Copperwood Drive</t>
  </si>
  <si>
    <t>571 MILL Street</t>
  </si>
  <si>
    <t>16261 KIRKSHIRE Avenue</t>
  </si>
  <si>
    <t>735 E MAPLE Road</t>
  </si>
  <si>
    <t>7003 WOODBANK Drive</t>
  </si>
  <si>
    <t>635 WILLOW GLEN Court E</t>
  </si>
  <si>
    <t>303 KENDRY</t>
  </si>
  <si>
    <t>1966 DELL ROSE Drive</t>
  </si>
  <si>
    <t>3791 KLAIS Drive</t>
  </si>
  <si>
    <t>25937 Wembley Drive</t>
  </si>
  <si>
    <t>3585 Bloomfield Club Drive</t>
  </si>
  <si>
    <t>3620 LINWOOD Avenue</t>
  </si>
  <si>
    <t>30211  Pennington Court</t>
  </si>
  <si>
    <t>1786 HIDDEN VALLEY Drive</t>
  </si>
  <si>
    <t>692 Appalachi Street</t>
  </si>
  <si>
    <t>23824 MILLWOOD</t>
  </si>
  <si>
    <t>333 Wyngate Drive</t>
  </si>
  <si>
    <t>739 Elderberry Court</t>
  </si>
  <si>
    <t>1351 GALENA</t>
  </si>
  <si>
    <t>4662 COACHMAKER Drive</t>
  </si>
  <si>
    <t>111 ROYAL Avenue</t>
  </si>
  <si>
    <t>1962 Kohli Drive</t>
  </si>
  <si>
    <t>4038 DREXEL Drive</t>
  </si>
  <si>
    <t>6525 PARK VIEW Drive</t>
  </si>
  <si>
    <t>304 E TROY Street N</t>
  </si>
  <si>
    <t>1300 GRANDVIEW Drive</t>
  </si>
  <si>
    <t>55550 Lee Road</t>
  </si>
  <si>
    <t>23413 Millwood Street</t>
  </si>
  <si>
    <t>2173 BONNIE BRAE Street</t>
  </si>
  <si>
    <t>987 BENNAVILLE Avenue</t>
  </si>
  <si>
    <t>230 DEVON Road</t>
  </si>
  <si>
    <t>1418 Ferris</t>
  </si>
  <si>
    <t>1036 N Blair</t>
  </si>
  <si>
    <t>25571 CRYSTALCREEK WEST</t>
  </si>
  <si>
    <t>24555 THATCHER Drive W</t>
  </si>
  <si>
    <t>24129 ELIZABETH Lane</t>
  </si>
  <si>
    <t>23305 Crooked Tree Court S</t>
  </si>
  <si>
    <t>3869 MOUNTAIN LAUREL Boulevard</t>
  </si>
  <si>
    <t>2817 WOODCREEK Way</t>
  </si>
  <si>
    <t>4998 CHEYENNE Avenue</t>
  </si>
  <si>
    <t>1320 W Gunn Road</t>
  </si>
  <si>
    <t>2702 CREEK BEND Drive</t>
  </si>
  <si>
    <t>24688 NEPAVINE Drive</t>
  </si>
  <si>
    <t>1196 OTTER Avenue</t>
  </si>
  <si>
    <t>23657 N CROOKED TREE</t>
  </si>
  <si>
    <t>25490 DOGWOOD Lane</t>
  </si>
  <si>
    <t>5437 RANGEMORE Drive</t>
  </si>
  <si>
    <t>4721 HEATHER Lane</t>
  </si>
  <si>
    <t>4331 Spruce Hill Lane</t>
  </si>
  <si>
    <t>5942 STONEHAVEN Boulevard</t>
  </si>
  <si>
    <t>1339 ABERDOVEY</t>
  </si>
  <si>
    <t>1071 WOODBRIDGE Lane</t>
  </si>
  <si>
    <t>787 INVERNESS Court</t>
  </si>
  <si>
    <t>531 S MINERVA Avenue</t>
  </si>
  <si>
    <t>24456 Cavendish Avenue E</t>
  </si>
  <si>
    <t>3447 JOSSMAN Hills</t>
  </si>
  <si>
    <t>2118 CHAPS</t>
  </si>
  <si>
    <t>722 PARKMAN Drive</t>
  </si>
  <si>
    <t>1822 ARROWHEAD Trail</t>
  </si>
  <si>
    <t>4370 STRATHDALE Lane</t>
  </si>
  <si>
    <t>433 S MAIN Street</t>
  </si>
  <si>
    <t>5786 CONCORD Court</t>
  </si>
  <si>
    <t>18234 BUCKINGHAM Avenue</t>
  </si>
  <si>
    <t>5329 RANGEMORE Drive</t>
  </si>
  <si>
    <t>5151 SPRINGDALE Court</t>
  </si>
  <si>
    <t>71 N Main Street</t>
  </si>
  <si>
    <t>20965 TORBAY Drive</t>
  </si>
  <si>
    <t>3890 MOUNTAIN LAUREL Boulevard</t>
  </si>
  <si>
    <t>3242 PINE LAKE Road</t>
  </si>
  <si>
    <t>24190  Trafalgar Court</t>
  </si>
  <si>
    <t>829 HAWKSMOORE Drive</t>
  </si>
  <si>
    <t>1803 SUNBURST Drive</t>
  </si>
  <si>
    <t>1011 FOREST Avenue</t>
  </si>
  <si>
    <t>811 Westlake</t>
  </si>
  <si>
    <t>32355 WESTLADY</t>
  </si>
  <si>
    <t>1949 Maryland Boulevard</t>
  </si>
  <si>
    <t>2018 OSPREY Drive</t>
  </si>
  <si>
    <t>8856 BRIDGE LAKE Road</t>
  </si>
  <si>
    <t>26668 HUNTINGTON Road</t>
  </si>
  <si>
    <t>22186 DALEVIEW Drive</t>
  </si>
  <si>
    <t>329 Park</t>
  </si>
  <si>
    <t>2015 RIDGE Road</t>
  </si>
  <si>
    <t>6839 MINNOW POND Drive</t>
  </si>
  <si>
    <t>5033 DEEP WOOD Road</t>
  </si>
  <si>
    <t>24252 SAYBROOK</t>
  </si>
  <si>
    <t>3589 MANN Road</t>
  </si>
  <si>
    <t>123 S Blair Avenue</t>
  </si>
  <si>
    <t>832 NORTHGATE Road</t>
  </si>
  <si>
    <t>5353 KESWICK</t>
  </si>
  <si>
    <t>706 Great Oaks Drive</t>
  </si>
  <si>
    <t>4598 ISLAND PARK Drive</t>
  </si>
  <si>
    <t>52689 TRAILWOOD Drive</t>
  </si>
  <si>
    <t>39 HANOVER Road</t>
  </si>
  <si>
    <t>2057 KOHLI Drive</t>
  </si>
  <si>
    <t>90 OAKDALE Boulevard</t>
  </si>
  <si>
    <t>2980 WOODCREEK Way</t>
  </si>
  <si>
    <t>3417 S CENTURY OAK Circle</t>
  </si>
  <si>
    <t>1387 MARINA POINTE Boulevard</t>
  </si>
  <si>
    <t>3904 Bellevue Avenue</t>
  </si>
  <si>
    <t>119 ADAMS Road</t>
  </si>
  <si>
    <t>1315 BURNS Drive</t>
  </si>
  <si>
    <t>4689 Applewood  Court</t>
  </si>
  <si>
    <t>1222 Cole Street</t>
  </si>
  <si>
    <t>21317 Stone Meadow  Drive</t>
  </si>
  <si>
    <t>507 GIRARD Avenue</t>
  </si>
  <si>
    <t>604 Forest Avenue</t>
  </si>
  <si>
    <t>6525 WING LAKE Road</t>
  </si>
  <si>
    <t>662 DETROIT Avenue</t>
  </si>
  <si>
    <t>1870 WEBSTER Street</t>
  </si>
  <si>
    <t>1661 SILVERBELL Road</t>
  </si>
  <si>
    <t>4516 WAGON WHEEL Drive</t>
  </si>
  <si>
    <t>644 Watkins Street</t>
  </si>
  <si>
    <t>3522 Lennox</t>
  </si>
  <si>
    <t>22423 Montebello  Court</t>
  </si>
  <si>
    <t>3608 WALNUT BROOK Drive</t>
  </si>
  <si>
    <t>497 Beverly Island Drive</t>
  </si>
  <si>
    <t>3101 Delano Road</t>
  </si>
  <si>
    <t>3 Riverbank  Drive</t>
  </si>
  <si>
    <t>419 PARKDALE Avenue</t>
  </si>
  <si>
    <t>564 OVERHILL Road</t>
  </si>
  <si>
    <t>1700 W Lincoln Street</t>
  </si>
  <si>
    <t>3715 DURHAM Road</t>
  </si>
  <si>
    <t>1221 FAIRFAX Street</t>
  </si>
  <si>
    <t>5052 Rockaway</t>
  </si>
  <si>
    <t>207 N Maple Avenue</t>
  </si>
  <si>
    <t>519 LLOYD Avenue</t>
  </si>
  <si>
    <t>683 HALF MOON Road</t>
  </si>
  <si>
    <t>3516 LINWOOD Avenue</t>
  </si>
  <si>
    <t>42 CAMBRIDGE Boulevard</t>
  </si>
  <si>
    <t>3883 Coachwood Lane</t>
  </si>
  <si>
    <t>3883 COACHWOOD Lane</t>
  </si>
  <si>
    <t>1105 CHARRINGTON Road</t>
  </si>
  <si>
    <t xml:space="preserve">980 WIMBLETON </t>
  </si>
  <si>
    <t>600 COVINGTON Road</t>
  </si>
  <si>
    <t>3237 GLEN IRIS Drive</t>
  </si>
  <si>
    <t>1590 SCENIC HOLLOW Drive</t>
  </si>
  <si>
    <t>4234 Mankato Avenue</t>
  </si>
  <si>
    <t>654 Hamilton Road</t>
  </si>
  <si>
    <t>4879 PARK MANOR Drive</t>
  </si>
  <si>
    <t>3480 Burning Bush Road</t>
  </si>
  <si>
    <t>4610 CIMARRON Drive</t>
  </si>
  <si>
    <t>1235 RUFFNER Avenue</t>
  </si>
  <si>
    <t>1084 BROOKWOOD Street</t>
  </si>
  <si>
    <t>2109 N VERMONT Avenue</t>
  </si>
  <si>
    <t>52797 TRAILWOOD Drive</t>
  </si>
  <si>
    <t>350 CATALPA Drive</t>
  </si>
  <si>
    <t>2220 CHESTNUT Drive</t>
  </si>
  <si>
    <t>596 HENRIETTA Street</t>
  </si>
  <si>
    <t>21445 Ballantyne Boulevard</t>
  </si>
  <si>
    <t>21147 Ballantyne Boulevard</t>
  </si>
  <si>
    <t>25528 SHERWOOD Drive</t>
  </si>
  <si>
    <t>54153 DEER RIDGE Court</t>
  </si>
  <si>
    <t>1669 Webster Street</t>
  </si>
  <si>
    <t>4885 Loch Lomond Drive</t>
  </si>
  <si>
    <t>21351 Ballantyne Boulevard</t>
  </si>
  <si>
    <t>1188 WASHINGTON Boulevard</t>
  </si>
  <si>
    <t>2574 GINGER Court</t>
  </si>
  <si>
    <t>45950 W 11 MILE Road</t>
  </si>
  <si>
    <t>714 WELLINGTON Circle</t>
  </si>
  <si>
    <t>2395 KINGSBURY Drive</t>
  </si>
  <si>
    <t>5128 Echo Road</t>
  </si>
  <si>
    <t>596 Rudgate Road</t>
  </si>
  <si>
    <t>1772 HERON RIDGE Drive</t>
  </si>
  <si>
    <t>2000 Touraine</t>
  </si>
  <si>
    <t>3225 CHESTNUT RUN Drive</t>
  </si>
  <si>
    <t>74253 Dequindre Road</t>
  </si>
  <si>
    <t>25675 SHORELINE Drive</t>
  </si>
  <si>
    <t xml:space="preserve">1892 Seminole Ct. </t>
  </si>
  <si>
    <t>1409 Cedar Drive</t>
  </si>
  <si>
    <t>1244 Cole Street</t>
  </si>
  <si>
    <t>335 PINE RIDGE Drive</t>
  </si>
  <si>
    <t>1792 HENRIETTA</t>
  </si>
  <si>
    <t>1141 LAKE PARK Drive</t>
  </si>
  <si>
    <t>1470 Washington Boulevard</t>
  </si>
  <si>
    <t>5140 Crest Knolls Court</t>
  </si>
  <si>
    <t>8376 BRIDLEWOOD</t>
  </si>
  <si>
    <t>1021 Clear Creek</t>
  </si>
  <si>
    <t>3160 BERKSHIRE Drive</t>
  </si>
  <si>
    <t>7145 OLD MILL Road</t>
  </si>
  <si>
    <t>1700 NORTHLAWN Boulevard</t>
  </si>
  <si>
    <t>547 SOUTHFIELD Road</t>
  </si>
  <si>
    <t>789 VINEWOOD Avenue</t>
  </si>
  <si>
    <t>6530 Commerce Road</t>
  </si>
  <si>
    <t>4540 THE HEIGHTS Boulevard</t>
  </si>
  <si>
    <t>3520 W BRADFORD Drive</t>
  </si>
  <si>
    <t>787 Ann Street</t>
  </si>
  <si>
    <t>1076 FAIRFAX Street</t>
  </si>
  <si>
    <t>437 Linden Road</t>
  </si>
  <si>
    <t>1202 LYONHURST Street</t>
  </si>
  <si>
    <t>1389 PILGRIM Avenue</t>
  </si>
  <si>
    <t>4800 N HARSDALE Road</t>
  </si>
  <si>
    <t>1408 SODON LAKE Drive</t>
  </si>
  <si>
    <t>3030 HERON Place</t>
  </si>
  <si>
    <t>6134 RUE DU LAC</t>
  </si>
  <si>
    <t>200 LAKE PARK Drive</t>
  </si>
  <si>
    <t>380 LINDEN Road</t>
  </si>
  <si>
    <t>23 Hidden Ridge</t>
  </si>
  <si>
    <t>651 BENNINGTON Drive</t>
  </si>
  <si>
    <t>23 HIDDEN Ridge</t>
  </si>
  <si>
    <t>3190 W LONG LAKE Road</t>
  </si>
  <si>
    <t>4985 MIDDLEBELT Road</t>
  </si>
  <si>
    <t>51 CRANBROOK Road</t>
  </si>
  <si>
    <t>21101 CAMBRIDGE Drive</t>
  </si>
  <si>
    <t>46627 Bonaparte Drive</t>
  </si>
  <si>
    <t>Macomb Twp</t>
  </si>
  <si>
    <t>Macomb</t>
  </si>
  <si>
    <t>25360 MACOMB Street</t>
  </si>
  <si>
    <t>Roseville</t>
  </si>
  <si>
    <t>11309 Ford</t>
  </si>
  <si>
    <t>Warren</t>
  </si>
  <si>
    <t>13404 VERNON Avenue</t>
  </si>
  <si>
    <t>113 RATHBONE Street</t>
  </si>
  <si>
    <t>Mt. Clemens</t>
  </si>
  <si>
    <t>22438 Piper</t>
  </si>
  <si>
    <t>Eastpointe</t>
  </si>
  <si>
    <t>8476 ORCHARD Avenue</t>
  </si>
  <si>
    <t>21264 AUDREY Avenue</t>
  </si>
  <si>
    <t>23481 WELLINGTON Avenue</t>
  </si>
  <si>
    <t>46628 Bonaparte  Drive</t>
  </si>
  <si>
    <t>8125 Toepfer</t>
  </si>
  <si>
    <t>11235 Ford</t>
  </si>
  <si>
    <t>34151 KENTUCKY</t>
  </si>
  <si>
    <t>Clinton Twp</t>
  </si>
  <si>
    <t>58784 Morning Glory</t>
  </si>
  <si>
    <t>Lenox Twp</t>
  </si>
  <si>
    <t>12764 Sidonie Avenue</t>
  </si>
  <si>
    <t>28110 WAVERLY Street</t>
  </si>
  <si>
    <t>26510 CLANCY Street</t>
  </si>
  <si>
    <t>8249 Rivard Avenue</t>
  </si>
  <si>
    <t>45112  Chateau Thierry Blvd</t>
  </si>
  <si>
    <t>13006 SIDONIE Avenue</t>
  </si>
  <si>
    <t>16719 Veronica</t>
  </si>
  <si>
    <t>29439 GALLOWAY Street</t>
  </si>
  <si>
    <t>42892 DEQUINDRE Road</t>
  </si>
  <si>
    <t>Sterling Heights</t>
  </si>
  <si>
    <t>8329 RIVARD Avenue</t>
  </si>
  <si>
    <t>19021 Birmingham</t>
  </si>
  <si>
    <t>13466 SIDONIE Avenue</t>
  </si>
  <si>
    <t>1967 Woodruff</t>
  </si>
  <si>
    <t>21762 Elroy</t>
  </si>
  <si>
    <t>13756 LEONARD Avenue</t>
  </si>
  <si>
    <t>24677 LAUREN Avenue</t>
  </si>
  <si>
    <t>8233 MEADOW Avenue</t>
  </si>
  <si>
    <t>21746 Nevada</t>
  </si>
  <si>
    <t>11319 CHALMERS Avenue</t>
  </si>
  <si>
    <t>21241 MARIE Avenue</t>
  </si>
  <si>
    <t>22535 WILMOT Avenue</t>
  </si>
  <si>
    <t>21520 DEXTER Boulevard</t>
  </si>
  <si>
    <t>22519 CUSHING Avenue</t>
  </si>
  <si>
    <t>21057 Atlantic</t>
  </si>
  <si>
    <t>28324 Rosebriar</t>
  </si>
  <si>
    <t>St. Clair Shores</t>
  </si>
  <si>
    <t>22828 NAGEL Street</t>
  </si>
  <si>
    <t>23209 Hayes Ave.</t>
  </si>
  <si>
    <t>7569 WESTMINSTER Avenue</t>
  </si>
  <si>
    <t>14040 HENDRICKS Avenue</t>
  </si>
  <si>
    <t>19101 Illinois</t>
  </si>
  <si>
    <t>22084 PIPER Avenue</t>
  </si>
  <si>
    <t>27561 KAUFMAN Street</t>
  </si>
  <si>
    <t>14300 HOBART Avenue</t>
  </si>
  <si>
    <t>14073 Hendricks</t>
  </si>
  <si>
    <t>26710 LEHNER Street</t>
  </si>
  <si>
    <t>21360 Waltham Rd</t>
  </si>
  <si>
    <t>2144 PEARL Avenue</t>
  </si>
  <si>
    <t>13012 Sarsfield</t>
  </si>
  <si>
    <t>22765 Teppert</t>
  </si>
  <si>
    <t>11011 DODGE Avenue</t>
  </si>
  <si>
    <t>8393 STATE Park</t>
  </si>
  <si>
    <t>Center Line</t>
  </si>
  <si>
    <t>7543 MAXWELL Avenue</t>
  </si>
  <si>
    <t>23823 Columbus</t>
  </si>
  <si>
    <t>3525 POPLAR Avenue</t>
  </si>
  <si>
    <t>8095 PROSPECT Avenue</t>
  </si>
  <si>
    <t>22486 Heussner</t>
  </si>
  <si>
    <t>14320 Marshall</t>
  </si>
  <si>
    <t>31546 FAIRFIELD Drive</t>
  </si>
  <si>
    <t>28915 Essex</t>
  </si>
  <si>
    <t>7276 STUDEBAKER Avenue</t>
  </si>
  <si>
    <t>21507 WALTHAM Road</t>
  </si>
  <si>
    <t>8620 Paige Avenue</t>
  </si>
  <si>
    <t>16269 NICOLAI Avenue</t>
  </si>
  <si>
    <t>22625 OAKLANE Street</t>
  </si>
  <si>
    <t>21351 NUMMER Street</t>
  </si>
  <si>
    <t>7583 CHALMERS Avenue</t>
  </si>
  <si>
    <t>7020 ORCHARD Avenue</t>
  </si>
  <si>
    <t>12412 GEORGIANA Avenue</t>
  </si>
  <si>
    <t>17656 TOEPFER Drive</t>
  </si>
  <si>
    <t>2135 JARVIS Avenue</t>
  </si>
  <si>
    <t>81 MEADLE</t>
  </si>
  <si>
    <t>4236 Joliet Avenue</t>
  </si>
  <si>
    <t>21369 WALTHAM Road</t>
  </si>
  <si>
    <t>3201 Capitol</t>
  </si>
  <si>
    <t>45527 JEFFERSON Avenue</t>
  </si>
  <si>
    <t>Chesterfield Twp</t>
  </si>
  <si>
    <t>11032 CONTINENTAL Avenue</t>
  </si>
  <si>
    <t>2207 WOODRUFF Avenue</t>
  </si>
  <si>
    <t>16790 MAY Avenue</t>
  </si>
  <si>
    <t>8431 MEADOW Avenue</t>
  </si>
  <si>
    <t>14224 Sherman</t>
  </si>
  <si>
    <t>23836 LEXINGTON Avenue</t>
  </si>
  <si>
    <t>22619 Furton</t>
  </si>
  <si>
    <t>71240 COON CREEK Road</t>
  </si>
  <si>
    <t>Armada Twp</t>
  </si>
  <si>
    <t>8212 CONTINENTAL Avenue</t>
  </si>
  <si>
    <t>13634 KNOX Avenue</t>
  </si>
  <si>
    <t>3690 MORRISSEY Avenue</t>
  </si>
  <si>
    <t>22484 BRITTANY Avenue</t>
  </si>
  <si>
    <t>8655 Dodge Avenue</t>
  </si>
  <si>
    <t>23511 Stewart Avenue</t>
  </si>
  <si>
    <t>27200 Grandmont</t>
  </si>
  <si>
    <t>20913 BEHRENDT Avenue</t>
  </si>
  <si>
    <t>24317 BOLAM Avenue</t>
  </si>
  <si>
    <t>24602 Rosalind</t>
  </si>
  <si>
    <t>57832 MAIN Street</t>
  </si>
  <si>
    <t>New Haven Vlg</t>
  </si>
  <si>
    <t>7074 Yacht Avenue</t>
  </si>
  <si>
    <t>11116 CHALMERS Avenue</t>
  </si>
  <si>
    <t>20790 DEXTER Boulevard</t>
  </si>
  <si>
    <t>6804 MAXWELL Avenue</t>
  </si>
  <si>
    <t>11320 Sherman</t>
  </si>
  <si>
    <t>12817 PROSPECT Avenue</t>
  </si>
  <si>
    <t>16783 Lincoln Avenue</t>
  </si>
  <si>
    <t>25111 DALE Street</t>
  </si>
  <si>
    <t>13012 SARSFIELD Avenue</t>
  </si>
  <si>
    <t>17928 ELIZABETH Street</t>
  </si>
  <si>
    <t>34177 CHOPE</t>
  </si>
  <si>
    <t>21718 MAXINE Street</t>
  </si>
  <si>
    <t>7255 MCKINLEY</t>
  </si>
  <si>
    <t>14920 Mona</t>
  </si>
  <si>
    <t>7204 PACKARD Avenue</t>
  </si>
  <si>
    <t>4201 Joliet Avenue</t>
  </si>
  <si>
    <t>18946 Martin Road</t>
  </si>
  <si>
    <t>22435 BRITTANY Avenue</t>
  </si>
  <si>
    <t>23147 LAMBRECHT Avenue</t>
  </si>
  <si>
    <t>24236 Melrose</t>
  </si>
  <si>
    <t>24909 DALE Avenue</t>
  </si>
  <si>
    <t>8220 Lozier</t>
  </si>
  <si>
    <t>24268 Lexington</t>
  </si>
  <si>
    <t>17375 ROSEVILLE Boulevard</t>
  </si>
  <si>
    <t>28373 ROSEMONT Street</t>
  </si>
  <si>
    <t>12214 LOUISIANA Avenue</t>
  </si>
  <si>
    <t>22815 Francis</t>
  </si>
  <si>
    <t>21421 CYMAN Avenue</t>
  </si>
  <si>
    <t>2159 Goulson Avenue</t>
  </si>
  <si>
    <t>21549 WILLOW WISP Street</t>
  </si>
  <si>
    <t>6262 GARDEN</t>
  </si>
  <si>
    <t>3030 ALVINA Avenue</t>
  </si>
  <si>
    <t>12482 GEORGIANA Avenue</t>
  </si>
  <si>
    <t>11289 PACKARD Avenue</t>
  </si>
  <si>
    <t>22050 SHAKESPEARE Avenue</t>
  </si>
  <si>
    <t>25241 ROSENBUSCH Boulevard</t>
  </si>
  <si>
    <t>21068 SYRACUSE Avenue</t>
  </si>
  <si>
    <t>22756 Rein</t>
  </si>
  <si>
    <t>58553 Chennault</t>
  </si>
  <si>
    <t>22433 MELROSE</t>
  </si>
  <si>
    <t>24596 EUREKA Avenue</t>
  </si>
  <si>
    <t>4016 KINGMONT Drive</t>
  </si>
  <si>
    <t>Shelby Twp</t>
  </si>
  <si>
    <t>23832 LAMBRECHT Avenue</t>
  </si>
  <si>
    <t>23601 Glenbrook</t>
  </si>
  <si>
    <t>17053 EGO Avenue</t>
  </si>
  <si>
    <t>22624 Maxine</t>
  </si>
  <si>
    <t>26718 GRANT</t>
  </si>
  <si>
    <t>22840 DONALD Avenue</t>
  </si>
  <si>
    <t>22042 Gascony</t>
  </si>
  <si>
    <t>29000 Rosebriar</t>
  </si>
  <si>
    <t>8735 CHALMERS Avenue</t>
  </si>
  <si>
    <t>26036 BELANGER Street</t>
  </si>
  <si>
    <t>185 N Walnut</t>
  </si>
  <si>
    <t>8484 Lozier</t>
  </si>
  <si>
    <t>22353 BEECHWOOD Avenue</t>
  </si>
  <si>
    <t>27819 Lasslett</t>
  </si>
  <si>
    <t>23863 DORMONT Avenue</t>
  </si>
  <si>
    <t>2119 ROME Avenue</t>
  </si>
  <si>
    <t>22455 REIN Avenue</t>
  </si>
  <si>
    <t>35300 Bordman</t>
  </si>
  <si>
    <t>Memphis</t>
  </si>
  <si>
    <t>16734 Toepfer</t>
  </si>
  <si>
    <t>178 N Walnut</t>
  </si>
  <si>
    <t>24606 Berry</t>
  </si>
  <si>
    <t>21434 AUDREY Avenue</t>
  </si>
  <si>
    <t>27243 COLLINGWOOD</t>
  </si>
  <si>
    <t>71 Grove Park Street</t>
  </si>
  <si>
    <t>23942 Woodrow Wilson</t>
  </si>
  <si>
    <t>11320 Dodge</t>
  </si>
  <si>
    <t>71 GROVE PARK Street</t>
  </si>
  <si>
    <t>15628 LINCOLN Avenue</t>
  </si>
  <si>
    <t>17043 EGO Avenue</t>
  </si>
  <si>
    <t>11567 Dodge Avenue</t>
  </si>
  <si>
    <t>54 Union</t>
  </si>
  <si>
    <t>26391 Kathy</t>
  </si>
  <si>
    <t>22580 Oaklane</t>
  </si>
  <si>
    <t>27611 21 Mile Road</t>
  </si>
  <si>
    <t>13846 MARSHALL Avenue</t>
  </si>
  <si>
    <t>23832 BRITTANY Avenue</t>
  </si>
  <si>
    <t>24528 LAUREN Avenue</t>
  </si>
  <si>
    <t>28205 Asmus</t>
  </si>
  <si>
    <t>13845 MARSHALL Avenue</t>
  </si>
  <si>
    <t>26510 Nagel</t>
  </si>
  <si>
    <t>26403 CULVER Street</t>
  </si>
  <si>
    <t>14310 HOBART Avenue</t>
  </si>
  <si>
    <t>21137 Beechwood Avenue</t>
  </si>
  <si>
    <t>15022 CHARLES R Avenue</t>
  </si>
  <si>
    <t>4229 DOLORES Avenue</t>
  </si>
  <si>
    <t>21137 BEECHWOOD Avenue</t>
  </si>
  <si>
    <t>21515 BLACKMAR Avenue</t>
  </si>
  <si>
    <t>19782 WOODWARD Street</t>
  </si>
  <si>
    <t>22064 Schroeder</t>
  </si>
  <si>
    <t>18650 EASTLAND Street</t>
  </si>
  <si>
    <t>17055 LOWELL Street</t>
  </si>
  <si>
    <t>22533 RAVEN Avenue</t>
  </si>
  <si>
    <t>26629 Dale</t>
  </si>
  <si>
    <t>373 Cass</t>
  </si>
  <si>
    <t>19054 E 13 MILE Road</t>
  </si>
  <si>
    <t>15714 Ash</t>
  </si>
  <si>
    <t>15760 COUZENS Avenue</t>
  </si>
  <si>
    <t>8220 LOZIER Avenue</t>
  </si>
  <si>
    <t>16515 15 Mile</t>
  </si>
  <si>
    <t>24725 Saxony Avenue</t>
  </si>
  <si>
    <t>3991 STOLZENFELD Avenue</t>
  </si>
  <si>
    <t>7532 THEUT Avenue</t>
  </si>
  <si>
    <t>19331 Meier</t>
  </si>
  <si>
    <t>23641 Stewart</t>
  </si>
  <si>
    <t>22118 Cushing Avenue</t>
  </si>
  <si>
    <t>8647 Stephens</t>
  </si>
  <si>
    <t>8108 Republic Avenue</t>
  </si>
  <si>
    <t>23467 HARVARD SHORE Drive</t>
  </si>
  <si>
    <t>21115 ALBANY Avenue</t>
  </si>
  <si>
    <t>21184 Nummer Street</t>
  </si>
  <si>
    <t>20171 WILLIAMSON Street</t>
  </si>
  <si>
    <t>28805 Melvin</t>
  </si>
  <si>
    <t>35858 LITTLE MACK Avenue</t>
  </si>
  <si>
    <t>19205 Martin Road</t>
  </si>
  <si>
    <t>11308 REPUBLIC Avenue</t>
  </si>
  <si>
    <t>15296 Frazho</t>
  </si>
  <si>
    <t>68970 HOWARD Street</t>
  </si>
  <si>
    <t>Richmond</t>
  </si>
  <si>
    <t>35325 31 MILE Road</t>
  </si>
  <si>
    <t>26243 PATTOW Street</t>
  </si>
  <si>
    <t>20900 FINLEY Street</t>
  </si>
  <si>
    <t>30342 Hayes</t>
  </si>
  <si>
    <t>20905 SUNSET Avenue</t>
  </si>
  <si>
    <t>24529 Grove</t>
  </si>
  <si>
    <t>21910 Elizabeth</t>
  </si>
  <si>
    <t>47457 Hennings</t>
  </si>
  <si>
    <t>23629 Lorraine Avenue</t>
  </si>
  <si>
    <t>19981 MACEL Street</t>
  </si>
  <si>
    <t>41145 Conger Bay</t>
  </si>
  <si>
    <t>Harrison Twp</t>
  </si>
  <si>
    <t>22111 David</t>
  </si>
  <si>
    <t>28087 Oneil</t>
  </si>
  <si>
    <t>8840 E 14 Mile</t>
  </si>
  <si>
    <t>14852 ELEANOR Avenue</t>
  </si>
  <si>
    <t>8111 COOLIDGE</t>
  </si>
  <si>
    <t>17040 Lowell</t>
  </si>
  <si>
    <t>23112 Melrose</t>
  </si>
  <si>
    <t>35646 Silvano</t>
  </si>
  <si>
    <t>25951 Clinton</t>
  </si>
  <si>
    <t>26584 KATHY Street</t>
  </si>
  <si>
    <t>23182 STEWART Avenue</t>
  </si>
  <si>
    <t>22143 Pleasant</t>
  </si>
  <si>
    <t>21713 Woodbridge</t>
  </si>
  <si>
    <t>26340 HAYES Road</t>
  </si>
  <si>
    <t>21030 Panama Street</t>
  </si>
  <si>
    <t>250 Euclid Street</t>
  </si>
  <si>
    <t>21099 Albany Avenue</t>
  </si>
  <si>
    <t>26327 BELANGER Street</t>
  </si>
  <si>
    <t>20763 SYRACUSE Avenue</t>
  </si>
  <si>
    <t>22362 LE FEVER Avenue</t>
  </si>
  <si>
    <t>22628 LAKE Drive</t>
  </si>
  <si>
    <t>3825 Michael Avenue</t>
  </si>
  <si>
    <t>24371 Antoinette</t>
  </si>
  <si>
    <t>22433 Wilmot</t>
  </si>
  <si>
    <t>24035 Melody</t>
  </si>
  <si>
    <t>25276 HAYES Road</t>
  </si>
  <si>
    <t>2016 OTIS Avenue</t>
  </si>
  <si>
    <t>24639 LEXINGTON Avenue</t>
  </si>
  <si>
    <t>25030 FORD Street</t>
  </si>
  <si>
    <t>25824 Koontz Street</t>
  </si>
  <si>
    <t>30709 NORMAL Street</t>
  </si>
  <si>
    <t>22432 LAMBRECHT Avenue</t>
  </si>
  <si>
    <t>30932 Normal Street</t>
  </si>
  <si>
    <t>21268 SHARKEY Street</t>
  </si>
  <si>
    <t>27863 Garfield</t>
  </si>
  <si>
    <t>20950 NUMMER Street</t>
  </si>
  <si>
    <t>30806 RIDGEFIELD Avenue</t>
  </si>
  <si>
    <t>17244 Ivanhoe</t>
  </si>
  <si>
    <t>22344 FIRWOOD Avenue</t>
  </si>
  <si>
    <t>25620 TECLA Avenue</t>
  </si>
  <si>
    <t>16003 Stephens Drive</t>
  </si>
  <si>
    <t>22139 NORMANDY Avenue</t>
  </si>
  <si>
    <t>25104 Wagner</t>
  </si>
  <si>
    <t>7432 Anna Avenue</t>
  </si>
  <si>
    <t>21848 CURIE Avenue</t>
  </si>
  <si>
    <t>21848 Curie</t>
  </si>
  <si>
    <t>18475 MARQUETTE Street</t>
  </si>
  <si>
    <t>24684 LAMBRECHT Avenue</t>
  </si>
  <si>
    <t>29510 MICHIGAN Street</t>
  </si>
  <si>
    <t>24724 SAXONY Avenue</t>
  </si>
  <si>
    <t>22828 Pleasant</t>
  </si>
  <si>
    <t>14860 Frazho</t>
  </si>
  <si>
    <t>27370 30 Mile</t>
  </si>
  <si>
    <t>16154 FOREST Avenue</t>
  </si>
  <si>
    <t>22644 Logue Avenue</t>
  </si>
  <si>
    <t>20505 SHADY LANE Avenue</t>
  </si>
  <si>
    <t>80 Eastman</t>
  </si>
  <si>
    <t>14815 ALVIN Avenue</t>
  </si>
  <si>
    <t>15593 EVERGREEN Avenue</t>
  </si>
  <si>
    <t>29851 Ruthdale</t>
  </si>
  <si>
    <t>35510 MIAMI Road</t>
  </si>
  <si>
    <t>25502 BUICK Street</t>
  </si>
  <si>
    <t>25635 CARL Street</t>
  </si>
  <si>
    <t>24459 ANTOINETTE Avenue</t>
  </si>
  <si>
    <t>18042 CURTAIN Avenue</t>
  </si>
  <si>
    <t>30105 TENNESSEE Street</t>
  </si>
  <si>
    <t>23161 MELROSE Avenue</t>
  </si>
  <si>
    <t>7318 GRONOW</t>
  </si>
  <si>
    <t>22134 HAYES Avenue</t>
  </si>
  <si>
    <t>39200 Muffatt</t>
  </si>
  <si>
    <t>28303 PINEHURST Street</t>
  </si>
  <si>
    <t>21687 AUDREY Avenue</t>
  </si>
  <si>
    <t>25312 Winton</t>
  </si>
  <si>
    <t>28049 Jahns Drive</t>
  </si>
  <si>
    <t>37451 CARPATHIA Boulevard</t>
  </si>
  <si>
    <t>30504 GREATER MACK Avenue</t>
  </si>
  <si>
    <t>29640 DEMBS Drive</t>
  </si>
  <si>
    <t>8081 BERNICE</t>
  </si>
  <si>
    <t>1851 CLARA Street</t>
  </si>
  <si>
    <t>28750 Hollywood Street</t>
  </si>
  <si>
    <t>22500 RAVEN Avenue</t>
  </si>
  <si>
    <t>13801 FRAZHO Road</t>
  </si>
  <si>
    <t>20123 Lakeworth</t>
  </si>
  <si>
    <t>91 LINCOLN</t>
  </si>
  <si>
    <t>15711 CURTIS Street</t>
  </si>
  <si>
    <t>24146 Blackmar Avenue</t>
  </si>
  <si>
    <t>25800 FORTUNA Street</t>
  </si>
  <si>
    <t>16820 May</t>
  </si>
  <si>
    <t>24592 TUSCANY Avenue</t>
  </si>
  <si>
    <t>23029 ALMOND Avenue</t>
  </si>
  <si>
    <t>20481 Vermander</t>
  </si>
  <si>
    <t>26311 PATTOW Street</t>
  </si>
  <si>
    <t>8435 FARNUM Avenue</t>
  </si>
  <si>
    <t>26340 Campau</t>
  </si>
  <si>
    <t>22163 NEVADA Avenue</t>
  </si>
  <si>
    <t>29930 Greater Mack</t>
  </si>
  <si>
    <t>17950 Lincoln Drive</t>
  </si>
  <si>
    <t>27105 Townsend</t>
  </si>
  <si>
    <t>21613 Cedar Street</t>
  </si>
  <si>
    <t>22522 THOMSON Street</t>
  </si>
  <si>
    <t>28728 BOHN Street</t>
  </si>
  <si>
    <t>23300 ALLOR Street</t>
  </si>
  <si>
    <t>28712 Hillview</t>
  </si>
  <si>
    <t>22418 BRITTANY Avenue</t>
  </si>
  <si>
    <t>26231 Marlene</t>
  </si>
  <si>
    <t>19546 Georgia</t>
  </si>
  <si>
    <t>31112 ANGELINE W</t>
  </si>
  <si>
    <t>42153 Gainsley</t>
  </si>
  <si>
    <t>28489 Floral</t>
  </si>
  <si>
    <t>8385 HARDING</t>
  </si>
  <si>
    <t>14825 CHESTERFIELD Avenue</t>
  </si>
  <si>
    <t>15293 COUZENS Avenue</t>
  </si>
  <si>
    <t>22541 Gascony Avenue</t>
  </si>
  <si>
    <t>15744 E CRESTMONT Street</t>
  </si>
  <si>
    <t>17755 Summer Lane S</t>
  </si>
  <si>
    <t>Fraser</t>
  </si>
  <si>
    <t>22873 BEECHWOOD Avenue</t>
  </si>
  <si>
    <t>21405 Centennial Street</t>
  </si>
  <si>
    <t>22800  LAMBRECHT Avenue</t>
  </si>
  <si>
    <t>8344 CLINTON RIVER Road</t>
  </si>
  <si>
    <t>49744 Valley</t>
  </si>
  <si>
    <t>16415 JULIANA Avenue</t>
  </si>
  <si>
    <t>18259 Glendale</t>
  </si>
  <si>
    <t>19780 WILLIAMSON Street</t>
  </si>
  <si>
    <t>15708 VERONICA Avenue</t>
  </si>
  <si>
    <t>5708 ELMGROVE Avenue</t>
  </si>
  <si>
    <t>17060 Martin</t>
  </si>
  <si>
    <t>36036 Harper</t>
  </si>
  <si>
    <t>25739 WAGNER Avenue</t>
  </si>
  <si>
    <t>30327 Blossom St</t>
  </si>
  <si>
    <t>24 Miller</t>
  </si>
  <si>
    <t>20854 Lange</t>
  </si>
  <si>
    <t>21224 Masonic</t>
  </si>
  <si>
    <t>7867 Ruby</t>
  </si>
  <si>
    <t>Utica</t>
  </si>
  <si>
    <t>11650 HAROLD Street</t>
  </si>
  <si>
    <t>18471 MASONIC</t>
  </si>
  <si>
    <t>16133 Yew</t>
  </si>
  <si>
    <t>1976 GARRICK Avenue</t>
  </si>
  <si>
    <t>21431 CRUSADE Avenue</t>
  </si>
  <si>
    <t>17319 STRICKER Avenue</t>
  </si>
  <si>
    <t>14891 CHESTERFIELD Avenue</t>
  </si>
  <si>
    <t>26200 Campau</t>
  </si>
  <si>
    <t>28321 Ursuline</t>
  </si>
  <si>
    <t>13670 Hovey</t>
  </si>
  <si>
    <t>30115 CALAHAN</t>
  </si>
  <si>
    <t>26543 Arlington</t>
  </si>
  <si>
    <t>22600 Socia</t>
  </si>
  <si>
    <t>11275 Essex Avenue</t>
  </si>
  <si>
    <t>13245 Champaign</t>
  </si>
  <si>
    <t>23145 Shiell</t>
  </si>
  <si>
    <t>13137 Champaign</t>
  </si>
  <si>
    <t>15615 VERONICA Avenue</t>
  </si>
  <si>
    <t>11401 E 11 Mile</t>
  </si>
  <si>
    <t>6840 West</t>
  </si>
  <si>
    <t>Washington Twp</t>
  </si>
  <si>
    <t>32457 SAINT VINCENT Avenue</t>
  </si>
  <si>
    <t>27188 SEYBURN Avenue</t>
  </si>
  <si>
    <t>13656 JOYCE Drive</t>
  </si>
  <si>
    <t>28316 Shock Street</t>
  </si>
  <si>
    <t>24660 SAXONY Avenue</t>
  </si>
  <si>
    <t>29146 Dembs</t>
  </si>
  <si>
    <t>20134 WILLIAMSON Street</t>
  </si>
  <si>
    <t>5612 STREEFKERK Drive</t>
  </si>
  <si>
    <t>28300 BLUM Street</t>
  </si>
  <si>
    <t>20535  Colman  Street</t>
  </si>
  <si>
    <t>15838 Flanagan</t>
  </si>
  <si>
    <t>24215 Prairie</t>
  </si>
  <si>
    <t>16081 Beverly Circle</t>
  </si>
  <si>
    <t>23055 26 Mile</t>
  </si>
  <si>
    <t>Ray Twp</t>
  </si>
  <si>
    <t>27650 WISTERIA Street</t>
  </si>
  <si>
    <t>24049 ALPINE Street</t>
  </si>
  <si>
    <t>19600 AVALON Street</t>
  </si>
  <si>
    <t>24613 Rosalind</t>
  </si>
  <si>
    <t>8673 Superior</t>
  </si>
  <si>
    <t>24821 Cottage</t>
  </si>
  <si>
    <t>18265 Marquette</t>
  </si>
  <si>
    <t>24924 Rosalind Avenue</t>
  </si>
  <si>
    <t>58921 Rosell</t>
  </si>
  <si>
    <t>26704 Blackmar Avenue</t>
  </si>
  <si>
    <t>25897 FERN Street</t>
  </si>
  <si>
    <t>31721 Brookwood</t>
  </si>
  <si>
    <t>23012 Maxine</t>
  </si>
  <si>
    <t>28703 GROVELAND</t>
  </si>
  <si>
    <t>2923 ARDEN Drive</t>
  </si>
  <si>
    <t>20805 Valera</t>
  </si>
  <si>
    <t>146 Benjamin</t>
  </si>
  <si>
    <t>Romeo Vlg</t>
  </si>
  <si>
    <t>22710 Colony</t>
  </si>
  <si>
    <t>25617 Wagner</t>
  </si>
  <si>
    <t>23101 Petersburg</t>
  </si>
  <si>
    <t>29064 Commonwealth</t>
  </si>
  <si>
    <t>15337 CHARLES R Avenue</t>
  </si>
  <si>
    <t>25158 PATTOW Street</t>
  </si>
  <si>
    <t>28050 Hillview</t>
  </si>
  <si>
    <t>24031 VIRGINIA Drive</t>
  </si>
  <si>
    <t>25567 FERN Street</t>
  </si>
  <si>
    <t>34340 Viceroy Drive</t>
  </si>
  <si>
    <t>39201 Muffatt</t>
  </si>
  <si>
    <t>22209 Frazho</t>
  </si>
  <si>
    <t>45764 Fairchild</t>
  </si>
  <si>
    <t>21804 Colony</t>
  </si>
  <si>
    <t>7374 WEST Road</t>
  </si>
  <si>
    <t>21082 Melborn st</t>
  </si>
  <si>
    <t>15571 CRESCENTWOOD Avenue</t>
  </si>
  <si>
    <t>20790 SHOREVIEW Street</t>
  </si>
  <si>
    <t>7269 ANNA Avenue</t>
  </si>
  <si>
    <t>27821 Joan Street</t>
  </si>
  <si>
    <t>3 SMITH Street</t>
  </si>
  <si>
    <t>26302 Newport</t>
  </si>
  <si>
    <t>21769 Wilmot</t>
  </si>
  <si>
    <t>67567 Gleason</t>
  </si>
  <si>
    <t>8471 HARDING</t>
  </si>
  <si>
    <t>17924 Masonic</t>
  </si>
  <si>
    <t>25501 COLE Street</t>
  </si>
  <si>
    <t>28449 Maple Street</t>
  </si>
  <si>
    <t>28005 Greater Mack</t>
  </si>
  <si>
    <t>24665 Ridgecroft</t>
  </si>
  <si>
    <t>64400 TIPPERARY Drive</t>
  </si>
  <si>
    <t>21149 Sunnydale</t>
  </si>
  <si>
    <t>24820 ROXANA Avenue</t>
  </si>
  <si>
    <t>28601 JOAN Street</t>
  </si>
  <si>
    <t>26530 BARNES Street</t>
  </si>
  <si>
    <t>26914 BONNIE Avenue</t>
  </si>
  <si>
    <t>27527 Dover</t>
  </si>
  <si>
    <t>24794 GREENBRIER Avenue</t>
  </si>
  <si>
    <t>23078 Courtland</t>
  </si>
  <si>
    <t>33731 NEWPORT Drive</t>
  </si>
  <si>
    <t>27268 Bunert Road</t>
  </si>
  <si>
    <t>27550 GARFIELD Street</t>
  </si>
  <si>
    <t>28712 BESTE Street</t>
  </si>
  <si>
    <t>18270 Spring Court South</t>
  </si>
  <si>
    <t>26784 S RIVER Road</t>
  </si>
  <si>
    <t>15356 CAMBRIDGE Drive</t>
  </si>
  <si>
    <t>11732 HOVEY Street</t>
  </si>
  <si>
    <t>31077 Shawn</t>
  </si>
  <si>
    <t>11621 DANFORTH Drive</t>
  </si>
  <si>
    <t>24504 BECK Avenue</t>
  </si>
  <si>
    <t>28714 FOUNTAIN Street</t>
  </si>
  <si>
    <t>28631 Jahns</t>
  </si>
  <si>
    <t>23446 CURIE Street</t>
  </si>
  <si>
    <t>23446 Curie</t>
  </si>
  <si>
    <t>21600 OCONNOR Street</t>
  </si>
  <si>
    <t>28313 HUGHES Street</t>
  </si>
  <si>
    <t>7577 WOOD</t>
  </si>
  <si>
    <t>45488 PLATT Street</t>
  </si>
  <si>
    <t>33770 OTTO Avenue</t>
  </si>
  <si>
    <t>22 Ellwood</t>
  </si>
  <si>
    <t>35720 Utica</t>
  </si>
  <si>
    <t>4771 Bernice</t>
  </si>
  <si>
    <t>28759 WAVERLY Street</t>
  </si>
  <si>
    <t>30541 Bluehill</t>
  </si>
  <si>
    <t>22733 Ridgeway</t>
  </si>
  <si>
    <t>24515 RIDGECROFT Avenue</t>
  </si>
  <si>
    <t>650 CHIPPEWA Street</t>
  </si>
  <si>
    <t>30649 BLUEHILL Street</t>
  </si>
  <si>
    <t>29155 MCDONALD Street</t>
  </si>
  <si>
    <t>8123 McKinley</t>
  </si>
  <si>
    <t>26664 Richard</t>
  </si>
  <si>
    <t>20511 ALGER Street</t>
  </si>
  <si>
    <t>19700 ROSEDALE Street</t>
  </si>
  <si>
    <t>30417 Greater Mack</t>
  </si>
  <si>
    <t>20501 Walton</t>
  </si>
  <si>
    <t>380 JEFFERY CT</t>
  </si>
  <si>
    <t>16804 E 12 MILE Road</t>
  </si>
  <si>
    <t>18243 E 13 MILE Road</t>
  </si>
  <si>
    <t>47065 SCHIMMEL Avenue</t>
  </si>
  <si>
    <t>3411 GARRICK Avenue</t>
  </si>
  <si>
    <t>32239 SUSILANE Street</t>
  </si>
  <si>
    <t>20914 Catalano</t>
  </si>
  <si>
    <t>37955 EMERY Street</t>
  </si>
  <si>
    <t>16020 Frazho Road</t>
  </si>
  <si>
    <t>21208 E 13 Mile Road</t>
  </si>
  <si>
    <t>28050 Los Olas Drive</t>
  </si>
  <si>
    <t>32162 CLAWSON Street</t>
  </si>
  <si>
    <t>74304 Burk</t>
  </si>
  <si>
    <t>Armada Vlg</t>
  </si>
  <si>
    <t>28311 Roy Street</t>
  </si>
  <si>
    <t>45251 Platt</t>
  </si>
  <si>
    <t>35403 SEVILLE Street</t>
  </si>
  <si>
    <t>27553 ONEIL Street</t>
  </si>
  <si>
    <t>7290 STATE PARK</t>
  </si>
  <si>
    <t>21629 Lange</t>
  </si>
  <si>
    <t>22915 Raymond</t>
  </si>
  <si>
    <t>22920 PLEASANT Street</t>
  </si>
  <si>
    <t>20725 Lantz</t>
  </si>
  <si>
    <t>22491 SUNNYDALE Street</t>
  </si>
  <si>
    <t>26213 San Rosa</t>
  </si>
  <si>
    <t>12327 E 11 MILE Road</t>
  </si>
  <si>
    <t>8051 MCKINLEY</t>
  </si>
  <si>
    <t>22826 Lincoln</t>
  </si>
  <si>
    <t>23131 HARMON Street</t>
  </si>
  <si>
    <t>48174 Pheasant</t>
  </si>
  <si>
    <t>22487 Boulder</t>
  </si>
  <si>
    <t>32039 Hayes Road</t>
  </si>
  <si>
    <t>28266 SUTHERLAND Drive</t>
  </si>
  <si>
    <t>17126 Sprenger</t>
  </si>
  <si>
    <t>28345 Suburban Drive</t>
  </si>
  <si>
    <t>27222 PERRY Street</t>
  </si>
  <si>
    <t>37488 Edgewood</t>
  </si>
  <si>
    <t>27710 PONCHARTRAIN Street</t>
  </si>
  <si>
    <t>27275 Dowland</t>
  </si>
  <si>
    <t>8106 OGDEN Drive</t>
  </si>
  <si>
    <t>22403 SAINT GERTRUDE Street</t>
  </si>
  <si>
    <t>29801 COMMONWEALTH Street</t>
  </si>
  <si>
    <t>34623 Jerome</t>
  </si>
  <si>
    <t>24268 Brittany Ave</t>
  </si>
  <si>
    <t>27315 GROVELAND Street</t>
  </si>
  <si>
    <t>21306 BRIARCLIFF Street</t>
  </si>
  <si>
    <t>8490 Warren</t>
  </si>
  <si>
    <t>22223 MAPLE Street</t>
  </si>
  <si>
    <t>29364 NEWPORT Drive</t>
  </si>
  <si>
    <t>27440 Welsh</t>
  </si>
  <si>
    <t>12835 PLUMBROOK Road</t>
  </si>
  <si>
    <t>27353 Pleasant Drive</t>
  </si>
  <si>
    <t>28894 Barkman</t>
  </si>
  <si>
    <t>48443 Ranch</t>
  </si>
  <si>
    <t>24944 ORCHID Street</t>
  </si>
  <si>
    <t>32711 KELLY Road</t>
  </si>
  <si>
    <t>112 Lincoln</t>
  </si>
  <si>
    <t>21715 Rosedale</t>
  </si>
  <si>
    <t>37642 S GROESBECK</t>
  </si>
  <si>
    <t>25385 Ronald</t>
  </si>
  <si>
    <t>24724 ORCHID Street</t>
  </si>
  <si>
    <t>26448 ROAN Avenue</t>
  </si>
  <si>
    <t>20900 SUFFOLK Street</t>
  </si>
  <si>
    <t>36812 Weideman</t>
  </si>
  <si>
    <t>31606 Eveningside</t>
  </si>
  <si>
    <t>36460 N Price Drive</t>
  </si>
  <si>
    <t>12146 MONSBROOK Drive</t>
  </si>
  <si>
    <t>326 N GRATIOT Avenue</t>
  </si>
  <si>
    <t>16084 FLANAGAN Street</t>
  </si>
  <si>
    <t>27934 Grant</t>
  </si>
  <si>
    <t>24721 Harmon</t>
  </si>
  <si>
    <t>28599 WAUKETA Avenue</t>
  </si>
  <si>
    <t>33869 Fraser</t>
  </si>
  <si>
    <t>74065 Crull Street</t>
  </si>
  <si>
    <t>21819 CALIFORNIA Street</t>
  </si>
  <si>
    <t>18501 EMPIRE Avenue</t>
  </si>
  <si>
    <t>17511 Doris</t>
  </si>
  <si>
    <t>23435 Glenbrook</t>
  </si>
  <si>
    <t>22533 Kipling</t>
  </si>
  <si>
    <t>4950 Auburn</t>
  </si>
  <si>
    <t>30100 HOOVER Road</t>
  </si>
  <si>
    <t>21464 DREXEL Street</t>
  </si>
  <si>
    <t>22001 REVERE Street</t>
  </si>
  <si>
    <t>4737 MARIAN Avenue</t>
  </si>
  <si>
    <t>2053 CAMEL Drive</t>
  </si>
  <si>
    <t>22018 Trombly</t>
  </si>
  <si>
    <t>39598 WALDORF Drive</t>
  </si>
  <si>
    <t>42655 MATTER</t>
  </si>
  <si>
    <t>18075 21 Mile</t>
  </si>
  <si>
    <t>18820 Rosegarden Street</t>
  </si>
  <si>
    <t>17887 Peters</t>
  </si>
  <si>
    <t>38620 Willowmere Street</t>
  </si>
  <si>
    <t>26951 Kelsey Drive</t>
  </si>
  <si>
    <t>17372 KERSHAW Street</t>
  </si>
  <si>
    <t>22227 REMICK Drive</t>
  </si>
  <si>
    <t>23043 Remick</t>
  </si>
  <si>
    <t>20746 Marvindale</t>
  </si>
  <si>
    <t>21413 Lakebreeze</t>
  </si>
  <si>
    <t>32876 Beacon</t>
  </si>
  <si>
    <t>17375 Roseville</t>
  </si>
  <si>
    <t>71628 COON CREEK Road</t>
  </si>
  <si>
    <t>32440 ROBESON Street</t>
  </si>
  <si>
    <t>28916 KAUFMAN Street</t>
  </si>
  <si>
    <t>15925 Dugan</t>
  </si>
  <si>
    <t>12070 Danfourth</t>
  </si>
  <si>
    <t>24708 Culver Street</t>
  </si>
  <si>
    <t>2281 Lindell Road</t>
  </si>
  <si>
    <t>39574 DETROIT Street</t>
  </si>
  <si>
    <t>28612 Patricia Ave</t>
  </si>
  <si>
    <t>City of Macomb</t>
  </si>
  <si>
    <t>23724 Harrellson Street</t>
  </si>
  <si>
    <t>25080 Audrey</t>
  </si>
  <si>
    <t>11810 HIGHLAND Drive</t>
  </si>
  <si>
    <t>41542 OLIVET</t>
  </si>
  <si>
    <t>27815 Roy St</t>
  </si>
  <si>
    <t>31336 EDWOOD Drive</t>
  </si>
  <si>
    <t>12942 Baird Avenue</t>
  </si>
  <si>
    <t>3522 BERNICE Avenue</t>
  </si>
  <si>
    <t>416 HUNTINGTON Street</t>
  </si>
  <si>
    <t>29620 Maplegrove</t>
  </si>
  <si>
    <t>31719 Gloede</t>
  </si>
  <si>
    <t>4550 JUSTINE Street</t>
  </si>
  <si>
    <t>24700 WOOD Street</t>
  </si>
  <si>
    <t>12928 TAKOMA Drive</t>
  </si>
  <si>
    <t>32629 Conrad</t>
  </si>
  <si>
    <t>49601 E Valley</t>
  </si>
  <si>
    <t>28451 Palm Beach Drive</t>
  </si>
  <si>
    <t>22762 Katzman Street</t>
  </si>
  <si>
    <t>31723 Stricker</t>
  </si>
  <si>
    <t>20801 VALERA Street</t>
  </si>
  <si>
    <t>35169 Simon</t>
  </si>
  <si>
    <t>26349 WOODLAND Drive</t>
  </si>
  <si>
    <t>27435 NORMA Drive</t>
  </si>
  <si>
    <t>27340 MARILYN Drive</t>
  </si>
  <si>
    <t>21140 DANBURY Street</t>
  </si>
  <si>
    <t>16751 CURTIS Street</t>
  </si>
  <si>
    <t>24485 Greenbrier</t>
  </si>
  <si>
    <t>21929 Trombly</t>
  </si>
  <si>
    <t>21605 Trombly</t>
  </si>
  <si>
    <t>31373 Roan</t>
  </si>
  <si>
    <t>22640 CAROLINA Street</t>
  </si>
  <si>
    <t>32201 EXETER Drive</t>
  </si>
  <si>
    <t>8426 VIRGINIA Park</t>
  </si>
  <si>
    <t>21586 Wendell</t>
  </si>
  <si>
    <t>31005 REGAL Drive</t>
  </si>
  <si>
    <t>21524 Centennial</t>
  </si>
  <si>
    <t>36258 LEDGESTONE Street</t>
  </si>
  <si>
    <t>25730 URSULINE Street</t>
  </si>
  <si>
    <t>24616 CULVER Street</t>
  </si>
  <si>
    <t>22501 ALGER Street</t>
  </si>
  <si>
    <t>23400 Grove</t>
  </si>
  <si>
    <t>34072 LITTLE MACK Avenue</t>
  </si>
  <si>
    <t>22419 Fresard</t>
  </si>
  <si>
    <t>27124 Ursuline</t>
  </si>
  <si>
    <t>28312 GROBBEL Avenue</t>
  </si>
  <si>
    <t>27118 PLEASANT Drive</t>
  </si>
  <si>
    <t>47324 ROLAND Street</t>
  </si>
  <si>
    <t>8106 SAN MARCO Boulevard</t>
  </si>
  <si>
    <t>24060 Dan</t>
  </si>
  <si>
    <t>23306 Glenbrook Street</t>
  </si>
  <si>
    <t>28471 AUDREY Avenue</t>
  </si>
  <si>
    <t>18048 Elizabeth Street</t>
  </si>
  <si>
    <t>47361  Barbara Road</t>
  </si>
  <si>
    <t>19717 California</t>
  </si>
  <si>
    <t>5377 CASMERE Avenue</t>
  </si>
  <si>
    <t>42444 Greenbrier Lane</t>
  </si>
  <si>
    <t>26840 Merideth</t>
  </si>
  <si>
    <t>36023 WEIDEMAN Street</t>
  </si>
  <si>
    <t>25515 Taylor</t>
  </si>
  <si>
    <t>45473 Fielding Street</t>
  </si>
  <si>
    <t>11023 Lillian</t>
  </si>
  <si>
    <t>55217 Hayes</t>
  </si>
  <si>
    <t>36440 Weideman Street</t>
  </si>
  <si>
    <t>27728 AUDREY Avenue</t>
  </si>
  <si>
    <t>22819 Recreation</t>
  </si>
  <si>
    <t>51985 Johns</t>
  </si>
  <si>
    <t>29229 VAN LAAN Drive</t>
  </si>
  <si>
    <t>32827 Rugby</t>
  </si>
  <si>
    <t>23226 JOY Street</t>
  </si>
  <si>
    <t>11023 Sunburst</t>
  </si>
  <si>
    <t>21740 Edmunton</t>
  </si>
  <si>
    <t>25848 GUNSTON Avenue</t>
  </si>
  <si>
    <t>28230 ARMANDA Drive</t>
  </si>
  <si>
    <t>25396 Industrial</t>
  </si>
  <si>
    <t>32500 Birkshire</t>
  </si>
  <si>
    <t>27056 Thomas Ave</t>
  </si>
  <si>
    <t>23431 Thornton</t>
  </si>
  <si>
    <t>32538 LARKMOOR Street</t>
  </si>
  <si>
    <t>39545 Detroit</t>
  </si>
  <si>
    <t>24682 ROSALIND Avenue</t>
  </si>
  <si>
    <t>31804 SAINT MARGARET Street</t>
  </si>
  <si>
    <t>27311 CRESTWOOD Drive</t>
  </si>
  <si>
    <t>13703 Castle</t>
  </si>
  <si>
    <t>50112 North</t>
  </si>
  <si>
    <t>31562 SLUMBER Lane</t>
  </si>
  <si>
    <t>11171 IRVINGTON Drive</t>
  </si>
  <si>
    <t>23191 Torrey</t>
  </si>
  <si>
    <t>28341 Palm Beach</t>
  </si>
  <si>
    <t>23107 Beverly</t>
  </si>
  <si>
    <t>19918 Chalon</t>
  </si>
  <si>
    <t>22944 GAUKLER Street</t>
  </si>
  <si>
    <t>39517 BALBOA Drive</t>
  </si>
  <si>
    <t>4759 Hayman</t>
  </si>
  <si>
    <t>28376 PALM BEACH Drive</t>
  </si>
  <si>
    <t>23398 Linne</t>
  </si>
  <si>
    <t>58954 Main</t>
  </si>
  <si>
    <t>20212 FRAZHO Street</t>
  </si>
  <si>
    <t>291 Jones</t>
  </si>
  <si>
    <t>28131 ELMDALE Street</t>
  </si>
  <si>
    <t>31329 Pinto</t>
  </si>
  <si>
    <t>4712  Lutz  Drive</t>
  </si>
  <si>
    <t>2147  Parliament  Drive</t>
  </si>
  <si>
    <t>22246 Virginia</t>
  </si>
  <si>
    <t>29268 ROAN Drive</t>
  </si>
  <si>
    <t>50710 PEGGY Lane</t>
  </si>
  <si>
    <t>19169 Hazelwood</t>
  </si>
  <si>
    <t>8826 RHODE Drive</t>
  </si>
  <si>
    <t>8515 FRANCINE Street</t>
  </si>
  <si>
    <t>26218 GROBBEL Avenue</t>
  </si>
  <si>
    <t>12463 Clinton River Road</t>
  </si>
  <si>
    <t>4750 E 14 MILE Road</t>
  </si>
  <si>
    <t>28230 NEWPORT Drive</t>
  </si>
  <si>
    <t>16810 Tremlett</t>
  </si>
  <si>
    <t>43149 FORTNER Drive</t>
  </si>
  <si>
    <t>36108 WEBER Drive</t>
  </si>
  <si>
    <t>22245 RAYMOND Street</t>
  </si>
  <si>
    <t>28339 HOLLYWOOD Street</t>
  </si>
  <si>
    <t>19262 SHADOWOODS</t>
  </si>
  <si>
    <t>31272 SHARE Street</t>
  </si>
  <si>
    <t>27241 Crestwood</t>
  </si>
  <si>
    <t>51053 Nardone Avenue</t>
  </si>
  <si>
    <t>33810 Nokomis</t>
  </si>
  <si>
    <t>50710 Cedargrove</t>
  </si>
  <si>
    <t>31146 REGAL Drive</t>
  </si>
  <si>
    <t>29289 MERRICK Avenue</t>
  </si>
  <si>
    <t>20100 Sunnyside</t>
  </si>
  <si>
    <t>21236 MASONIC Boulevard</t>
  </si>
  <si>
    <t>18154 Davidson</t>
  </si>
  <si>
    <t>28676 Adler</t>
  </si>
  <si>
    <t>18190 Juliana Avenue</t>
  </si>
  <si>
    <t>10938 Lesure</t>
  </si>
  <si>
    <t>8745 LOZEN Drive</t>
  </si>
  <si>
    <t>16405 Collinson Avenue</t>
  </si>
  <si>
    <t>11788 31 Mile</t>
  </si>
  <si>
    <t>22603 Madison</t>
  </si>
  <si>
    <t>20 MACK Street</t>
  </si>
  <si>
    <t>27079 Broadmoor</t>
  </si>
  <si>
    <t>23444 Playview</t>
  </si>
  <si>
    <t>23139 Deziel</t>
  </si>
  <si>
    <t>27249 Jo Ellen</t>
  </si>
  <si>
    <t>20701 26 Mile Rd. Road</t>
  </si>
  <si>
    <t>22000 Centennial Street</t>
  </si>
  <si>
    <t>42123 Mac Rae</t>
  </si>
  <si>
    <t>165 NORTH Avenue</t>
  </si>
  <si>
    <t>33596 FARMVIEW Lane</t>
  </si>
  <si>
    <t>23400 Jefferson</t>
  </si>
  <si>
    <t>11478 SILVER Drive</t>
  </si>
  <si>
    <t>27514 Liberty Drive</t>
  </si>
  <si>
    <t>24055 MANILA Street</t>
  </si>
  <si>
    <t>40443 Lafayette</t>
  </si>
  <si>
    <t>59319 Amherst Avenue</t>
  </si>
  <si>
    <t>53039 Dryden</t>
  </si>
  <si>
    <t>37653 BADGER Drive</t>
  </si>
  <si>
    <t>32603 BEECHWOOD Drive</t>
  </si>
  <si>
    <t>2218 TARRY Drive</t>
  </si>
  <si>
    <t>48228 Mallard</t>
  </si>
  <si>
    <t>New Baltimore</t>
  </si>
  <si>
    <t>5238 LINDA Street</t>
  </si>
  <si>
    <t>39101 BAROQUE Boulevard</t>
  </si>
  <si>
    <t>7685 METZ Drive</t>
  </si>
  <si>
    <t>31130 ROAN Drive</t>
  </si>
  <si>
    <t>5473 ARDEN Avenue</t>
  </si>
  <si>
    <t>8452 MARTIN Road</t>
  </si>
  <si>
    <t>34950 TYLER Drive</t>
  </si>
  <si>
    <t>11200 DIAMOND Drive</t>
  </si>
  <si>
    <t>20360 29 Mile Rd</t>
  </si>
  <si>
    <t>22495 E 10 MILE Road</t>
  </si>
  <si>
    <t>5617 WESTFALEN Drive</t>
  </si>
  <si>
    <t>42850 Hanks</t>
  </si>
  <si>
    <t>27669 CAMPBELL Road</t>
  </si>
  <si>
    <t>32629 Dover Avenue</t>
  </si>
  <si>
    <t>26300 belleair Street</t>
  </si>
  <si>
    <t>14756 E 13 MILE Road</t>
  </si>
  <si>
    <t>58542 Stevens</t>
  </si>
  <si>
    <t>8306 Janis</t>
  </si>
  <si>
    <t>8306 Janis Street</t>
  </si>
  <si>
    <t>13012 Geoffry</t>
  </si>
  <si>
    <t>24828 Manhattan Street</t>
  </si>
  <si>
    <t>20605 Erben</t>
  </si>
  <si>
    <t>8322 BUSCH</t>
  </si>
  <si>
    <t>28818 Citation</t>
  </si>
  <si>
    <t>33087 BROWNLEA Drive</t>
  </si>
  <si>
    <t>40964 Flagstaff</t>
  </si>
  <si>
    <t>45629 CORNWALL Street</t>
  </si>
  <si>
    <t>31708 Palomino Dr</t>
  </si>
  <si>
    <t>11210 GLENIS Drive</t>
  </si>
  <si>
    <t>22412 Red Maple</t>
  </si>
  <si>
    <t>32677 KNAPP Avenue</t>
  </si>
  <si>
    <t>8574 Alwardt</t>
  </si>
  <si>
    <t>20906 Thiele</t>
  </si>
  <si>
    <t>47342 Atwater St Street</t>
  </si>
  <si>
    <t>32201 WHITLEY Circle</t>
  </si>
  <si>
    <t>4527 LINVILLE Drive</t>
  </si>
  <si>
    <t>67380 Sisson</t>
  </si>
  <si>
    <t>16028 E 14 MILE Road</t>
  </si>
  <si>
    <t>3836 PALL Drive</t>
  </si>
  <si>
    <t>11721 Robinwood Boulevard</t>
  </si>
  <si>
    <t>32436 SAINT ANNES Drive</t>
  </si>
  <si>
    <t>8958 SHANNON Drive</t>
  </si>
  <si>
    <t>41390 LORE Drive</t>
  </si>
  <si>
    <t>32507 Van Dover</t>
  </si>
  <si>
    <t>31163 MOCERI Circle</t>
  </si>
  <si>
    <t>26290 Belleair Street</t>
  </si>
  <si>
    <t>6119 Waldo</t>
  </si>
  <si>
    <t>46470 HEATHER Lane</t>
  </si>
  <si>
    <t>5063 AMHERST Drive</t>
  </si>
  <si>
    <t>2269 SERRA Drive</t>
  </si>
  <si>
    <t>27845 Dover</t>
  </si>
  <si>
    <t>3015 ALDEN Drive</t>
  </si>
  <si>
    <t>11096 E 10 MILE Road</t>
  </si>
  <si>
    <t>31343 Rosenbusch Drive</t>
  </si>
  <si>
    <t>13203 CAROL Avenue</t>
  </si>
  <si>
    <t>32553 BEECHWOOD Drive</t>
  </si>
  <si>
    <t>30100 Rosebriar</t>
  </si>
  <si>
    <t>38015 Cherry</t>
  </si>
  <si>
    <t>8395 Crestview</t>
  </si>
  <si>
    <t>2333 Camel Drive</t>
  </si>
  <si>
    <t>12804 LUTZ Avenue</t>
  </si>
  <si>
    <t>27316 THOMAS Avenue</t>
  </si>
  <si>
    <t>22840 LAKE Boulevard</t>
  </si>
  <si>
    <t>43677 Vivian</t>
  </si>
  <si>
    <t>33836 KENNEDY Drive</t>
  </si>
  <si>
    <t>6032 Brynthrop</t>
  </si>
  <si>
    <t>13225 CLINTON RIVER Road</t>
  </si>
  <si>
    <t>23030 Dailey</t>
  </si>
  <si>
    <t>8328 ELIZABETH ANN Street</t>
  </si>
  <si>
    <t>8519 23 MILE Road</t>
  </si>
  <si>
    <t>36958 Maas</t>
  </si>
  <si>
    <t>31418 HARTFORD Drive</t>
  </si>
  <si>
    <t>8910 HENSLEY Drive</t>
  </si>
  <si>
    <t>19906 MAUER Street</t>
  </si>
  <si>
    <t>11338 Judy</t>
  </si>
  <si>
    <t>28333 FLANDERS Avenue</t>
  </si>
  <si>
    <t>26965 KELSEY Drive</t>
  </si>
  <si>
    <t>28446 SUTHERLAND Drive</t>
  </si>
  <si>
    <t>13422 DE MOTT Drive</t>
  </si>
  <si>
    <t>27618 Gilbert Drive</t>
  </si>
  <si>
    <t>35739 RAINBOW Drive</t>
  </si>
  <si>
    <t>31739 Wellston Drive</t>
  </si>
  <si>
    <t>31256 GILBERT DRIVE</t>
  </si>
  <si>
    <t>22001 BLACKBURN Street</t>
  </si>
  <si>
    <t>16554 Concord Drive</t>
  </si>
  <si>
    <t>33661 MINA Drive</t>
  </si>
  <si>
    <t>32352 COLUMBUS Drive</t>
  </si>
  <si>
    <t>34400 Preston Drive</t>
  </si>
  <si>
    <t>8072 Russell</t>
  </si>
  <si>
    <t>33931 Louise</t>
  </si>
  <si>
    <t>22915 AVON Street</t>
  </si>
  <si>
    <t>54033 Shelby</t>
  </si>
  <si>
    <t>25525 EUREKA Drive</t>
  </si>
  <si>
    <t>33851 FLOYD Street</t>
  </si>
  <si>
    <t>11463 E 11 MILE Road</t>
  </si>
  <si>
    <t>3728 MERRIMAC  Drive</t>
  </si>
  <si>
    <t>3251 CHASE Drive</t>
  </si>
  <si>
    <t>32249 34 Mile</t>
  </si>
  <si>
    <t>Richmond Twp</t>
  </si>
  <si>
    <t>23441 DEANHURST Street</t>
  </si>
  <si>
    <t>47766 Nola</t>
  </si>
  <si>
    <t>42294 JASON Drive</t>
  </si>
  <si>
    <t>12958 Whitfield</t>
  </si>
  <si>
    <t>11952 Delvin</t>
  </si>
  <si>
    <t>16129  Cambell  Drive</t>
  </si>
  <si>
    <t>26326 Dover</t>
  </si>
  <si>
    <t>38650 HARRISON Drive</t>
  </si>
  <si>
    <t>46049 Apple</t>
  </si>
  <si>
    <t>25033 Harrison</t>
  </si>
  <si>
    <t>29248 URSULINE Street</t>
  </si>
  <si>
    <t>12916 TAKOMA Drive</t>
  </si>
  <si>
    <t>12855 RAY Drive</t>
  </si>
  <si>
    <t>27855 Lauren N</t>
  </si>
  <si>
    <t>45266 Sterritt</t>
  </si>
  <si>
    <t>3051 Donna</t>
  </si>
  <si>
    <t>26612 RIDGEFIELD Avenue</t>
  </si>
  <si>
    <t>37717 BADGER Drive</t>
  </si>
  <si>
    <t>4051 DICKSON DR Dickson Dr</t>
  </si>
  <si>
    <t>36731 KIMBERLY Street</t>
  </si>
  <si>
    <t>34600 Moravian</t>
  </si>
  <si>
    <t>11137 PLUMBROOK Road</t>
  </si>
  <si>
    <t>25725 Rose St</t>
  </si>
  <si>
    <t>39856 PARKLAWN Drive</t>
  </si>
  <si>
    <t>15493 Dominic</t>
  </si>
  <si>
    <t>36253 JEFFREY Drive</t>
  </si>
  <si>
    <t>12874 Denoter</t>
  </si>
  <si>
    <t>34137 OLD FORGE</t>
  </si>
  <si>
    <t>14080 Masonic</t>
  </si>
  <si>
    <t>29726 GLORIA Street</t>
  </si>
  <si>
    <t>33121 Defour</t>
  </si>
  <si>
    <t>33121 DEFOUR Drive</t>
  </si>
  <si>
    <t>14184 Mary Grove</t>
  </si>
  <si>
    <t>45395 Abington</t>
  </si>
  <si>
    <t>16194 Hauss Avenue</t>
  </si>
  <si>
    <t>25566 Mary</t>
  </si>
  <si>
    <t>39259 CAMP Street</t>
  </si>
  <si>
    <t>36247 Madison</t>
  </si>
  <si>
    <t>13487 BROUGHAM Drive</t>
  </si>
  <si>
    <t>41696 Amberly</t>
  </si>
  <si>
    <t>42811 Pheasant Run</t>
  </si>
  <si>
    <t>11116 RACINE Road</t>
  </si>
  <si>
    <t>17493 Tower</t>
  </si>
  <si>
    <t>22968 RAINBOW Drive</t>
  </si>
  <si>
    <t>40420 Meade Point</t>
  </si>
  <si>
    <t>40420 MEADE POINT Drive</t>
  </si>
  <si>
    <t>31332 Acton</t>
  </si>
  <si>
    <t>47306 UTICA ESTATES Drive</t>
  </si>
  <si>
    <t>36597 Almont</t>
  </si>
  <si>
    <t>47840 GREENVIEW Road</t>
  </si>
  <si>
    <t>21118 Bayside</t>
  </si>
  <si>
    <t>36460 TARPON Drive</t>
  </si>
  <si>
    <t>21133 Saint Gertrude</t>
  </si>
  <si>
    <t>11906 CHATTMAN Drive</t>
  </si>
  <si>
    <t>51204 FAIRLANE Drive</t>
  </si>
  <si>
    <t>47660 BLUEBIRD Drive</t>
  </si>
  <si>
    <t>43229 BOCKLEY Drive</t>
  </si>
  <si>
    <t>37010 MARIANO Drive</t>
  </si>
  <si>
    <t>43237 HARTWICK Drive</t>
  </si>
  <si>
    <t>39309 UNIVERSITY Drive</t>
  </si>
  <si>
    <t>12412 De Grove Drive</t>
  </si>
  <si>
    <t>39127 Hyland</t>
  </si>
  <si>
    <t>11573 CHICAGO Road</t>
  </si>
  <si>
    <t>38602 SUTTON Drive</t>
  </si>
  <si>
    <t>253 FAIRGROVE</t>
  </si>
  <si>
    <t>39359 Edgevale</t>
  </si>
  <si>
    <t>3651 PALL Drive</t>
  </si>
  <si>
    <t>13091 ROXBURY DR Drive</t>
  </si>
  <si>
    <t>36243 Sandra</t>
  </si>
  <si>
    <t>37265 CASTLETON Drive</t>
  </si>
  <si>
    <t>11928 SORRENTO Boulevard</t>
  </si>
  <si>
    <t>257 Fairgrove Street</t>
  </si>
  <si>
    <t>15232 Valerie</t>
  </si>
  <si>
    <t>19310 FAULMAN Road</t>
  </si>
  <si>
    <t>11760 22 MILE Road</t>
  </si>
  <si>
    <t>25696 Norvell Street</t>
  </si>
  <si>
    <t>11206 HANNA Drive</t>
  </si>
  <si>
    <t>11619 LYNCH Court</t>
  </si>
  <si>
    <t>30416 Cousino Drive</t>
  </si>
  <si>
    <t>14755 ANNAPOLIS Drive</t>
  </si>
  <si>
    <t>50377 Corey</t>
  </si>
  <si>
    <t>78171 MEMPHIS RIDGE Road</t>
  </si>
  <si>
    <t>29103 JEFFERSON Avenue</t>
  </si>
  <si>
    <t>4462 FOX HILL Drive</t>
  </si>
  <si>
    <t>43094 Hyde Park Dr</t>
  </si>
  <si>
    <t>32282 BRADFORD Street</t>
  </si>
  <si>
    <t>34419 PRATT Road</t>
  </si>
  <si>
    <t>3756 Barbara Drive</t>
  </si>
  <si>
    <t>23421 TALBOT Street</t>
  </si>
  <si>
    <t>40815 Moravian Drive</t>
  </si>
  <si>
    <t>22711 Colony Street</t>
  </si>
  <si>
    <t>48254 Menter Drive</t>
  </si>
  <si>
    <t>64622 Windsor</t>
  </si>
  <si>
    <t>19806 MAUER Street</t>
  </si>
  <si>
    <t>40698 OAKLAND Court</t>
  </si>
  <si>
    <t>8718 Lozen</t>
  </si>
  <si>
    <t>35374 Indigo</t>
  </si>
  <si>
    <t>36299 Gregory</t>
  </si>
  <si>
    <t>37608 Andrew Drive</t>
  </si>
  <si>
    <t>15862 BEXLEY</t>
  </si>
  <si>
    <t>34247 NEW YORK Street</t>
  </si>
  <si>
    <t>11188 NANCY Drive</t>
  </si>
  <si>
    <t>11641 BROUGHAM Drive</t>
  </si>
  <si>
    <t>32040 Aline</t>
  </si>
  <si>
    <t>35887 Diane  Lane</t>
  </si>
  <si>
    <t>16364 Monticello</t>
  </si>
  <si>
    <t>38060 Delta</t>
  </si>
  <si>
    <t>12431 MAIR Drive</t>
  </si>
  <si>
    <t>34422 Lakewood</t>
  </si>
  <si>
    <t>49609 GOLDEN PARK Drive</t>
  </si>
  <si>
    <t>12374 Deming</t>
  </si>
  <si>
    <t>15847 Lorway Drive</t>
  </si>
  <si>
    <t>69250 Campground</t>
  </si>
  <si>
    <t>Bruce Twp</t>
  </si>
  <si>
    <t>36853 ETON Court</t>
  </si>
  <si>
    <t>46983 Crestview  Drive</t>
  </si>
  <si>
    <t>38809 Union Lake</t>
  </si>
  <si>
    <t>16314 GREENLAND Drive</t>
  </si>
  <si>
    <t>12334 GLASGOW Drive</t>
  </si>
  <si>
    <t>36211 Arlene Drive</t>
  </si>
  <si>
    <t>44130 CADBURRY Drive</t>
  </si>
  <si>
    <t>34748 Fargo</t>
  </si>
  <si>
    <t>5266 MANSFIELD Avenue</t>
  </si>
  <si>
    <t>57520 DECORA PARK Boulevard</t>
  </si>
  <si>
    <t>27845 PRINZ Road</t>
  </si>
  <si>
    <t>38614 SUTTON Drive</t>
  </si>
  <si>
    <t>39351 Lakeshore</t>
  </si>
  <si>
    <t>12322 PRAIRIE Drive</t>
  </si>
  <si>
    <t>35418 LANA Lane</t>
  </si>
  <si>
    <t>28547 TIFFIN Drive</t>
  </si>
  <si>
    <t>8552 TAMARACK Drive</t>
  </si>
  <si>
    <t>33330 Viceroy</t>
  </si>
  <si>
    <t>21018 MICHAEL Court</t>
  </si>
  <si>
    <t>37852 CARPATHIA</t>
  </si>
  <si>
    <t>35052 SHELL Drive</t>
  </si>
  <si>
    <t>48477 BLUEBIRD Drive</t>
  </si>
  <si>
    <t>11002 DILL Drive</t>
  </si>
  <si>
    <t>32656 RUGBY Drive</t>
  </si>
  <si>
    <t>39957 MEMORY Lane</t>
  </si>
  <si>
    <t>53020 STARLITE Drive</t>
  </si>
  <si>
    <t>48164 Sugarbush</t>
  </si>
  <si>
    <t>40407 Meade Point</t>
  </si>
  <si>
    <t>26207 FAIRWOOD Drive</t>
  </si>
  <si>
    <t>39020 Ironstone</t>
  </si>
  <si>
    <t>37364 Hacker</t>
  </si>
  <si>
    <t>56505 Omo</t>
  </si>
  <si>
    <t>31628 TECLA Drive</t>
  </si>
  <si>
    <t>2136 GIRARD Street</t>
  </si>
  <si>
    <t>28809 LOS OLAS Drive</t>
  </si>
  <si>
    <t>35729 ENSIGN Drive</t>
  </si>
  <si>
    <t>35687 Cathedral Drive</t>
  </si>
  <si>
    <t>36197 ACTON Street</t>
  </si>
  <si>
    <t>36863 HAVANA Drive</t>
  </si>
  <si>
    <t>26683 Pattyn</t>
  </si>
  <si>
    <t>4900 KADENA Court</t>
  </si>
  <si>
    <t>37130 GARY Drive</t>
  </si>
  <si>
    <t>51232 SKYLER Drive</t>
  </si>
  <si>
    <t>11874 CANTERBURY Drive</t>
  </si>
  <si>
    <t>12262 Eldorado</t>
  </si>
  <si>
    <t>3211 Belinda Drive</t>
  </si>
  <si>
    <t>31654 Palomino Dr</t>
  </si>
  <si>
    <t>11574 CANTERBURY Drive</t>
  </si>
  <si>
    <t>15644 Van Meter</t>
  </si>
  <si>
    <t>52039 Huntley</t>
  </si>
  <si>
    <t>23015 DETOUR Street</t>
  </si>
  <si>
    <t>35849 PRATT Road</t>
  </si>
  <si>
    <t>46826 PLUM GROVE Drive</t>
  </si>
  <si>
    <t>6344 THORNEYCROFT Drive</t>
  </si>
  <si>
    <t>38135 Yonkers</t>
  </si>
  <si>
    <t>53060 RUANN Drive</t>
  </si>
  <si>
    <t>70692 Sunny Brook</t>
  </si>
  <si>
    <t>18152 ASH CREEK Drive</t>
  </si>
  <si>
    <t>46518 Featherstone</t>
  </si>
  <si>
    <t>5286 25 Mile Rd</t>
  </si>
  <si>
    <t>34016 NORTHWOOD Court</t>
  </si>
  <si>
    <t>53081 SCENIC Drive</t>
  </si>
  <si>
    <t>16226 KINGSTON</t>
  </si>
  <si>
    <t>46022 Brookside North</t>
  </si>
  <si>
    <t>33565 MULVEY</t>
  </si>
  <si>
    <t>51795 LILLIAN Road</t>
  </si>
  <si>
    <t>36611 IROQUOIS Drive</t>
  </si>
  <si>
    <t>39885 Waldorf</t>
  </si>
  <si>
    <t>31427 Anita Drive</t>
  </si>
  <si>
    <t>37511 Maas</t>
  </si>
  <si>
    <t>46792 OAK POINTE Drive</t>
  </si>
  <si>
    <t>41985 Jason</t>
  </si>
  <si>
    <t>70928 Natures Way</t>
  </si>
  <si>
    <t>41947 UTAH Drive</t>
  </si>
  <si>
    <t>50850 PRINCETON Drive</t>
  </si>
  <si>
    <t>37751 VIA ROSALIE Street</t>
  </si>
  <si>
    <t>51610 WILSHIRE Drive</t>
  </si>
  <si>
    <t>37364 DUNDEE Street</t>
  </si>
  <si>
    <t>20194 CALUMET Drive</t>
  </si>
  <si>
    <t>40674 Lizabeth</t>
  </si>
  <si>
    <t>2024 MICHAEL Drive</t>
  </si>
  <si>
    <t>36715 ROWE Drive</t>
  </si>
  <si>
    <t>12456 N York</t>
  </si>
  <si>
    <t>3800 POKLEY</t>
  </si>
  <si>
    <t>46843 Foxtail</t>
  </si>
  <si>
    <t>53611 LYNNHAM Lane</t>
  </si>
  <si>
    <t>37856 MALLAST Street</t>
  </si>
  <si>
    <t>36912 Almont</t>
  </si>
  <si>
    <t>14463 DRESDEN Drive</t>
  </si>
  <si>
    <t>22600 Bluewater</t>
  </si>
  <si>
    <t>53644 MARY ANN Lane</t>
  </si>
  <si>
    <t>20325 MAUER Street</t>
  </si>
  <si>
    <t>36578 Saint Clair</t>
  </si>
  <si>
    <t>70484 SUNNY BROOK Lane</t>
  </si>
  <si>
    <t>36719 Ridgecroft</t>
  </si>
  <si>
    <t>26750 Birchcrest</t>
  </si>
  <si>
    <t>46872 JEFFERSON Avenue</t>
  </si>
  <si>
    <t>174 W Hollister</t>
  </si>
  <si>
    <t>53287 Joann Marie</t>
  </si>
  <si>
    <t>13052 Picadilly</t>
  </si>
  <si>
    <t>51895 Fairchild</t>
  </si>
  <si>
    <t>20902 OAK RIDGE Drive</t>
  </si>
  <si>
    <t>4947 Southview</t>
  </si>
  <si>
    <t>39039 Shoreline Drive</t>
  </si>
  <si>
    <t>29548 OLD NORTH RIVER Road</t>
  </si>
  <si>
    <t>38929 Arlingdale  Drive</t>
  </si>
  <si>
    <t>14374 Pernell Drive</t>
  </si>
  <si>
    <t>35362 Riebel</t>
  </si>
  <si>
    <t>36595 MAPLEWOOD Drive</t>
  </si>
  <si>
    <t>37551 FIELDCREST Lane</t>
  </si>
  <si>
    <t>210 Beuland</t>
  </si>
  <si>
    <t>52119 Rivard Road</t>
  </si>
  <si>
    <t>3077 CHARITY Drive</t>
  </si>
  <si>
    <t>7725 MARY LOU Court</t>
  </si>
  <si>
    <t>40351 ALEXANDRIA Drive</t>
  </si>
  <si>
    <t>37980 Moravian</t>
  </si>
  <si>
    <t>28807 Wales Ct</t>
  </si>
  <si>
    <t>16939 STEWART Court</t>
  </si>
  <si>
    <t>40073 VACHON Drive</t>
  </si>
  <si>
    <t>3350 GLOUCESTER Drive</t>
  </si>
  <si>
    <t>32735 Desmond</t>
  </si>
  <si>
    <t>37054 MARIANO Drive</t>
  </si>
  <si>
    <t>47645 BLUEBIRD Drive</t>
  </si>
  <si>
    <t>38318 CAMERON Drive</t>
  </si>
  <si>
    <t>46641 WOODALL Road</t>
  </si>
  <si>
    <t>35661 Wellston</t>
  </si>
  <si>
    <t>38231 Santa Barbara Street</t>
  </si>
  <si>
    <t>12918 Montbatten Court</t>
  </si>
  <si>
    <t>39690 Aynesley Street</t>
  </si>
  <si>
    <t>23433 DENTON Street</t>
  </si>
  <si>
    <t>3004 CHARITY Drive</t>
  </si>
  <si>
    <t>34125 JEFFERSON Avenue</t>
  </si>
  <si>
    <t>49763 Compass Point</t>
  </si>
  <si>
    <t>36303 Egan</t>
  </si>
  <si>
    <t>36262 Egan</t>
  </si>
  <si>
    <t>53244 Garland</t>
  </si>
  <si>
    <t>45937 DUKE Drive</t>
  </si>
  <si>
    <t>4979 MINDY LYNN Drive</t>
  </si>
  <si>
    <t>37315 Vita Marie</t>
  </si>
  <si>
    <t>36742 IROQUOIS Drive</t>
  </si>
  <si>
    <t>18976 DIXIE Drive</t>
  </si>
  <si>
    <t>11865 RAINTREE</t>
  </si>
  <si>
    <t>58396 RIVER OAKS Drive</t>
  </si>
  <si>
    <t>21206 CLEAR CREEK Boulevard</t>
  </si>
  <si>
    <t>23051 Legacy Court</t>
  </si>
  <si>
    <t>39449 Della Rosa</t>
  </si>
  <si>
    <t>15762 Nader</t>
  </si>
  <si>
    <t>46045 BROOKSIDE NORTH Drive</t>
  </si>
  <si>
    <t>11355 24 MILE Road</t>
  </si>
  <si>
    <t>13838 Pernell</t>
  </si>
  <si>
    <t>20360 Saint Laurence Drive</t>
  </si>
  <si>
    <t>52420 Cleveland</t>
  </si>
  <si>
    <t>37011 MAAS Drive</t>
  </si>
  <si>
    <t>8208 Wiloray Avenue</t>
  </si>
  <si>
    <t>8183 Pippen</t>
  </si>
  <si>
    <t>17694 Briarwood</t>
  </si>
  <si>
    <t>18010 TROON Trail</t>
  </si>
  <si>
    <t>14701 22 Mile</t>
  </si>
  <si>
    <t>48526 JEFFERSON Avenue</t>
  </si>
  <si>
    <t>53103 SCENIC Drive</t>
  </si>
  <si>
    <t>2625 Purcell Drive</t>
  </si>
  <si>
    <t>46200 COACHWOOD Drive</t>
  </si>
  <si>
    <t>24419 Chelsea</t>
  </si>
  <si>
    <t>52818 CROSS CREEK Drive</t>
  </si>
  <si>
    <t>35539 Harrison</t>
  </si>
  <si>
    <t>18202 Wingate</t>
  </si>
  <si>
    <t>44075 Dunham Ct</t>
  </si>
  <si>
    <t>64149 WINDSOR Drive</t>
  </si>
  <si>
    <t>22931 Ulrich Street</t>
  </si>
  <si>
    <t>32645 Northampton</t>
  </si>
  <si>
    <t>22649 EDDY Drive</t>
  </si>
  <si>
    <t>39725 Brylor Court</t>
  </si>
  <si>
    <t>3601 Denson Drive</t>
  </si>
  <si>
    <t>6205 THORNEYCROFT Drive</t>
  </si>
  <si>
    <t>12839 Shady Lane Drive</t>
  </si>
  <si>
    <t>46435 BUTTE Drive</t>
  </si>
  <si>
    <t>46789 Vineyards</t>
  </si>
  <si>
    <t>38341 CAMERON Drive</t>
  </si>
  <si>
    <t>22432 POINTE Drive</t>
  </si>
  <si>
    <t>47850 WALDEN Road</t>
  </si>
  <si>
    <t>16568 Stephen</t>
  </si>
  <si>
    <t>22418 RIO VISTA Street</t>
  </si>
  <si>
    <t>31305 Louise</t>
  </si>
  <si>
    <t>20324 Edmunton Street</t>
  </si>
  <si>
    <t>30008 CAMDEN Circle</t>
  </si>
  <si>
    <t>32523 Robeson</t>
  </si>
  <si>
    <t>11699 SHARON LEE Drive</t>
  </si>
  <si>
    <t>48260 REVERE Drive</t>
  </si>
  <si>
    <t>5035 CHADBOURNE Drive</t>
  </si>
  <si>
    <t>16366 Ausable</t>
  </si>
  <si>
    <t>5600 CELESTIAL Court</t>
  </si>
  <si>
    <t>58176 Thomas</t>
  </si>
  <si>
    <t>53386 Crawford</t>
  </si>
  <si>
    <t>44263 AUSABLE Drive</t>
  </si>
  <si>
    <t>8825 Mary Ann</t>
  </si>
  <si>
    <t>4040 SANDY CREEK Drive</t>
  </si>
  <si>
    <t>31262 Broderick</t>
  </si>
  <si>
    <t>41025 Vista Woods Way</t>
  </si>
  <si>
    <t>43404 VINSETTA Drive</t>
  </si>
  <si>
    <t>37793 Sarafina Drive</t>
  </si>
  <si>
    <t>15340 FRENCH Creek</t>
  </si>
  <si>
    <t>23981 DONALDSON Street</t>
  </si>
  <si>
    <t>69200 ROMEO PLANK Road E</t>
  </si>
  <si>
    <t>8855 MESSMORE Road</t>
  </si>
  <si>
    <t>12436 De Grove</t>
  </si>
  <si>
    <t>16110 Vista Woods</t>
  </si>
  <si>
    <t>11883 Liberty Woods Drive</t>
  </si>
  <si>
    <t>8160 INDEPENDENCE Drive</t>
  </si>
  <si>
    <t>25561 S RIVER Road</t>
  </si>
  <si>
    <t>28722 Squire</t>
  </si>
  <si>
    <t>22425 ALEXANDER Street</t>
  </si>
  <si>
    <t>28515 Emerald</t>
  </si>
  <si>
    <t>31207 GRAYSON Drive</t>
  </si>
  <si>
    <t>28413 Emerald</t>
  </si>
  <si>
    <t>45440 Teal</t>
  </si>
  <si>
    <t>40321 William</t>
  </si>
  <si>
    <t>34142 Flower Hill</t>
  </si>
  <si>
    <t>30035 CAMDEN Circle</t>
  </si>
  <si>
    <t>18006 Thomas</t>
  </si>
  <si>
    <t>31256 Grayson</t>
  </si>
  <si>
    <t>28855 Anchor</t>
  </si>
  <si>
    <t>16542 FORESTVIEW Drive</t>
  </si>
  <si>
    <t>30011 CAMDEN Circle</t>
  </si>
  <si>
    <t>53361 ZACHARY Drive</t>
  </si>
  <si>
    <t>47992 THISTLE Drive</t>
  </si>
  <si>
    <t>5726 Woodmire Drive</t>
  </si>
  <si>
    <t>11700 Sara</t>
  </si>
  <si>
    <t>38766 MORAVIAN Drive</t>
  </si>
  <si>
    <t>54638 Beacon Cove</t>
  </si>
  <si>
    <t>45825 RYAN  Road</t>
  </si>
  <si>
    <t>47127 ROSA</t>
  </si>
  <si>
    <t>33794 Morningside</t>
  </si>
  <si>
    <t>30029 CAMDEN Circle</t>
  </si>
  <si>
    <t>47079 ROSA</t>
  </si>
  <si>
    <t>47748 Beacon Square</t>
  </si>
  <si>
    <t>34458 Heartsworth Lane</t>
  </si>
  <si>
    <t>30014 CAMDEN Circle</t>
  </si>
  <si>
    <t>5171 Lorin</t>
  </si>
  <si>
    <t>27507 MARY JANE LANE W</t>
  </si>
  <si>
    <t>12269 MUIRLAND Drive</t>
  </si>
  <si>
    <t>12205 MUIRLAND Drive</t>
  </si>
  <si>
    <t>12203 LUCERN Drive</t>
  </si>
  <si>
    <t>46794 Springhill</t>
  </si>
  <si>
    <t>48586 TREMONT Drive</t>
  </si>
  <si>
    <t>8840 SUMMERS Court</t>
  </si>
  <si>
    <t>47090 ROSA</t>
  </si>
  <si>
    <t>35567 Brooke</t>
  </si>
  <si>
    <t>16037 TOULOUSE</t>
  </si>
  <si>
    <t>13130 Demil </t>
  </si>
  <si>
    <t>52890 ARTHUR Avenue</t>
  </si>
  <si>
    <t>44110 Trent Dr</t>
  </si>
  <si>
    <t>33050 Wendy</t>
  </si>
  <si>
    <t>33050 WENDY Drive</t>
  </si>
  <si>
    <t>11851 Hadley</t>
  </si>
  <si>
    <t>38185 Willowmere</t>
  </si>
  <si>
    <t>77802 Omo</t>
  </si>
  <si>
    <t>26667 Miela</t>
  </si>
  <si>
    <t>12250 LUCERN Drive</t>
  </si>
  <si>
    <t>53127 Villa Rosa</t>
  </si>
  <si>
    <t>55588 Rhine</t>
  </si>
  <si>
    <t>2502 24 MILE Road</t>
  </si>
  <si>
    <t>11146 21 Mile</t>
  </si>
  <si>
    <t>32877 Greenwood</t>
  </si>
  <si>
    <t>55199 Pacific Ridge</t>
  </si>
  <si>
    <t>26610 MIELA Drive</t>
  </si>
  <si>
    <t>11725 BARBARA ANN Drive</t>
  </si>
  <si>
    <t>42018 DUXBURY Drive</t>
  </si>
  <si>
    <t>45595 Edgewater</t>
  </si>
  <si>
    <t>58691 NORTH Avenue</t>
  </si>
  <si>
    <t>50215 Madison</t>
  </si>
  <si>
    <t>50215 MADISON Drive</t>
  </si>
  <si>
    <t>39117 TWENLOW Court</t>
  </si>
  <si>
    <t>27853 ASHLAND Avenue</t>
  </si>
  <si>
    <t>51437 FORSTER Lane</t>
  </si>
  <si>
    <t>8610 S Fernwood</t>
  </si>
  <si>
    <t>45916 Cornwall</t>
  </si>
  <si>
    <t>50131 MADISON Drive</t>
  </si>
  <si>
    <t>48044 Stapleton Avenue</t>
  </si>
  <si>
    <t>6126 Whispering Oak</t>
  </si>
  <si>
    <t>16129 Bishopsgate</t>
  </si>
  <si>
    <t>12266 LUCERN Drive</t>
  </si>
  <si>
    <t>14642 Emerson  Drive</t>
  </si>
  <si>
    <t>72075 VAN DYKE Road</t>
  </si>
  <si>
    <t>62120 Place</t>
  </si>
  <si>
    <t>12253 MUIRLAND Drive</t>
  </si>
  <si>
    <t>12138 LUCERN Drive</t>
  </si>
  <si>
    <t>12236 Miurland  Drive</t>
  </si>
  <si>
    <t>41620 Belvidere</t>
  </si>
  <si>
    <t>47045 WOODBERRY ESTATES Drive</t>
  </si>
  <si>
    <t>34656 LINDA Lane</t>
  </si>
  <si>
    <t>21103 Strawberry Hills Dr.</t>
  </si>
  <si>
    <t>34087 Cherry Hill</t>
  </si>
  <si>
    <t>18459 Cheryl</t>
  </si>
  <si>
    <t>57857 Roman</t>
  </si>
  <si>
    <t>76756 Mary Grace</t>
  </si>
  <si>
    <t>17776 Crescent Lake</t>
  </si>
  <si>
    <t>2865 WOODFORD Drive</t>
  </si>
  <si>
    <t>48210 MANHATTAN Drive</t>
  </si>
  <si>
    <t>48210 Manhattan Drive</t>
  </si>
  <si>
    <t>35224 VITO Drive</t>
  </si>
  <si>
    <t>54600 LAUREL Drive</t>
  </si>
  <si>
    <t>21050 Batchelder Court</t>
  </si>
  <si>
    <t>15110 Kara Lane</t>
  </si>
  <si>
    <t>15110 KARA Lane</t>
  </si>
  <si>
    <t>71798 Dolores </t>
  </si>
  <si>
    <t>21048 PROUST Court</t>
  </si>
  <si>
    <t>48786 STONE VALLEY Drive</t>
  </si>
  <si>
    <t>23759 CLOUD VISTA Drive</t>
  </si>
  <si>
    <t>49325 Mustang</t>
  </si>
  <si>
    <t>14106 REDWOOD Drive</t>
  </si>
  <si>
    <t>46821 Twin City Trail</t>
  </si>
  <si>
    <t>16895 ORCHARD GARDENS Drive</t>
  </si>
  <si>
    <t>47073 ROSA</t>
  </si>
  <si>
    <t>12040 Twin Brook</t>
  </si>
  <si>
    <t>12186 LUCERN Drive</t>
  </si>
  <si>
    <t>49621 Manistee</t>
  </si>
  <si>
    <t>49385 E Central Park</t>
  </si>
  <si>
    <t>13986 Timberview</t>
  </si>
  <si>
    <t>59724 CRANBERRY Drive</t>
  </si>
  <si>
    <t>20576 COUNTRY SIDE Drive</t>
  </si>
  <si>
    <t>21412 PATTERSON Drive</t>
  </si>
  <si>
    <t>30951 34 Mile</t>
  </si>
  <si>
    <t>71683 DOLORES Drive</t>
  </si>
  <si>
    <t>54624 Franklin</t>
  </si>
  <si>
    <t>50331 Cheltenham</t>
  </si>
  <si>
    <t>21355 Summerfield</t>
  </si>
  <si>
    <t>53237 Sams Lane</t>
  </si>
  <si>
    <t>50822 Torrey Pines</t>
  </si>
  <si>
    <t>34473 Linda</t>
  </si>
  <si>
    <t>34473 LINDA LANE Drive</t>
  </si>
  <si>
    <t>12282 LUCERN Drive</t>
  </si>
  <si>
    <t>13265 Demil</t>
  </si>
  <si>
    <t>13265 Demil Drive</t>
  </si>
  <si>
    <t>53238 Sherwood</t>
  </si>
  <si>
    <t>12187 LUCERN Drive</t>
  </si>
  <si>
    <t>5825 Gregory Drive</t>
  </si>
  <si>
    <t>39725 Cannon Drive</t>
  </si>
  <si>
    <t>33625 MULVEY</t>
  </si>
  <si>
    <t>2115 Dawes</t>
  </si>
  <si>
    <t>35850 Jefferson Avenue</t>
  </si>
  <si>
    <t>4825 MACERI Circle</t>
  </si>
  <si>
    <t>14765 24 Mile</t>
  </si>
  <si>
    <t>21310 IRWIN Road</t>
  </si>
  <si>
    <t>8500 RHODE Drive</t>
  </si>
  <si>
    <t>54308 Sherwood</t>
  </si>
  <si>
    <t>27980 SANTA ANITA Drive S</t>
  </si>
  <si>
    <t>11276 Marino</t>
  </si>
  <si>
    <t>2614 Farmdale Drive</t>
  </si>
  <si>
    <t>48082 E Prestwyck</t>
  </si>
  <si>
    <t>43296 Emily</t>
  </si>
  <si>
    <t>7168 Sparling</t>
  </si>
  <si>
    <t>51678 CREEK VIEW Drive</t>
  </si>
  <si>
    <t>28034 Norcross</t>
  </si>
  <si>
    <t>54680 AURORA Park</t>
  </si>
  <si>
    <t>17307  CANVASBACK Drive</t>
  </si>
  <si>
    <t>26573 CREEK VIEW Drive</t>
  </si>
  <si>
    <t>33294 Nicola</t>
  </si>
  <si>
    <t>23386 Angel Park</t>
  </si>
  <si>
    <t>37548 FIORE Trail</t>
  </si>
  <si>
    <t>34453 Linda</t>
  </si>
  <si>
    <t>34453 LINDA LANE Drive</t>
  </si>
  <si>
    <t>2594 MAPLECREST Road</t>
  </si>
  <si>
    <t>17866 PLAYER Drive</t>
  </si>
  <si>
    <t>48983 Chelsea Park</t>
  </si>
  <si>
    <t>54959 Camden</t>
  </si>
  <si>
    <t>54884 Camden</t>
  </si>
  <si>
    <t>17613 Benjamin  Drive</t>
  </si>
  <si>
    <t>16859 Kentfield</t>
  </si>
  <si>
    <t>38234 CARMALOT Drive</t>
  </si>
  <si>
    <t>49793 Becher Dr W</t>
  </si>
  <si>
    <t>47077 Hidden Meadows</t>
  </si>
  <si>
    <t>57803 GREY FOX GLEN</t>
  </si>
  <si>
    <t>19835 CHASE Drive</t>
  </si>
  <si>
    <t>54893 Camden</t>
  </si>
  <si>
    <t>56641 Via Nesso</t>
  </si>
  <si>
    <t>11360 29 Mile</t>
  </si>
  <si>
    <t>37483 Josephine</t>
  </si>
  <si>
    <t>15889 TEA ROSE Drive</t>
  </si>
  <si>
    <t>41643 VANCOUVER Drive</t>
  </si>
  <si>
    <t>50119 Josephine</t>
  </si>
  <si>
    <t>47939 Fox Chase</t>
  </si>
  <si>
    <t>50790 Rose</t>
  </si>
  <si>
    <t>43801 PINOT NOIR Drive</t>
  </si>
  <si>
    <t>39250 GARY Street</t>
  </si>
  <si>
    <t>28058 ASHLAND Avenue</t>
  </si>
  <si>
    <t>63642 DOVER Court</t>
  </si>
  <si>
    <t>52432  Rejoice  Drive</t>
  </si>
  <si>
    <t>52432 Rejoice</t>
  </si>
  <si>
    <t>49432 Hummel Drive</t>
  </si>
  <si>
    <t>51956 WESTEND Drive</t>
  </si>
  <si>
    <t>37569 Church</t>
  </si>
  <si>
    <t>5200 Raap</t>
  </si>
  <si>
    <t>2605 Chesley Drive</t>
  </si>
  <si>
    <t>49529 Compass Pointe</t>
  </si>
  <si>
    <t>35608 ADDISON Drive</t>
  </si>
  <si>
    <t>13425 AMBERGLEN Drive</t>
  </si>
  <si>
    <t>55222 HIDDEN RIVER Drive</t>
  </si>
  <si>
    <t>19780 JOY Drive</t>
  </si>
  <si>
    <t>56439 SCOTLAND Drive</t>
  </si>
  <si>
    <t>49725 Bingham</t>
  </si>
  <si>
    <t>22103 Sturgeon River</t>
  </si>
  <si>
    <t>5028 HOMESTEAD Drive</t>
  </si>
  <si>
    <t>24767 Brookshire</t>
  </si>
  <si>
    <t>54511 RIDGEVIEW Drive</t>
  </si>
  <si>
    <t>42876 Hanks Lane</t>
  </si>
  <si>
    <t>35811 Windridge</t>
  </si>
  <si>
    <t>35811 WINDRIDGE Drive</t>
  </si>
  <si>
    <t>57627 Ridgewood Dr</t>
  </si>
  <si>
    <t>67913 Ashley</t>
  </si>
  <si>
    <t>52754 Char Marie</t>
  </si>
  <si>
    <t>52754 CHAR MARIE Drive</t>
  </si>
  <si>
    <t>19781 CHASE Drive</t>
  </si>
  <si>
    <t>54644 Lawson Creek</t>
  </si>
  <si>
    <t>16467 VIA MONTELLA</t>
  </si>
  <si>
    <t>16467 Via Montella</t>
  </si>
  <si>
    <t>52626 Char Marie #19</t>
  </si>
  <si>
    <t>70161 ROMEO ORCHARD Drive</t>
  </si>
  <si>
    <t>56452 SCOTLAND Drive</t>
  </si>
  <si>
    <t>14220 Provim Forest</t>
  </si>
  <si>
    <t>60988 Jewell</t>
  </si>
  <si>
    <t>29026 Thistle Lane</t>
  </si>
  <si>
    <t>43743 VIA ANTONIO Drive</t>
  </si>
  <si>
    <t>22517 E 10 MILE Road</t>
  </si>
  <si>
    <t>19817 CHASE Drive</t>
  </si>
  <si>
    <t>56158 GRIMES</t>
  </si>
  <si>
    <t>56029 GRIMES</t>
  </si>
  <si>
    <t>57172 SCENIC HOLLOW Drive</t>
  </si>
  <si>
    <t>19430 RYAN Drive</t>
  </si>
  <si>
    <t>56080 GRIMES</t>
  </si>
  <si>
    <t>16981 Glenhurst</t>
  </si>
  <si>
    <t>4153 Spring Meadow</t>
  </si>
  <si>
    <t>56696 EDGEWOOD Drive</t>
  </si>
  <si>
    <t>5023 MACERI Circle</t>
  </si>
  <si>
    <t>14129 JODE PARK Court</t>
  </si>
  <si>
    <t>54362 Lawson</t>
  </si>
  <si>
    <t>52334 Monaco</t>
  </si>
  <si>
    <t>30840 N RIVER Road</t>
  </si>
  <si>
    <t>56056 Parkview Drive</t>
  </si>
  <si>
    <t>49301 HUMMEL Drive</t>
  </si>
  <si>
    <t>3959 WOODGLEN</t>
  </si>
  <si>
    <t>52388 WOODSIDE Court</t>
  </si>
  <si>
    <t>4105 Spring Meadow</t>
  </si>
  <si>
    <t>16900 Heron</t>
  </si>
  <si>
    <t>13453 LAKEVIEW Drive</t>
  </si>
  <si>
    <t>52876 Camelot</t>
  </si>
  <si>
    <t>52876 CAMELOT</t>
  </si>
  <si>
    <t>15321 25 MILE Road</t>
  </si>
  <si>
    <t>16917  Glenhurst  Drive</t>
  </si>
  <si>
    <t>52861 Royal Park</t>
  </si>
  <si>
    <t>52861 Royal Park Avenue</t>
  </si>
  <si>
    <t>37336 N HANSON Drive</t>
  </si>
  <si>
    <t>6556 PETKO</t>
  </si>
  <si>
    <t>54502 DEADWOOD Lane</t>
  </si>
  <si>
    <t>43501 Grouse</t>
  </si>
  <si>
    <t>52679 SHELBY Road</t>
  </si>
  <si>
    <t>2670 Harrow Way</t>
  </si>
  <si>
    <t>54156 SALEM Drive</t>
  </si>
  <si>
    <t>53343 Winter</t>
  </si>
  <si>
    <t>6746 NORTHWICK Drive</t>
  </si>
  <si>
    <t>63520 GEORGETOWNE S</t>
  </si>
  <si>
    <t>11889 Encore Court</t>
  </si>
  <si>
    <t>32774 N River Road</t>
  </si>
  <si>
    <t>22290 27 Mile</t>
  </si>
  <si>
    <t>78642 HARVEST Lane</t>
  </si>
  <si>
    <t>6532 POND Drive</t>
  </si>
  <si>
    <t>70237 Mountain Creek</t>
  </si>
  <si>
    <t>3843 Forster</t>
  </si>
  <si>
    <t>6310 County Line</t>
  </si>
  <si>
    <t>63091 TURNBERRY Way</t>
  </si>
  <si>
    <t>6690 Roseberry</t>
  </si>
  <si>
    <t>19793 WESTCHESTER Drive</t>
  </si>
  <si>
    <t>61495 Beacon Hill</t>
  </si>
  <si>
    <t>8475 MORNINGSIDE Drive</t>
  </si>
  <si>
    <t>55377 BUCKTHORN Drive</t>
  </si>
  <si>
    <t>61715 Bradbury</t>
  </si>
  <si>
    <t>48730 Point Lakeview Drive</t>
  </si>
  <si>
    <t>69359 Lake Point</t>
  </si>
  <si>
    <t>7007 28 Mile Road</t>
  </si>
  <si>
    <t>Min of Price</t>
  </si>
  <si>
    <t>Max of Price</t>
  </si>
  <si>
    <t>Average of Price</t>
  </si>
  <si>
    <t>Average of Date on Market</t>
  </si>
  <si>
    <t>Average of Price per Sq Ft</t>
  </si>
  <si>
    <t>This table has conditional formatting; column B shows the 8 lowest prices, column C shows the 8 highest prices, columns D and E show a heat conditional with lowest numbers in green to the highest in red. Column F shows the 8 highest prices as well.</t>
  </si>
  <si>
    <t>(blank)</t>
  </si>
  <si>
    <t>Grand Total</t>
  </si>
  <si>
    <t>Row Labels</t>
  </si>
  <si>
    <t>Average of Sq Ft</t>
  </si>
  <si>
    <t>Min of Sq Ft</t>
  </si>
  <si>
    <t>Max of Sq Ft2</t>
  </si>
  <si>
    <t>Max of Days on Market</t>
  </si>
  <si>
    <t>Average of Days on Market</t>
  </si>
  <si>
    <t>Total Sold by County</t>
  </si>
  <si>
    <t>Total Sold</t>
  </si>
  <si>
    <t>Avg Price</t>
  </si>
  <si>
    <t>Diff Between Price and Budget</t>
  </si>
  <si>
    <t>Budget</t>
  </si>
  <si>
    <t>Nearest City Match</t>
  </si>
  <si>
    <t>Cost per Sq. Ft.</t>
  </si>
  <si>
    <t>Sq. Ft.</t>
  </si>
  <si>
    <t>Total Costs</t>
  </si>
  <si>
    <t>Manually input your preferred budget in E2 to return the city (F2) with an average price nearest to your input budget as a match.</t>
  </si>
  <si>
    <t>Sq. Ft. allowed by Budget and selected city</t>
  </si>
  <si>
    <t>With a City selected on the left, click on the Goal Seek control button. This will run a macro using the selected city and the formula/data above to automate a goal seek that will return the value of the average square feet in your selected city that you can purchase with a budget of $300,000.00 based on the selected city's average cost per square foot.</t>
  </si>
  <si>
    <t>Pricing by City</t>
  </si>
  <si>
    <t>Values by County</t>
  </si>
  <si>
    <t>Count of Address</t>
  </si>
  <si>
    <t>Max of Sq Ft</t>
  </si>
  <si>
    <t>Min of Price per Sq Ft</t>
  </si>
  <si>
    <t>Max of Price per Sq Ft</t>
  </si>
  <si>
    <t>Min of Beds</t>
  </si>
  <si>
    <t>Max of Beds</t>
  </si>
  <si>
    <t>Average of Beds</t>
  </si>
  <si>
    <t>Min of Baths</t>
  </si>
  <si>
    <t>Max of Baths</t>
  </si>
  <si>
    <t>Average of Baths</t>
  </si>
  <si>
    <t>Min of Days on Market</t>
  </si>
  <si>
    <t>Sheets</t>
  </si>
  <si>
    <t>What is the Purpose?</t>
  </si>
  <si>
    <t>How to use the functionality/Additional Details</t>
  </si>
  <si>
    <t>Rubric</t>
  </si>
  <si>
    <t>Unified Data</t>
  </si>
  <si>
    <t>This is the collective data, pooled together into a data table to allow for data manipulation.</t>
  </si>
  <si>
    <t>No additional functionality on this sheet.</t>
  </si>
  <si>
    <t>Findings: Specialized Functions, statistical analysis</t>
  </si>
  <si>
    <t>Averages by City</t>
  </si>
  <si>
    <t>This is a data table with selective min/max/avg pricing statistics, cities, Days on Market (DoM), and Price per Square Foot (PPSF). There is conditional formatting to statistical outliers here.</t>
  </si>
  <si>
    <t>Averages by City Charts</t>
  </si>
  <si>
    <t>These are a series of charts created from the data table on the Averages by City sheet. Featuring min/max/avg pricing by city, avg DoM by city, and avg PPSF by city.</t>
  </si>
  <si>
    <t>Basic charts created from data table on this sheet.</t>
  </si>
  <si>
    <t>Findings: Visualizations</t>
  </si>
  <si>
    <t>PPSF Analysis Chart</t>
  </si>
  <si>
    <t>This is a scatter chart to show the variances between pricing per square footage.</t>
  </si>
  <si>
    <t>Scatter chart.</t>
  </si>
  <si>
    <t>This sheet uses a COUNTIF function to collectively pool the data to determine which county sold how many homes, and compare the numbers via a pie chart. Also, a PivotTable and PivotChart setup for showing the difference in pricing between Macomb and Oakland county houses with 3 Beds/2 Baths.</t>
  </si>
  <si>
    <t>COUNTIF function to compare number of houses sold by county. PivotTable/Chart for helping to visualize data.</t>
  </si>
  <si>
    <t>Findings: Visualizations, statistical analysis</t>
  </si>
  <si>
    <t>Match City &amp; Budget Goal Seek</t>
  </si>
  <si>
    <t>This sheet has a data table with city names, average home sale price, and a "difference of" column. This is to be used with the nearby Budget and Nearest City Match columns(E2 and F2). These use INDEX and MATCH functions to determine cell positioning to be used with the Budget and Nearest City Match table. Additionally, there is a pivottable and a slicer on this page for selecting a city and returning the values of city name, the average PPSF in the city, and the average square footage in the city for houses sold.</t>
  </si>
  <si>
    <t>If you enter your proposed budget in E2, under Budget, the INDEX and MATCH functions from column F (Nearest City Match) will attempt to INDEX column A and MATCH to the lowest ABS (absolute value) from Column C (Diff Between Price and Budget). It will then return the value from column A (City) where the row and column intersect, giving the user the City name where the average home sold price is nearest the entered budget value.</t>
  </si>
  <si>
    <t>Findings: Specialized Functions, PivotTables</t>
  </si>
  <si>
    <t>Goal Seek</t>
  </si>
  <si>
    <t>This is located on the right side of Match City &amp; Budget Goal Seek sheet. The previously mentioned pivottable and slicer are useful for this goal seek endeavor. The slicer allows you to select a city, and the pivottable will return the City name, the average PPSF, and the average SF (square foot) for the houses sold in the selected city. There is also a button labeled "Goal Seek" that has an attached macro; when pressed, this will show roughly how many square footage of house you can purchase in the selected city on the left (citySplicer) based on a $300,000.00 budget and the city's average PPSF.</t>
  </si>
  <si>
    <t>V2:Y2 on this page has a Budget column (will match the budget from what was entered by the user in E2 previously), an Avg. Cost per Sq. Ft. column (which will be pulled from the slicer and pivottable based on the selected city), a Square Foot column (which the user can enter manually or leave at it's default state of 1000), and a Total Costs column (which is a result of multiplying W2 (Cost per SF) and W3 (square feet). To goal seek, you will Set Cell to $Y$2, To Value to whatever your budget happens to be (example: 275000), and By Changing Value will be $X$2. This will goal seek and calculate how many square feet of a house you can afford based on your entered budget and the selected Cost per Sq. Ft. average.</t>
  </si>
  <si>
    <t>Findings: Goal Seek, PivotTables, Slicers, Macro (Goal Seek button will use the macro)</t>
  </si>
  <si>
    <t>Min-Max-Avg by County and City</t>
  </si>
  <si>
    <t>This sheet has two pivottables and two related slicers. The left pivottable and slicer allow the user to select a county in the county slicer, and various information about home sales in the related pivottable will populate. The right pivottable and slicer allow the user to select a city, returning basic min/max/avg pricing data about that city and generating a dynamic pivotchart for visualizing the data.</t>
  </si>
  <si>
    <t>PivotTables and Slicers are used as well as a pivotchart. Select a county in the county slicer to view different statstics of home sales by county, and select a city in the City slicer to view basic min/max/avg pricing data for the selected city as well as a dynamic chart for visualizing this data based on the city.</t>
  </si>
  <si>
    <t>Findings: PivotTables and Slicers, PivotChart, statistical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</si>
</sst>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8" formatCode="&quot;$&quot;#,##0.00_);[Red]\(&quot;$&quot;#,##0.00\)"/>
    <numFmt numFmtId="44" formatCode="_(&quot;$&quot;* #,##0.00_);_(&quot;$&quot;* \(#,##0.00\);_(&quot;$&quot;* &quot;-&quot;??_);_(@_)"/>
    <numFmt numFmtId="164" formatCode="&quot;$&quot;#,##0.00"/>
    <numFmt numFmtId="165" formatCode="&quot;$&quot;#,##0"/>
    <numFmt numFmtId="166" formatCode="0.0%"/>
    <numFmt numFmtId="167" formatCode="_([$$-409]* #,##0.00_);_([$$-409]* \(#,##0.00\);_([$$-409]* &quot;-&quot;??_);_(@_)"/>
  </numFmts>
  <fonts count="22">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2"/>
      <color theme="1"/>
      <name val="Aptos Narrow"/>
      <family val="2"/>
    </font>
    <font>
      <sz val="14"/>
      <color theme="1"/>
      <name val="Aptos Narrow"/>
      <family val="2"/>
    </font>
    <font>
      <b/>
      <sz val="12"/>
      <color theme="1"/>
      <name val="Aptos Narrow"/>
      <family val="2"/>
    </font>
    <font>
      <b/>
      <sz val="12"/>
      <color theme="1" tint="0.249977111117893"/>
      <name val="Aptos Narrow"/>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3">
    <xf numFmtId="0" fontId="0" fillId="0" borderId="0" xfId="0"/>
    <xf numFmtId="0" fontId="0" fillId="0" borderId="0" xfId="0" pivotButton="1"/>
    <xf numFmtId="0" fontId="13" fillId="33" borderId="0" xfId="0" applyFont="1" applyFill="1" applyAlignment="1">
      <alignment horizontal="center"/>
    </xf>
    <xf numFmtId="0" fontId="0" fillId="0" borderId="0" xfId="0" applyAlignment="1">
      <alignment horizontal="center"/>
    </xf>
    <xf numFmtId="0" fontId="0" fillId="34" borderId="11" xfId="0" applyFill="1" applyBorder="1" applyAlignment="1">
      <alignment horizontal="center"/>
    </xf>
    <xf numFmtId="44" fontId="0" fillId="34" borderId="11" xfId="0" applyNumberFormat="1" applyFill="1" applyBorder="1" applyAlignment="1">
      <alignment horizontal="center"/>
    </xf>
    <xf numFmtId="6" fontId="0" fillId="34" borderId="11" xfId="0" applyNumberFormat="1" applyFill="1" applyBorder="1" applyAlignment="1">
      <alignment horizontal="center"/>
    </xf>
    <xf numFmtId="0" fontId="0" fillId="0" borderId="11" xfId="0" applyBorder="1" applyAlignment="1">
      <alignment horizontal="center"/>
    </xf>
    <xf numFmtId="44" fontId="0" fillId="0" borderId="11" xfId="0" applyNumberFormat="1" applyBorder="1" applyAlignment="1">
      <alignment horizontal="center"/>
    </xf>
    <xf numFmtId="8" fontId="0" fillId="0" borderId="11" xfId="0" applyNumberFormat="1" applyBorder="1" applyAlignment="1">
      <alignment horizontal="center"/>
    </xf>
    <xf numFmtId="3" fontId="0" fillId="34" borderId="11" xfId="0" applyNumberFormat="1" applyFill="1" applyBorder="1" applyAlignment="1">
      <alignment horizontal="center"/>
    </xf>
    <xf numFmtId="8" fontId="0" fillId="34" borderId="11" xfId="0" applyNumberFormat="1" applyFill="1" applyBorder="1" applyAlignment="1">
      <alignment horizontal="center"/>
    </xf>
    <xf numFmtId="3" fontId="0" fillId="0" borderId="11" xfId="0" applyNumberFormat="1" applyBorder="1" applyAlignment="1">
      <alignment horizontal="center"/>
    </xf>
    <xf numFmtId="0" fontId="0" fillId="34" borderId="13" xfId="0" applyFill="1" applyBorder="1" applyAlignment="1">
      <alignment horizontal="center"/>
    </xf>
    <xf numFmtId="3" fontId="0" fillId="34" borderId="13" xfId="0" applyNumberFormat="1" applyFill="1" applyBorder="1" applyAlignment="1">
      <alignment horizontal="center"/>
    </xf>
    <xf numFmtId="8" fontId="0" fillId="34" borderId="13" xfId="0" applyNumberFormat="1" applyFill="1" applyBorder="1" applyAlignment="1">
      <alignment horizontal="center"/>
    </xf>
    <xf numFmtId="0" fontId="0" fillId="34" borderId="12" xfId="0" applyFill="1" applyBorder="1" applyAlignment="1">
      <alignment horizontal="center"/>
    </xf>
    <xf numFmtId="0" fontId="0" fillId="34" borderId="10" xfId="0" applyFill="1" applyBorder="1" applyAlignment="1">
      <alignment horizontal="center"/>
    </xf>
    <xf numFmtId="0" fontId="0" fillId="0" borderId="12" xfId="0" applyBorder="1" applyAlignment="1">
      <alignment horizontal="center"/>
    </xf>
    <xf numFmtId="0" fontId="0" fillId="0" borderId="10" xfId="0" applyBorder="1" applyAlignment="1">
      <alignment horizontal="center"/>
    </xf>
    <xf numFmtId="165" fontId="13" fillId="33" borderId="0" xfId="0" applyNumberFormat="1" applyFont="1" applyFill="1" applyAlignment="1">
      <alignment horizontal="center"/>
    </xf>
    <xf numFmtId="165" fontId="0" fillId="34" borderId="11" xfId="0" applyNumberFormat="1" applyFill="1" applyBorder="1" applyAlignment="1">
      <alignment horizontal="center"/>
    </xf>
    <xf numFmtId="165" fontId="0" fillId="0" borderId="11" xfId="0" applyNumberFormat="1" applyBorder="1" applyAlignment="1">
      <alignment horizontal="center"/>
    </xf>
    <xf numFmtId="165" fontId="0" fillId="34" borderId="13" xfId="0" applyNumberFormat="1" applyFill="1" applyBorder="1" applyAlignment="1">
      <alignment horizontal="center"/>
    </xf>
    <xf numFmtId="165" fontId="0" fillId="0" borderId="0" xfId="0" applyNumberFormat="1" applyAlignment="1">
      <alignment horizontal="center"/>
    </xf>
    <xf numFmtId="1" fontId="0" fillId="0" borderId="0" xfId="0" applyNumberFormat="1"/>
    <xf numFmtId="167" fontId="0" fillId="0" borderId="0" xfId="0" applyNumberFormat="1"/>
    <xf numFmtId="10" fontId="0" fillId="0" borderId="0" xfId="0" applyNumberFormat="1"/>
    <xf numFmtId="2" fontId="0" fillId="0" borderId="0" xfId="0" applyNumberFormat="1"/>
    <xf numFmtId="44" fontId="0" fillId="0" borderId="0" xfId="0" applyNumberFormat="1"/>
    <xf numFmtId="0" fontId="18" fillId="0" borderId="0" xfId="0" applyFont="1" applyAlignment="1">
      <alignment horizontal="right" vertical="center"/>
    </xf>
    <xf numFmtId="0" fontId="18" fillId="0" borderId="0" xfId="0" applyFont="1"/>
    <xf numFmtId="0" fontId="18" fillId="0" borderId="0" xfId="0" applyFont="1" applyAlignment="1">
      <alignment horizontal="center" vertical="center"/>
    </xf>
    <xf numFmtId="164" fontId="18" fillId="0" borderId="0" xfId="0" applyNumberFormat="1" applyFont="1" applyAlignment="1">
      <alignment horizontal="right" vertical="center"/>
    </xf>
    <xf numFmtId="165" fontId="18" fillId="0" borderId="0" xfId="0" applyNumberFormat="1" applyFont="1" applyAlignment="1">
      <alignment horizontal="right" vertical="center"/>
    </xf>
    <xf numFmtId="1" fontId="18" fillId="0" borderId="0" xfId="0" applyNumberFormat="1" applyFont="1" applyAlignment="1">
      <alignment horizontal="center" vertical="center"/>
    </xf>
    <xf numFmtId="0" fontId="19" fillId="0" borderId="0" xfId="0" applyFont="1" applyAlignment="1">
      <alignment horizontal="center" vertical="center"/>
    </xf>
    <xf numFmtId="166" fontId="19" fillId="0" borderId="0" xfId="0" applyNumberFormat="1" applyFont="1" applyAlignment="1">
      <alignment horizontal="center"/>
    </xf>
    <xf numFmtId="0" fontId="19" fillId="0" borderId="0" xfId="0" applyFont="1" applyAlignment="1">
      <alignment horizontal="center"/>
    </xf>
    <xf numFmtId="0" fontId="17" fillId="9" borderId="0" xfId="18" applyAlignment="1">
      <alignment horizontal="center"/>
    </xf>
    <xf numFmtId="0" fontId="1" fillId="10" borderId="0" xfId="19" applyAlignment="1">
      <alignment horizontal="center" vertical="center"/>
    </xf>
    <xf numFmtId="0" fontId="13" fillId="9" borderId="0" xfId="18" applyFont="1" applyAlignment="1">
      <alignment horizontal="center"/>
    </xf>
    <xf numFmtId="0" fontId="13" fillId="9" borderId="0" xfId="18" applyFont="1"/>
    <xf numFmtId="0" fontId="1" fillId="10" borderId="0" xfId="19" applyAlignment="1">
      <alignment horizontal="right" wrapText="1"/>
    </xf>
    <xf numFmtId="0" fontId="20" fillId="34" borderId="11" xfId="0" applyFont="1" applyFill="1" applyBorder="1" applyAlignment="1">
      <alignment horizontal="right" vertical="center"/>
    </xf>
    <xf numFmtId="165" fontId="20" fillId="34" borderId="11" xfId="0" applyNumberFormat="1" applyFont="1" applyFill="1" applyBorder="1" applyAlignment="1">
      <alignment horizontal="right" vertical="center"/>
    </xf>
    <xf numFmtId="1" fontId="20" fillId="34" borderId="11" xfId="0" applyNumberFormat="1" applyFont="1" applyFill="1" applyBorder="1" applyAlignment="1">
      <alignment horizontal="center" vertical="center"/>
    </xf>
    <xf numFmtId="164" fontId="20" fillId="34" borderId="11" xfId="0" applyNumberFormat="1" applyFont="1" applyFill="1" applyBorder="1" applyAlignment="1">
      <alignment horizontal="right" vertical="center"/>
    </xf>
    <xf numFmtId="0" fontId="0" fillId="0" borderId="0" xfId="0" applyAlignment="1">
      <alignment wrapText="1"/>
    </xf>
    <xf numFmtId="0" fontId="16" fillId="0" borderId="0" xfId="0" applyFont="1"/>
    <xf numFmtId="0" fontId="16" fillId="0" borderId="0" xfId="0" applyFont="1" applyAlignment="1">
      <alignment horizontal="left"/>
    </xf>
    <xf numFmtId="0" fontId="0" fillId="8" borderId="8" xfId="15" applyFont="1" applyAlignment="1">
      <alignment wrapText="1"/>
    </xf>
    <xf numFmtId="0" fontId="6" fillId="2" borderId="0" xfId="6" applyAlignment="1">
      <alignment wrapText="1"/>
    </xf>
    <xf numFmtId="0" fontId="6" fillId="2" borderId="0" xfId="6"/>
    <xf numFmtId="0" fontId="21" fillId="34" borderId="14" xfId="0" applyFont="1" applyFill="1" applyBorder="1" applyAlignment="1">
      <alignment horizontal="center" vertical="center"/>
    </xf>
    <xf numFmtId="164" fontId="21" fillId="34" borderId="14" xfId="0" applyNumberFormat="1" applyFont="1" applyFill="1" applyBorder="1" applyAlignment="1">
      <alignment horizontal="right" vertical="center"/>
    </xf>
    <xf numFmtId="44" fontId="0" fillId="10" borderId="0" xfId="19" applyNumberFormat="1" applyFont="1"/>
    <xf numFmtId="0" fontId="0" fillId="0" borderId="0" xfId="0" applyAlignment="1">
      <alignment horizontal="left"/>
    </xf>
    <xf numFmtId="1" fontId="1" fillId="10" borderId="0" xfId="19" applyNumberFormat="1"/>
    <xf numFmtId="0" fontId="0" fillId="8" borderId="8" xfId="15" applyFont="1" applyAlignment="1">
      <alignment horizontal="left" vertical="center" wrapText="1"/>
    </xf>
    <xf numFmtId="0" fontId="17" fillId="9" borderId="0" xfId="18" applyAlignment="1">
      <alignment horizontal="center"/>
    </xf>
    <xf numFmtId="0" fontId="17" fillId="9" borderId="0" xfId="18" applyAlignment="1">
      <alignment horizontal="center" wrapText="1"/>
    </xf>
    <xf numFmtId="0" fontId="0" fillId="8" borderId="8" xfId="15" applyFont="1" applyAlignment="1">
      <alignment horizontal="lef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numFmt numFmtId="167" formatCode="_([$$-409]* #,##0.00_);_([$$-409]* \(#,##0.00\);_([$$-409]* &quot;-&quot;??_);_(@_)"/>
    </dxf>
    <dxf>
      <numFmt numFmtId="167" formatCode="_([$$-409]* #,##0.00_);_([$$-409]* \(#,##0.00\);_([$$-409]* &quot;-&quot;??_);_(@_)"/>
      <fill>
        <patternFill patternType="none">
          <fgColor indexed="64"/>
          <bgColor indexed="65"/>
        </patternFill>
      </fill>
    </dxf>
    <dxf>
      <font>
        <b val="0"/>
        <i val="0"/>
        <strike val="0"/>
        <condense val="0"/>
        <extend val="0"/>
        <outline val="0"/>
        <shadow val="0"/>
        <u val="none"/>
        <vertAlign val="baseline"/>
        <sz val="12"/>
        <color theme="1"/>
        <name val="Aptos Narrow"/>
        <scheme val="none"/>
      </font>
      <alignment horizontal="right" vertical="center" textRotation="0" wrapText="0" indent="0" justifyLastLine="0" shrinkToFit="0" readingOrder="0"/>
    </dxf>
    <dxf>
      <font>
        <b val="0"/>
        <i val="0"/>
        <strike val="0"/>
        <condense val="0"/>
        <extend val="0"/>
        <outline val="0"/>
        <shadow val="0"/>
        <u val="none"/>
        <vertAlign val="baseline"/>
        <sz val="12"/>
        <color theme="1"/>
        <name val="Aptos Narrow"/>
        <scheme val="none"/>
      </font>
      <numFmt numFmtId="164" formatCode="&quot;$&quot;#,##0.00"/>
      <alignment horizontal="right" vertical="center" textRotation="0" wrapText="0" indent="0" justifyLastLine="0" shrinkToFit="0" readingOrder="0"/>
    </dxf>
    <dxf>
      <font>
        <b val="0"/>
        <i val="0"/>
        <strike val="0"/>
        <condense val="0"/>
        <extend val="0"/>
        <outline val="0"/>
        <shadow val="0"/>
        <u val="none"/>
        <vertAlign val="baseline"/>
        <sz val="12"/>
        <color theme="1"/>
        <name val="Aptos Narrow"/>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scheme val="none"/>
      </font>
      <numFmt numFmtId="165" formatCode="&quot;$&quot;#,##0"/>
      <alignment horizontal="right" vertical="center" textRotation="0" wrapText="0" indent="0" justifyLastLine="0" shrinkToFit="0" readingOrder="0"/>
    </dxf>
    <dxf>
      <font>
        <b val="0"/>
        <i val="0"/>
        <strike val="0"/>
        <condense val="0"/>
        <extend val="0"/>
        <outline val="0"/>
        <shadow val="0"/>
        <u val="none"/>
        <vertAlign val="baseline"/>
        <sz val="12"/>
        <color theme="1"/>
        <name val="Aptos Narrow"/>
        <scheme val="none"/>
      </font>
      <numFmt numFmtId="165" formatCode="&quot;$&quot;#,##0"/>
      <alignment horizontal="right" vertical="center" textRotation="0" wrapText="0" indent="0" justifyLastLine="0" shrinkToFit="0" readingOrder="0"/>
    </dxf>
    <dxf>
      <font>
        <b val="0"/>
        <i val="0"/>
        <strike val="0"/>
        <condense val="0"/>
        <extend val="0"/>
        <outline val="0"/>
        <shadow val="0"/>
        <u val="none"/>
        <vertAlign val="baseline"/>
        <sz val="12"/>
        <color theme="1"/>
        <name val="Aptos Narrow"/>
        <scheme val="none"/>
      </font>
      <numFmt numFmtId="165" formatCode="&quot;$&quot;#,##0"/>
      <alignment horizontal="right" vertical="center" textRotation="0" wrapText="0" indent="0" justifyLastLine="0" shrinkToFit="0" readingOrder="0"/>
    </dxf>
    <dxf>
      <font>
        <b val="0"/>
        <i val="0"/>
        <strike val="0"/>
        <condense val="0"/>
        <extend val="0"/>
        <outline val="0"/>
        <shadow val="0"/>
        <u val="none"/>
        <vertAlign val="baseline"/>
        <sz val="12"/>
        <color theme="1"/>
        <name val="Aptos Narrow"/>
        <scheme val="none"/>
      </font>
      <alignment horizontal="right" vertical="center" textRotation="0" wrapText="0" indent="0" justifyLastLine="0" shrinkToFit="0" readingOrder="0"/>
    </dxf>
    <dxf>
      <border outline="0">
        <bottom style="thin">
          <color theme="4" tint="0.39997558519241921"/>
        </bottom>
      </border>
    </dxf>
    <dxf>
      <font>
        <b val="0"/>
        <i val="0"/>
        <strike val="0"/>
        <condense val="0"/>
        <extend val="0"/>
        <outline val="0"/>
        <shadow val="0"/>
        <u val="none"/>
        <vertAlign val="baseline"/>
        <sz val="12"/>
        <color theme="1"/>
        <name val="Aptos Narrow"/>
        <scheme val="none"/>
      </font>
      <alignment horizontal="right" vertical="center" textRotation="0" wrapText="0" indent="0" justifyLastLine="0" shrinkToFit="0" readingOrder="0"/>
    </dxf>
    <dxf>
      <font>
        <b/>
        <i val="0"/>
        <strike val="0"/>
        <condense val="0"/>
        <extend val="0"/>
        <outline val="0"/>
        <shadow val="0"/>
        <u val="none"/>
        <vertAlign val="baseline"/>
        <sz val="12"/>
        <color theme="1" tint="0.249977111117893"/>
        <name val="Aptos Narrow"/>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center"/>
      <border diagonalUp="0" diagonalDown="0">
        <left/>
        <right/>
        <top style="thin">
          <color theme="4" tint="0.39997558519241921"/>
        </top>
        <bottom/>
        <vertical/>
        <horizontal/>
      </border>
    </dxf>
    <dxf>
      <numFmt numFmtId="34" formatCode="_(&quot;$&quot;* #,##0.00_);_(&quot;$&quot;* \(#,##0.00\);_(&quot;$&quot;* &quot;-&quot;??_);_(@_)"/>
      <alignment horizontal="center"/>
      <border diagonalUp="0" diagonalDown="0">
        <left/>
        <right/>
        <top style="thin">
          <color theme="4" tint="0.39997558519241921"/>
        </top>
        <bottom/>
        <vertical/>
        <horizontal/>
      </border>
    </dxf>
    <dxf>
      <numFmt numFmtId="3" formatCode="#,##0"/>
      <alignment horizontal="center"/>
      <border diagonalUp="0" diagonalDown="0">
        <left/>
        <right/>
        <top style="thin">
          <color theme="4" tint="0.39997558519241921"/>
        </top>
        <bottom/>
        <vertical/>
        <horizontal/>
      </border>
    </dxf>
    <dxf>
      <alignment horizontal="center"/>
      <border diagonalUp="0" diagonalDown="0">
        <left/>
        <right/>
        <top style="thin">
          <color theme="4" tint="0.39997558519241921"/>
        </top>
        <bottom/>
        <vertical/>
        <horizontal/>
      </border>
    </dxf>
    <dxf>
      <alignment horizontal="center"/>
      <border diagonalUp="0" diagonalDown="0">
        <left/>
        <right/>
        <top style="thin">
          <color theme="4" tint="0.39997558519241921"/>
        </top>
        <bottom/>
        <vertical/>
        <horizontal/>
      </border>
    </dxf>
    <dxf>
      <alignment horizontal="center"/>
      <border diagonalUp="0" diagonalDown="0">
        <left/>
        <right/>
        <top style="thin">
          <color theme="4" tint="0.39997558519241921"/>
        </top>
        <bottom/>
        <vertical/>
        <horizontal/>
      </border>
    </dxf>
    <dxf>
      <numFmt numFmtId="165" formatCode="&quot;$&quot;#,##0"/>
      <alignment horizontal="center"/>
      <border diagonalUp="0" diagonalDown="0">
        <left/>
        <right/>
        <top style="thin">
          <color theme="4" tint="0.39997558519241921"/>
        </top>
        <bottom/>
        <vertical/>
        <horizontal/>
      </border>
    </dxf>
    <dxf>
      <alignment horizontal="center"/>
      <border diagonalUp="0" diagonalDown="0">
        <left style="thin">
          <color theme="4" tint="0.39997558519241921"/>
        </left>
        <right/>
        <top style="thin">
          <color theme="4" tint="0.39997558519241921"/>
        </top>
        <bottom/>
        <vertical/>
        <horizontal/>
      </border>
    </dxf>
    <dxf>
      <alignment horizontal="center"/>
      <border diagonalUp="0" diagonalDown="0">
        <left/>
        <right style="thin">
          <color theme="4" tint="0.39997558519241921"/>
        </right>
        <top style="thin">
          <color theme="4" tint="0.39997558519241921"/>
        </top>
        <bottom/>
        <vertical/>
        <horizontal/>
      </border>
    </dxf>
    <dxf>
      <alignment horizontal="center"/>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center"/>
    </dxf>
    <dxf>
      <font>
        <b/>
        <i val="0"/>
        <strike val="0"/>
        <condense val="0"/>
        <extend val="0"/>
        <outline val="0"/>
        <shadow val="0"/>
        <u val="none"/>
        <vertAlign val="baseline"/>
        <sz val="12"/>
        <color theme="0"/>
        <name val="Aptos Narrow"/>
        <family val="2"/>
        <scheme val="minor"/>
      </font>
      <fill>
        <patternFill patternType="solid">
          <fgColor theme="4"/>
          <bgColor theme="4"/>
        </patternFill>
      </fill>
      <alignment horizontal="center"/>
    </dxf>
    <dxf>
      <numFmt numFmtId="167" formatCode="_([$$-409]* #,##0.00_);_([$$-409]* \(#,##0.00\);_([$$-409]* &quot;-&quot;??_);_(@_)"/>
    </dxf>
    <dxf>
      <numFmt numFmtId="167" formatCode="_([$$-409]* #,##0.00_);_([$$-409]* \(#,##0.00\);_([$$-409]* &quot;-&quot;??_);_(@_)"/>
    </dxf>
    <dxf>
      <numFmt numFmtId="2" formatCode="0.00"/>
    </dxf>
    <dxf>
      <numFmt numFmtId="167" formatCode="_([$$-409]* #,##0.00_);_([$$-409]* \(#,##0.00\);_([$$-409]* &quot;-&quot;??_);_(@_)"/>
    </dxf>
    <dxf>
      <numFmt numFmtId="34" formatCode="_(&quot;$&quot;* #,##0.00_);_(&quot;$&quot;* \(#,##0.00\);_(&quot;$&quot;* &quot;-&quot;??_);_(@_)"/>
    </dxf>
    <dxf>
      <numFmt numFmtId="1" formatCode="0"/>
    </dxf>
    <dxf>
      <numFmt numFmtId="167" formatCode="_([$$-409]* #,##0.00_);_([$$-409]* \(#,##0.00\);_([$$-409]* &quot;-&quot;??_);_(@_)"/>
    </dxf>
    <dxf>
      <numFmt numFmtId="1" formatCode="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E2841"/>
                </a:solidFill>
                <a:latin typeface="+mn-lt"/>
                <a:ea typeface="+mn-ea"/>
                <a:cs typeface="+mn-cs"/>
              </a:defRPr>
            </a:pPr>
            <a:r>
              <a:rPr lang="en-US"/>
              <a:t>Min-Max-Average Prices by City</a:t>
            </a:r>
          </a:p>
        </c:rich>
      </c:tx>
      <c:layout>
        <c:manualLayout>
          <c:xMode val="edge"/>
          <c:yMode val="edge"/>
          <c:x val="0.47124540367705825"/>
          <c:y val="1.275917065390749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0E2841"/>
              </a:solidFill>
              <a:latin typeface="+mn-lt"/>
              <a:ea typeface="+mn-ea"/>
              <a:cs typeface="+mn-cs"/>
            </a:defRPr>
          </a:pPr>
          <a:endParaRPr lang="en-US"/>
        </a:p>
      </c:txPr>
    </c:title>
    <c:autoTitleDeleted val="0"/>
    <c:plotArea>
      <c:layout/>
      <c:lineChart>
        <c:grouping val="standard"/>
        <c:varyColors val="0"/>
        <c:ser>
          <c:idx val="0"/>
          <c:order val="0"/>
          <c:tx>
            <c:strRef>
              <c:f>'Averages by City (Data Table)'!$B$1</c:f>
              <c:strCache>
                <c:ptCount val="1"/>
                <c:pt idx="0">
                  <c:v>Min of Price</c:v>
                </c:pt>
              </c:strCache>
            </c:strRef>
          </c:tx>
          <c:spPr>
            <a:ln w="28575" cap="rnd">
              <a:solidFill>
                <a:schemeClr val="accent1"/>
              </a:solidFill>
              <a:round/>
            </a:ln>
            <a:effectLst/>
          </c:spPr>
          <c:marker>
            <c:symbol val="none"/>
          </c:marker>
          <c:cat>
            <c:strRef>
              <c:f>'Averages by City (Data Table)'!$A$2:$A$88</c:f>
              <c:strCache>
                <c:ptCount val="87"/>
                <c:pt idx="0">
                  <c:v>Addison Twp</c:v>
                </c:pt>
                <c:pt idx="1">
                  <c:v>Armada Twp</c:v>
                </c:pt>
                <c:pt idx="2">
                  <c:v>Armada Vlg</c:v>
                </c:pt>
                <c:pt idx="3">
                  <c:v>Auburn Hills</c:v>
                </c:pt>
                <c:pt idx="4">
                  <c:v>Berkley</c:v>
                </c:pt>
                <c:pt idx="5">
                  <c:v>Beverly Hills</c:v>
                </c:pt>
                <c:pt idx="6">
                  <c:v>Beverly Hills Vlg</c:v>
                </c:pt>
                <c:pt idx="7">
                  <c:v>Birmingham</c:v>
                </c:pt>
                <c:pt idx="8">
                  <c:v>Bloomfield Hills</c:v>
                </c:pt>
                <c:pt idx="9">
                  <c:v>Bloomfield Twp</c:v>
                </c:pt>
                <c:pt idx="10">
                  <c:v>Brandon Twp</c:v>
                </c:pt>
                <c:pt idx="11">
                  <c:v>Bruce Twp</c:v>
                </c:pt>
                <c:pt idx="12">
                  <c:v>Center Line</c:v>
                </c:pt>
                <c:pt idx="13">
                  <c:v>Chesterfield Twp</c:v>
                </c:pt>
                <c:pt idx="14">
                  <c:v>City of Macomb</c:v>
                </c:pt>
                <c:pt idx="15">
                  <c:v>Clawson</c:v>
                </c:pt>
                <c:pt idx="16">
                  <c:v>Clinton Twp</c:v>
                </c:pt>
                <c:pt idx="17">
                  <c:v>Commerce Twp</c:v>
                </c:pt>
                <c:pt idx="18">
                  <c:v>Eastpointe</c:v>
                </c:pt>
                <c:pt idx="19">
                  <c:v>Farmington</c:v>
                </c:pt>
                <c:pt idx="20">
                  <c:v>Farmington Hills</c:v>
                </c:pt>
                <c:pt idx="21">
                  <c:v>Ferndale</c:v>
                </c:pt>
                <c:pt idx="22">
                  <c:v>Franklin Vlg</c:v>
                </c:pt>
                <c:pt idx="23">
                  <c:v>Fraser</c:v>
                </c:pt>
                <c:pt idx="24">
                  <c:v>Groveland Twp</c:v>
                </c:pt>
                <c:pt idx="25">
                  <c:v>Harrison Twp</c:v>
                </c:pt>
                <c:pt idx="26">
                  <c:v>Hazel Park</c:v>
                </c:pt>
                <c:pt idx="27">
                  <c:v>Highland Twp</c:v>
                </c:pt>
                <c:pt idx="28">
                  <c:v>Holly Twp</c:v>
                </c:pt>
                <c:pt idx="29">
                  <c:v>Holly Vlg</c:v>
                </c:pt>
                <c:pt idx="30">
                  <c:v>Huntington Woods</c:v>
                </c:pt>
                <c:pt idx="31">
                  <c:v>Independence Twp</c:v>
                </c:pt>
                <c:pt idx="32">
                  <c:v>Keego Harbor</c:v>
                </c:pt>
                <c:pt idx="33">
                  <c:v>Lake Orion</c:v>
                </c:pt>
                <c:pt idx="34">
                  <c:v>Lake Orion Vlg</c:v>
                </c:pt>
                <c:pt idx="35">
                  <c:v>Lathrup Village</c:v>
                </c:pt>
                <c:pt idx="36">
                  <c:v>Lenox Twp</c:v>
                </c:pt>
                <c:pt idx="37">
                  <c:v>Lyon Twp</c:v>
                </c:pt>
                <c:pt idx="38">
                  <c:v>Macomb Twp</c:v>
                </c:pt>
                <c:pt idx="39">
                  <c:v>Madison Heights</c:v>
                </c:pt>
                <c:pt idx="40">
                  <c:v>Memphis</c:v>
                </c:pt>
                <c:pt idx="41">
                  <c:v>Milford Twp</c:v>
                </c:pt>
                <c:pt idx="42">
                  <c:v>Milford Vlg</c:v>
                </c:pt>
                <c:pt idx="43">
                  <c:v>Mt. Clemens</c:v>
                </c:pt>
                <c:pt idx="44">
                  <c:v>New Baltimore</c:v>
                </c:pt>
                <c:pt idx="45">
                  <c:v>New Haven Vlg</c:v>
                </c:pt>
                <c:pt idx="46">
                  <c:v>Northville</c:v>
                </c:pt>
                <c:pt idx="47">
                  <c:v>Novi</c:v>
                </c:pt>
                <c:pt idx="48">
                  <c:v>Oak Park</c:v>
                </c:pt>
                <c:pt idx="49">
                  <c:v>Oakland Twp</c:v>
                </c:pt>
                <c:pt idx="50">
                  <c:v>Orchard Lake Village</c:v>
                </c:pt>
                <c:pt idx="51">
                  <c:v>Orion Twp</c:v>
                </c:pt>
                <c:pt idx="52">
                  <c:v>Ortonville Vlg</c:v>
                </c:pt>
                <c:pt idx="53">
                  <c:v>Oxford Twp</c:v>
                </c:pt>
                <c:pt idx="54">
                  <c:v>Oxford Vlg</c:v>
                </c:pt>
                <c:pt idx="55">
                  <c:v>Pleasant Ridge</c:v>
                </c:pt>
                <c:pt idx="56">
                  <c:v>Pontiac</c:v>
                </c:pt>
                <c:pt idx="57">
                  <c:v>Ray Twp</c:v>
                </c:pt>
                <c:pt idx="58">
                  <c:v>Richmond</c:v>
                </c:pt>
                <c:pt idx="59">
                  <c:v>Richmond Twp</c:v>
                </c:pt>
                <c:pt idx="60">
                  <c:v>Rochester</c:v>
                </c:pt>
                <c:pt idx="61">
                  <c:v>Rochester Hills</c:v>
                </c:pt>
                <c:pt idx="62">
                  <c:v>Romeo Vlg</c:v>
                </c:pt>
                <c:pt idx="63">
                  <c:v>Rose Twp</c:v>
                </c:pt>
                <c:pt idx="64">
                  <c:v>Roseville</c:v>
                </c:pt>
                <c:pt idx="65">
                  <c:v>Royal Oak</c:v>
                </c:pt>
                <c:pt idx="66">
                  <c:v>Royal Oak Twp</c:v>
                </c:pt>
                <c:pt idx="67">
                  <c:v>Shelby Twp</c:v>
                </c:pt>
                <c:pt idx="68">
                  <c:v>South Lyon</c:v>
                </c:pt>
                <c:pt idx="69">
                  <c:v>Southfield</c:v>
                </c:pt>
                <c:pt idx="70">
                  <c:v>Springfield Twp</c:v>
                </c:pt>
                <c:pt idx="71">
                  <c:v>St. Clair Shores</c:v>
                </c:pt>
                <c:pt idx="72">
                  <c:v>Sterling Heights</c:v>
                </c:pt>
                <c:pt idx="73">
                  <c:v>Sylvan Lake</c:v>
                </c:pt>
                <c:pt idx="74">
                  <c:v>Troy</c:v>
                </c:pt>
                <c:pt idx="75">
                  <c:v>Utica</c:v>
                </c:pt>
                <c:pt idx="76">
                  <c:v>Village Of Clarkston</c:v>
                </c:pt>
                <c:pt idx="77">
                  <c:v>Walled Lake</c:v>
                </c:pt>
                <c:pt idx="78">
                  <c:v>Warren</c:v>
                </c:pt>
                <c:pt idx="79">
                  <c:v>Washington Twp</c:v>
                </c:pt>
                <c:pt idx="80">
                  <c:v>Waterford Twp</c:v>
                </c:pt>
                <c:pt idx="81">
                  <c:v>West Bloomfield Twp</c:v>
                </c:pt>
                <c:pt idx="82">
                  <c:v>White Lake Twp</c:v>
                </c:pt>
                <c:pt idx="83">
                  <c:v>Wixom</c:v>
                </c:pt>
                <c:pt idx="84">
                  <c:v>Wolverine Lake Vlg</c:v>
                </c:pt>
                <c:pt idx="85">
                  <c:v>(blank)</c:v>
                </c:pt>
                <c:pt idx="86">
                  <c:v>Grand Total</c:v>
                </c:pt>
              </c:strCache>
            </c:strRef>
          </c:cat>
          <c:val>
            <c:numRef>
              <c:f>'Averages by City (Data Table)'!$B$2:$B$88</c:f>
              <c:numCache>
                <c:formatCode>"$"#,##0</c:formatCode>
                <c:ptCount val="87"/>
                <c:pt idx="0">
                  <c:v>435000</c:v>
                </c:pt>
                <c:pt idx="1">
                  <c:v>100000</c:v>
                </c:pt>
                <c:pt idx="2">
                  <c:v>210000</c:v>
                </c:pt>
                <c:pt idx="3">
                  <c:v>45000</c:v>
                </c:pt>
                <c:pt idx="4">
                  <c:v>175000</c:v>
                </c:pt>
                <c:pt idx="5">
                  <c:v>737000</c:v>
                </c:pt>
                <c:pt idx="6">
                  <c:v>269000</c:v>
                </c:pt>
                <c:pt idx="7">
                  <c:v>259000</c:v>
                </c:pt>
                <c:pt idx="8">
                  <c:v>420000</c:v>
                </c:pt>
                <c:pt idx="9">
                  <c:v>315000</c:v>
                </c:pt>
                <c:pt idx="10">
                  <c:v>135000</c:v>
                </c:pt>
                <c:pt idx="11">
                  <c:v>307000</c:v>
                </c:pt>
                <c:pt idx="12">
                  <c:v>85000</c:v>
                </c:pt>
                <c:pt idx="13">
                  <c:v>97000</c:v>
                </c:pt>
                <c:pt idx="14">
                  <c:v>225000</c:v>
                </c:pt>
                <c:pt idx="15">
                  <c:v>195000</c:v>
                </c:pt>
                <c:pt idx="16">
                  <c:v>55000</c:v>
                </c:pt>
                <c:pt idx="17">
                  <c:v>95500</c:v>
                </c:pt>
                <c:pt idx="18">
                  <c:v>41500</c:v>
                </c:pt>
                <c:pt idx="19">
                  <c:v>235000</c:v>
                </c:pt>
                <c:pt idx="20">
                  <c:v>93000</c:v>
                </c:pt>
                <c:pt idx="21">
                  <c:v>54000</c:v>
                </c:pt>
                <c:pt idx="22">
                  <c:v>412000</c:v>
                </c:pt>
                <c:pt idx="23">
                  <c:v>175000</c:v>
                </c:pt>
                <c:pt idx="24">
                  <c:v>178000</c:v>
                </c:pt>
                <c:pt idx="25">
                  <c:v>150000</c:v>
                </c:pt>
                <c:pt idx="26">
                  <c:v>60000</c:v>
                </c:pt>
                <c:pt idx="27">
                  <c:v>120000</c:v>
                </c:pt>
                <c:pt idx="28">
                  <c:v>80000</c:v>
                </c:pt>
                <c:pt idx="29">
                  <c:v>160000</c:v>
                </c:pt>
                <c:pt idx="30">
                  <c:v>352500</c:v>
                </c:pt>
                <c:pt idx="31">
                  <c:v>187500</c:v>
                </c:pt>
                <c:pt idx="32">
                  <c:v>148250</c:v>
                </c:pt>
                <c:pt idx="33">
                  <c:v>623000</c:v>
                </c:pt>
                <c:pt idx="34">
                  <c:v>219900</c:v>
                </c:pt>
                <c:pt idx="35">
                  <c:v>299655</c:v>
                </c:pt>
                <c:pt idx="36">
                  <c:v>55000</c:v>
                </c:pt>
                <c:pt idx="37">
                  <c:v>234900</c:v>
                </c:pt>
                <c:pt idx="38">
                  <c:v>17000</c:v>
                </c:pt>
                <c:pt idx="39">
                  <c:v>70000</c:v>
                </c:pt>
                <c:pt idx="40">
                  <c:v>127500</c:v>
                </c:pt>
                <c:pt idx="41">
                  <c:v>335000</c:v>
                </c:pt>
                <c:pt idx="42">
                  <c:v>252000</c:v>
                </c:pt>
                <c:pt idx="43">
                  <c:v>40000</c:v>
                </c:pt>
                <c:pt idx="44">
                  <c:v>250000</c:v>
                </c:pt>
                <c:pt idx="45">
                  <c:v>105000</c:v>
                </c:pt>
                <c:pt idx="46">
                  <c:v>400000</c:v>
                </c:pt>
                <c:pt idx="47">
                  <c:v>12000</c:v>
                </c:pt>
                <c:pt idx="48">
                  <c:v>97500</c:v>
                </c:pt>
                <c:pt idx="49">
                  <c:v>200000</c:v>
                </c:pt>
                <c:pt idx="50">
                  <c:v>610000</c:v>
                </c:pt>
                <c:pt idx="51">
                  <c:v>95000</c:v>
                </c:pt>
                <c:pt idx="52">
                  <c:v>360000</c:v>
                </c:pt>
                <c:pt idx="53">
                  <c:v>289900</c:v>
                </c:pt>
                <c:pt idx="54">
                  <c:v>197000</c:v>
                </c:pt>
                <c:pt idx="55">
                  <c:v>287450</c:v>
                </c:pt>
                <c:pt idx="56">
                  <c:v>10000</c:v>
                </c:pt>
                <c:pt idx="57">
                  <c:v>185000</c:v>
                </c:pt>
                <c:pt idx="58">
                  <c:v>145000</c:v>
                </c:pt>
                <c:pt idx="59">
                  <c:v>270000</c:v>
                </c:pt>
                <c:pt idx="60">
                  <c:v>300000</c:v>
                </c:pt>
                <c:pt idx="61">
                  <c:v>21000</c:v>
                </c:pt>
                <c:pt idx="62">
                  <c:v>190000</c:v>
                </c:pt>
                <c:pt idx="63">
                  <c:v>300000</c:v>
                </c:pt>
                <c:pt idx="64">
                  <c:v>20000</c:v>
                </c:pt>
                <c:pt idx="65">
                  <c:v>127500</c:v>
                </c:pt>
                <c:pt idx="66">
                  <c:v>135000</c:v>
                </c:pt>
                <c:pt idx="67">
                  <c:v>122000</c:v>
                </c:pt>
                <c:pt idx="68">
                  <c:v>105000</c:v>
                </c:pt>
                <c:pt idx="69">
                  <c:v>94000</c:v>
                </c:pt>
                <c:pt idx="70">
                  <c:v>185000</c:v>
                </c:pt>
                <c:pt idx="71">
                  <c:v>75000</c:v>
                </c:pt>
                <c:pt idx="72">
                  <c:v>65000</c:v>
                </c:pt>
                <c:pt idx="73">
                  <c:v>200000</c:v>
                </c:pt>
                <c:pt idx="74">
                  <c:v>155000</c:v>
                </c:pt>
                <c:pt idx="75">
                  <c:v>177500</c:v>
                </c:pt>
                <c:pt idx="76">
                  <c:v>38000</c:v>
                </c:pt>
                <c:pt idx="77">
                  <c:v>199000</c:v>
                </c:pt>
                <c:pt idx="78">
                  <c:v>20000</c:v>
                </c:pt>
                <c:pt idx="79">
                  <c:v>180000</c:v>
                </c:pt>
                <c:pt idx="80">
                  <c:v>90000</c:v>
                </c:pt>
                <c:pt idx="81">
                  <c:v>172000</c:v>
                </c:pt>
                <c:pt idx="82">
                  <c:v>80500</c:v>
                </c:pt>
                <c:pt idx="83">
                  <c:v>313000</c:v>
                </c:pt>
                <c:pt idx="84">
                  <c:v>198000</c:v>
                </c:pt>
                <c:pt idx="85">
                  <c:v>177000</c:v>
                </c:pt>
                <c:pt idx="86">
                  <c:v>10000</c:v>
                </c:pt>
              </c:numCache>
            </c:numRef>
          </c:val>
          <c:smooth val="0"/>
          <c:extLst>
            <c:ext xmlns:c16="http://schemas.microsoft.com/office/drawing/2014/chart" uri="{C3380CC4-5D6E-409C-BE32-E72D297353CC}">
              <c16:uniqueId val="{00000000-8589-4264-A65D-2D9DA4837892}"/>
            </c:ext>
          </c:extLst>
        </c:ser>
        <c:ser>
          <c:idx val="1"/>
          <c:order val="1"/>
          <c:tx>
            <c:strRef>
              <c:f>'Averages by City (Data Table)'!$C$1</c:f>
              <c:strCache>
                <c:ptCount val="1"/>
                <c:pt idx="0">
                  <c:v>Max of Price</c:v>
                </c:pt>
              </c:strCache>
            </c:strRef>
          </c:tx>
          <c:spPr>
            <a:ln w="28575" cap="rnd">
              <a:solidFill>
                <a:schemeClr val="accent2"/>
              </a:solidFill>
              <a:round/>
            </a:ln>
            <a:effectLst/>
          </c:spPr>
          <c:marker>
            <c:symbol val="none"/>
          </c:marker>
          <c:cat>
            <c:strRef>
              <c:f>'Averages by City (Data Table)'!$A$2:$A$88</c:f>
              <c:strCache>
                <c:ptCount val="87"/>
                <c:pt idx="0">
                  <c:v>Addison Twp</c:v>
                </c:pt>
                <c:pt idx="1">
                  <c:v>Armada Twp</c:v>
                </c:pt>
                <c:pt idx="2">
                  <c:v>Armada Vlg</c:v>
                </c:pt>
                <c:pt idx="3">
                  <c:v>Auburn Hills</c:v>
                </c:pt>
                <c:pt idx="4">
                  <c:v>Berkley</c:v>
                </c:pt>
                <c:pt idx="5">
                  <c:v>Beverly Hills</c:v>
                </c:pt>
                <c:pt idx="6">
                  <c:v>Beverly Hills Vlg</c:v>
                </c:pt>
                <c:pt idx="7">
                  <c:v>Birmingham</c:v>
                </c:pt>
                <c:pt idx="8">
                  <c:v>Bloomfield Hills</c:v>
                </c:pt>
                <c:pt idx="9">
                  <c:v>Bloomfield Twp</c:v>
                </c:pt>
                <c:pt idx="10">
                  <c:v>Brandon Twp</c:v>
                </c:pt>
                <c:pt idx="11">
                  <c:v>Bruce Twp</c:v>
                </c:pt>
                <c:pt idx="12">
                  <c:v>Center Line</c:v>
                </c:pt>
                <c:pt idx="13">
                  <c:v>Chesterfield Twp</c:v>
                </c:pt>
                <c:pt idx="14">
                  <c:v>City of Macomb</c:v>
                </c:pt>
                <c:pt idx="15">
                  <c:v>Clawson</c:v>
                </c:pt>
                <c:pt idx="16">
                  <c:v>Clinton Twp</c:v>
                </c:pt>
                <c:pt idx="17">
                  <c:v>Commerce Twp</c:v>
                </c:pt>
                <c:pt idx="18">
                  <c:v>Eastpointe</c:v>
                </c:pt>
                <c:pt idx="19">
                  <c:v>Farmington</c:v>
                </c:pt>
                <c:pt idx="20">
                  <c:v>Farmington Hills</c:v>
                </c:pt>
                <c:pt idx="21">
                  <c:v>Ferndale</c:v>
                </c:pt>
                <c:pt idx="22">
                  <c:v>Franklin Vlg</c:v>
                </c:pt>
                <c:pt idx="23">
                  <c:v>Fraser</c:v>
                </c:pt>
                <c:pt idx="24">
                  <c:v>Groveland Twp</c:v>
                </c:pt>
                <c:pt idx="25">
                  <c:v>Harrison Twp</c:v>
                </c:pt>
                <c:pt idx="26">
                  <c:v>Hazel Park</c:v>
                </c:pt>
                <c:pt idx="27">
                  <c:v>Highland Twp</c:v>
                </c:pt>
                <c:pt idx="28">
                  <c:v>Holly Twp</c:v>
                </c:pt>
                <c:pt idx="29">
                  <c:v>Holly Vlg</c:v>
                </c:pt>
                <c:pt idx="30">
                  <c:v>Huntington Woods</c:v>
                </c:pt>
                <c:pt idx="31">
                  <c:v>Independence Twp</c:v>
                </c:pt>
                <c:pt idx="32">
                  <c:v>Keego Harbor</c:v>
                </c:pt>
                <c:pt idx="33">
                  <c:v>Lake Orion</c:v>
                </c:pt>
                <c:pt idx="34">
                  <c:v>Lake Orion Vlg</c:v>
                </c:pt>
                <c:pt idx="35">
                  <c:v>Lathrup Village</c:v>
                </c:pt>
                <c:pt idx="36">
                  <c:v>Lenox Twp</c:v>
                </c:pt>
                <c:pt idx="37">
                  <c:v>Lyon Twp</c:v>
                </c:pt>
                <c:pt idx="38">
                  <c:v>Macomb Twp</c:v>
                </c:pt>
                <c:pt idx="39">
                  <c:v>Madison Heights</c:v>
                </c:pt>
                <c:pt idx="40">
                  <c:v>Memphis</c:v>
                </c:pt>
                <c:pt idx="41">
                  <c:v>Milford Twp</c:v>
                </c:pt>
                <c:pt idx="42">
                  <c:v>Milford Vlg</c:v>
                </c:pt>
                <c:pt idx="43">
                  <c:v>Mt. Clemens</c:v>
                </c:pt>
                <c:pt idx="44">
                  <c:v>New Baltimore</c:v>
                </c:pt>
                <c:pt idx="45">
                  <c:v>New Haven Vlg</c:v>
                </c:pt>
                <c:pt idx="46">
                  <c:v>Northville</c:v>
                </c:pt>
                <c:pt idx="47">
                  <c:v>Novi</c:v>
                </c:pt>
                <c:pt idx="48">
                  <c:v>Oak Park</c:v>
                </c:pt>
                <c:pt idx="49">
                  <c:v>Oakland Twp</c:v>
                </c:pt>
                <c:pt idx="50">
                  <c:v>Orchard Lake Village</c:v>
                </c:pt>
                <c:pt idx="51">
                  <c:v>Orion Twp</c:v>
                </c:pt>
                <c:pt idx="52">
                  <c:v>Ortonville Vlg</c:v>
                </c:pt>
                <c:pt idx="53">
                  <c:v>Oxford Twp</c:v>
                </c:pt>
                <c:pt idx="54">
                  <c:v>Oxford Vlg</c:v>
                </c:pt>
                <c:pt idx="55">
                  <c:v>Pleasant Ridge</c:v>
                </c:pt>
                <c:pt idx="56">
                  <c:v>Pontiac</c:v>
                </c:pt>
                <c:pt idx="57">
                  <c:v>Ray Twp</c:v>
                </c:pt>
                <c:pt idx="58">
                  <c:v>Richmond</c:v>
                </c:pt>
                <c:pt idx="59">
                  <c:v>Richmond Twp</c:v>
                </c:pt>
                <c:pt idx="60">
                  <c:v>Rochester</c:v>
                </c:pt>
                <c:pt idx="61">
                  <c:v>Rochester Hills</c:v>
                </c:pt>
                <c:pt idx="62">
                  <c:v>Romeo Vlg</c:v>
                </c:pt>
                <c:pt idx="63">
                  <c:v>Rose Twp</c:v>
                </c:pt>
                <c:pt idx="64">
                  <c:v>Roseville</c:v>
                </c:pt>
                <c:pt idx="65">
                  <c:v>Royal Oak</c:v>
                </c:pt>
                <c:pt idx="66">
                  <c:v>Royal Oak Twp</c:v>
                </c:pt>
                <c:pt idx="67">
                  <c:v>Shelby Twp</c:v>
                </c:pt>
                <c:pt idx="68">
                  <c:v>South Lyon</c:v>
                </c:pt>
                <c:pt idx="69">
                  <c:v>Southfield</c:v>
                </c:pt>
                <c:pt idx="70">
                  <c:v>Springfield Twp</c:v>
                </c:pt>
                <c:pt idx="71">
                  <c:v>St. Clair Shores</c:v>
                </c:pt>
                <c:pt idx="72">
                  <c:v>Sterling Heights</c:v>
                </c:pt>
                <c:pt idx="73">
                  <c:v>Sylvan Lake</c:v>
                </c:pt>
                <c:pt idx="74">
                  <c:v>Troy</c:v>
                </c:pt>
                <c:pt idx="75">
                  <c:v>Utica</c:v>
                </c:pt>
                <c:pt idx="76">
                  <c:v>Village Of Clarkston</c:v>
                </c:pt>
                <c:pt idx="77">
                  <c:v>Walled Lake</c:v>
                </c:pt>
                <c:pt idx="78">
                  <c:v>Warren</c:v>
                </c:pt>
                <c:pt idx="79">
                  <c:v>Washington Twp</c:v>
                </c:pt>
                <c:pt idx="80">
                  <c:v>Waterford Twp</c:v>
                </c:pt>
                <c:pt idx="81">
                  <c:v>West Bloomfield Twp</c:v>
                </c:pt>
                <c:pt idx="82">
                  <c:v>White Lake Twp</c:v>
                </c:pt>
                <c:pt idx="83">
                  <c:v>Wixom</c:v>
                </c:pt>
                <c:pt idx="84">
                  <c:v>Wolverine Lake Vlg</c:v>
                </c:pt>
                <c:pt idx="85">
                  <c:v>(blank)</c:v>
                </c:pt>
                <c:pt idx="86">
                  <c:v>Grand Total</c:v>
                </c:pt>
              </c:strCache>
            </c:strRef>
          </c:cat>
          <c:val>
            <c:numRef>
              <c:f>'Averages by City (Data Table)'!$C$2:$C$88</c:f>
              <c:numCache>
                <c:formatCode>"$"#,##0</c:formatCode>
                <c:ptCount val="87"/>
                <c:pt idx="0">
                  <c:v>1525000</c:v>
                </c:pt>
                <c:pt idx="1">
                  <c:v>500000</c:v>
                </c:pt>
                <c:pt idx="2">
                  <c:v>238000</c:v>
                </c:pt>
                <c:pt idx="3">
                  <c:v>515000</c:v>
                </c:pt>
                <c:pt idx="4">
                  <c:v>665000</c:v>
                </c:pt>
                <c:pt idx="5">
                  <c:v>737000</c:v>
                </c:pt>
                <c:pt idx="6">
                  <c:v>999000</c:v>
                </c:pt>
                <c:pt idx="7">
                  <c:v>3250000</c:v>
                </c:pt>
                <c:pt idx="8">
                  <c:v>4500000</c:v>
                </c:pt>
                <c:pt idx="9">
                  <c:v>2950000</c:v>
                </c:pt>
                <c:pt idx="10">
                  <c:v>456000</c:v>
                </c:pt>
                <c:pt idx="11">
                  <c:v>1737500</c:v>
                </c:pt>
                <c:pt idx="12">
                  <c:v>255000</c:v>
                </c:pt>
                <c:pt idx="13">
                  <c:v>1583700</c:v>
                </c:pt>
                <c:pt idx="14">
                  <c:v>295000</c:v>
                </c:pt>
                <c:pt idx="15">
                  <c:v>617387</c:v>
                </c:pt>
                <c:pt idx="16">
                  <c:v>1250000</c:v>
                </c:pt>
                <c:pt idx="17">
                  <c:v>1100000</c:v>
                </c:pt>
                <c:pt idx="18">
                  <c:v>280000</c:v>
                </c:pt>
                <c:pt idx="19">
                  <c:v>658790</c:v>
                </c:pt>
                <c:pt idx="20">
                  <c:v>675000</c:v>
                </c:pt>
                <c:pt idx="21">
                  <c:v>568000</c:v>
                </c:pt>
                <c:pt idx="22">
                  <c:v>705000</c:v>
                </c:pt>
                <c:pt idx="23">
                  <c:v>525000</c:v>
                </c:pt>
                <c:pt idx="24">
                  <c:v>850000</c:v>
                </c:pt>
                <c:pt idx="25">
                  <c:v>880000</c:v>
                </c:pt>
                <c:pt idx="26">
                  <c:v>360000</c:v>
                </c:pt>
                <c:pt idx="27">
                  <c:v>730000</c:v>
                </c:pt>
                <c:pt idx="28">
                  <c:v>630000</c:v>
                </c:pt>
                <c:pt idx="29">
                  <c:v>338000</c:v>
                </c:pt>
                <c:pt idx="30">
                  <c:v>1259000</c:v>
                </c:pt>
                <c:pt idx="31">
                  <c:v>1010000</c:v>
                </c:pt>
                <c:pt idx="32">
                  <c:v>257500</c:v>
                </c:pt>
                <c:pt idx="33">
                  <c:v>623000</c:v>
                </c:pt>
                <c:pt idx="34">
                  <c:v>970000</c:v>
                </c:pt>
                <c:pt idx="35">
                  <c:v>350000</c:v>
                </c:pt>
                <c:pt idx="36">
                  <c:v>440000</c:v>
                </c:pt>
                <c:pt idx="37">
                  <c:v>1177000</c:v>
                </c:pt>
                <c:pt idx="38">
                  <c:v>690000</c:v>
                </c:pt>
                <c:pt idx="39">
                  <c:v>405000</c:v>
                </c:pt>
                <c:pt idx="40">
                  <c:v>297000</c:v>
                </c:pt>
                <c:pt idx="41">
                  <c:v>760000</c:v>
                </c:pt>
                <c:pt idx="42">
                  <c:v>860000</c:v>
                </c:pt>
                <c:pt idx="43">
                  <c:v>347000</c:v>
                </c:pt>
                <c:pt idx="44">
                  <c:v>595900</c:v>
                </c:pt>
                <c:pt idx="45">
                  <c:v>380000</c:v>
                </c:pt>
                <c:pt idx="46">
                  <c:v>575000</c:v>
                </c:pt>
                <c:pt idx="47">
                  <c:v>5000000</c:v>
                </c:pt>
                <c:pt idx="48">
                  <c:v>305000</c:v>
                </c:pt>
                <c:pt idx="49">
                  <c:v>1993472</c:v>
                </c:pt>
                <c:pt idx="50">
                  <c:v>691500</c:v>
                </c:pt>
                <c:pt idx="51">
                  <c:v>950000</c:v>
                </c:pt>
                <c:pt idx="52">
                  <c:v>377025</c:v>
                </c:pt>
                <c:pt idx="53">
                  <c:v>992000</c:v>
                </c:pt>
                <c:pt idx="54">
                  <c:v>718000</c:v>
                </c:pt>
                <c:pt idx="55">
                  <c:v>1075000</c:v>
                </c:pt>
                <c:pt idx="56">
                  <c:v>650500</c:v>
                </c:pt>
                <c:pt idx="57">
                  <c:v>900000</c:v>
                </c:pt>
                <c:pt idx="58">
                  <c:v>597662</c:v>
                </c:pt>
                <c:pt idx="59">
                  <c:v>475000</c:v>
                </c:pt>
                <c:pt idx="60">
                  <c:v>770000</c:v>
                </c:pt>
                <c:pt idx="61">
                  <c:v>1660000</c:v>
                </c:pt>
                <c:pt idx="62">
                  <c:v>463000</c:v>
                </c:pt>
                <c:pt idx="63">
                  <c:v>490000</c:v>
                </c:pt>
                <c:pt idx="64">
                  <c:v>260000</c:v>
                </c:pt>
                <c:pt idx="65">
                  <c:v>1175000</c:v>
                </c:pt>
                <c:pt idx="66">
                  <c:v>195000</c:v>
                </c:pt>
                <c:pt idx="67">
                  <c:v>1409253</c:v>
                </c:pt>
                <c:pt idx="68">
                  <c:v>799900</c:v>
                </c:pt>
                <c:pt idx="69">
                  <c:v>425000</c:v>
                </c:pt>
                <c:pt idx="70">
                  <c:v>1650000</c:v>
                </c:pt>
                <c:pt idx="71">
                  <c:v>625000</c:v>
                </c:pt>
                <c:pt idx="72">
                  <c:v>706000</c:v>
                </c:pt>
                <c:pt idx="73">
                  <c:v>278500</c:v>
                </c:pt>
                <c:pt idx="74">
                  <c:v>1400000</c:v>
                </c:pt>
                <c:pt idx="75">
                  <c:v>495000</c:v>
                </c:pt>
                <c:pt idx="76">
                  <c:v>925000</c:v>
                </c:pt>
                <c:pt idx="77">
                  <c:v>374000</c:v>
                </c:pt>
                <c:pt idx="78">
                  <c:v>370000</c:v>
                </c:pt>
                <c:pt idx="79">
                  <c:v>2125000</c:v>
                </c:pt>
                <c:pt idx="80">
                  <c:v>990000</c:v>
                </c:pt>
                <c:pt idx="81">
                  <c:v>3700000</c:v>
                </c:pt>
                <c:pt idx="82">
                  <c:v>915000</c:v>
                </c:pt>
                <c:pt idx="83">
                  <c:v>661000</c:v>
                </c:pt>
                <c:pt idx="84">
                  <c:v>499900</c:v>
                </c:pt>
                <c:pt idx="85">
                  <c:v>177000</c:v>
                </c:pt>
                <c:pt idx="86">
                  <c:v>5000000</c:v>
                </c:pt>
              </c:numCache>
            </c:numRef>
          </c:val>
          <c:smooth val="0"/>
          <c:extLst>
            <c:ext xmlns:c16="http://schemas.microsoft.com/office/drawing/2014/chart" uri="{C3380CC4-5D6E-409C-BE32-E72D297353CC}">
              <c16:uniqueId val="{00000001-8589-4264-A65D-2D9DA4837892}"/>
            </c:ext>
          </c:extLst>
        </c:ser>
        <c:ser>
          <c:idx val="2"/>
          <c:order val="2"/>
          <c:tx>
            <c:strRef>
              <c:f>'Averages by City (Data Table)'!$D$1</c:f>
              <c:strCache>
                <c:ptCount val="1"/>
                <c:pt idx="0">
                  <c:v>Average of Price</c:v>
                </c:pt>
              </c:strCache>
            </c:strRef>
          </c:tx>
          <c:spPr>
            <a:ln w="28575" cap="rnd">
              <a:solidFill>
                <a:schemeClr val="accent3"/>
              </a:solidFill>
              <a:round/>
            </a:ln>
            <a:effectLst/>
          </c:spPr>
          <c:marker>
            <c:symbol val="none"/>
          </c:marker>
          <c:cat>
            <c:strRef>
              <c:f>'Averages by City (Data Table)'!$A$2:$A$88</c:f>
              <c:strCache>
                <c:ptCount val="87"/>
                <c:pt idx="0">
                  <c:v>Addison Twp</c:v>
                </c:pt>
                <c:pt idx="1">
                  <c:v>Armada Twp</c:v>
                </c:pt>
                <c:pt idx="2">
                  <c:v>Armada Vlg</c:v>
                </c:pt>
                <c:pt idx="3">
                  <c:v>Auburn Hills</c:v>
                </c:pt>
                <c:pt idx="4">
                  <c:v>Berkley</c:v>
                </c:pt>
                <c:pt idx="5">
                  <c:v>Beverly Hills</c:v>
                </c:pt>
                <c:pt idx="6">
                  <c:v>Beverly Hills Vlg</c:v>
                </c:pt>
                <c:pt idx="7">
                  <c:v>Birmingham</c:v>
                </c:pt>
                <c:pt idx="8">
                  <c:v>Bloomfield Hills</c:v>
                </c:pt>
                <c:pt idx="9">
                  <c:v>Bloomfield Twp</c:v>
                </c:pt>
                <c:pt idx="10">
                  <c:v>Brandon Twp</c:v>
                </c:pt>
                <c:pt idx="11">
                  <c:v>Bruce Twp</c:v>
                </c:pt>
                <c:pt idx="12">
                  <c:v>Center Line</c:v>
                </c:pt>
                <c:pt idx="13">
                  <c:v>Chesterfield Twp</c:v>
                </c:pt>
                <c:pt idx="14">
                  <c:v>City of Macomb</c:v>
                </c:pt>
                <c:pt idx="15">
                  <c:v>Clawson</c:v>
                </c:pt>
                <c:pt idx="16">
                  <c:v>Clinton Twp</c:v>
                </c:pt>
                <c:pt idx="17">
                  <c:v>Commerce Twp</c:v>
                </c:pt>
                <c:pt idx="18">
                  <c:v>Eastpointe</c:v>
                </c:pt>
                <c:pt idx="19">
                  <c:v>Farmington</c:v>
                </c:pt>
                <c:pt idx="20">
                  <c:v>Farmington Hills</c:v>
                </c:pt>
                <c:pt idx="21">
                  <c:v>Ferndale</c:v>
                </c:pt>
                <c:pt idx="22">
                  <c:v>Franklin Vlg</c:v>
                </c:pt>
                <c:pt idx="23">
                  <c:v>Fraser</c:v>
                </c:pt>
                <c:pt idx="24">
                  <c:v>Groveland Twp</c:v>
                </c:pt>
                <c:pt idx="25">
                  <c:v>Harrison Twp</c:v>
                </c:pt>
                <c:pt idx="26">
                  <c:v>Hazel Park</c:v>
                </c:pt>
                <c:pt idx="27">
                  <c:v>Highland Twp</c:v>
                </c:pt>
                <c:pt idx="28">
                  <c:v>Holly Twp</c:v>
                </c:pt>
                <c:pt idx="29">
                  <c:v>Holly Vlg</c:v>
                </c:pt>
                <c:pt idx="30">
                  <c:v>Huntington Woods</c:v>
                </c:pt>
                <c:pt idx="31">
                  <c:v>Independence Twp</c:v>
                </c:pt>
                <c:pt idx="32">
                  <c:v>Keego Harbor</c:v>
                </c:pt>
                <c:pt idx="33">
                  <c:v>Lake Orion</c:v>
                </c:pt>
                <c:pt idx="34">
                  <c:v>Lake Orion Vlg</c:v>
                </c:pt>
                <c:pt idx="35">
                  <c:v>Lathrup Village</c:v>
                </c:pt>
                <c:pt idx="36">
                  <c:v>Lenox Twp</c:v>
                </c:pt>
                <c:pt idx="37">
                  <c:v>Lyon Twp</c:v>
                </c:pt>
                <c:pt idx="38">
                  <c:v>Macomb Twp</c:v>
                </c:pt>
                <c:pt idx="39">
                  <c:v>Madison Heights</c:v>
                </c:pt>
                <c:pt idx="40">
                  <c:v>Memphis</c:v>
                </c:pt>
                <c:pt idx="41">
                  <c:v>Milford Twp</c:v>
                </c:pt>
                <c:pt idx="42">
                  <c:v>Milford Vlg</c:v>
                </c:pt>
                <c:pt idx="43">
                  <c:v>Mt. Clemens</c:v>
                </c:pt>
                <c:pt idx="44">
                  <c:v>New Baltimore</c:v>
                </c:pt>
                <c:pt idx="45">
                  <c:v>New Haven Vlg</c:v>
                </c:pt>
                <c:pt idx="46">
                  <c:v>Northville</c:v>
                </c:pt>
                <c:pt idx="47">
                  <c:v>Novi</c:v>
                </c:pt>
                <c:pt idx="48">
                  <c:v>Oak Park</c:v>
                </c:pt>
                <c:pt idx="49">
                  <c:v>Oakland Twp</c:v>
                </c:pt>
                <c:pt idx="50">
                  <c:v>Orchard Lake Village</c:v>
                </c:pt>
                <c:pt idx="51">
                  <c:v>Orion Twp</c:v>
                </c:pt>
                <c:pt idx="52">
                  <c:v>Ortonville Vlg</c:v>
                </c:pt>
                <c:pt idx="53">
                  <c:v>Oxford Twp</c:v>
                </c:pt>
                <c:pt idx="54">
                  <c:v>Oxford Vlg</c:v>
                </c:pt>
                <c:pt idx="55">
                  <c:v>Pleasant Ridge</c:v>
                </c:pt>
                <c:pt idx="56">
                  <c:v>Pontiac</c:v>
                </c:pt>
                <c:pt idx="57">
                  <c:v>Ray Twp</c:v>
                </c:pt>
                <c:pt idx="58">
                  <c:v>Richmond</c:v>
                </c:pt>
                <c:pt idx="59">
                  <c:v>Richmond Twp</c:v>
                </c:pt>
                <c:pt idx="60">
                  <c:v>Rochester</c:v>
                </c:pt>
                <c:pt idx="61">
                  <c:v>Rochester Hills</c:v>
                </c:pt>
                <c:pt idx="62">
                  <c:v>Romeo Vlg</c:v>
                </c:pt>
                <c:pt idx="63">
                  <c:v>Rose Twp</c:v>
                </c:pt>
                <c:pt idx="64">
                  <c:v>Roseville</c:v>
                </c:pt>
                <c:pt idx="65">
                  <c:v>Royal Oak</c:v>
                </c:pt>
                <c:pt idx="66">
                  <c:v>Royal Oak Twp</c:v>
                </c:pt>
                <c:pt idx="67">
                  <c:v>Shelby Twp</c:v>
                </c:pt>
                <c:pt idx="68">
                  <c:v>South Lyon</c:v>
                </c:pt>
                <c:pt idx="69">
                  <c:v>Southfield</c:v>
                </c:pt>
                <c:pt idx="70">
                  <c:v>Springfield Twp</c:v>
                </c:pt>
                <c:pt idx="71">
                  <c:v>St. Clair Shores</c:v>
                </c:pt>
                <c:pt idx="72">
                  <c:v>Sterling Heights</c:v>
                </c:pt>
                <c:pt idx="73">
                  <c:v>Sylvan Lake</c:v>
                </c:pt>
                <c:pt idx="74">
                  <c:v>Troy</c:v>
                </c:pt>
                <c:pt idx="75">
                  <c:v>Utica</c:v>
                </c:pt>
                <c:pt idx="76">
                  <c:v>Village Of Clarkston</c:v>
                </c:pt>
                <c:pt idx="77">
                  <c:v>Walled Lake</c:v>
                </c:pt>
                <c:pt idx="78">
                  <c:v>Warren</c:v>
                </c:pt>
                <c:pt idx="79">
                  <c:v>Washington Twp</c:v>
                </c:pt>
                <c:pt idx="80">
                  <c:v>Waterford Twp</c:v>
                </c:pt>
                <c:pt idx="81">
                  <c:v>West Bloomfield Twp</c:v>
                </c:pt>
                <c:pt idx="82">
                  <c:v>White Lake Twp</c:v>
                </c:pt>
                <c:pt idx="83">
                  <c:v>Wixom</c:v>
                </c:pt>
                <c:pt idx="84">
                  <c:v>Wolverine Lake Vlg</c:v>
                </c:pt>
                <c:pt idx="85">
                  <c:v>(blank)</c:v>
                </c:pt>
                <c:pt idx="86">
                  <c:v>Grand Total</c:v>
                </c:pt>
              </c:strCache>
            </c:strRef>
          </c:cat>
          <c:val>
            <c:numRef>
              <c:f>'Averages by City (Data Table)'!$D$2:$D$88</c:f>
              <c:numCache>
                <c:formatCode>"$"#,##0</c:formatCode>
                <c:ptCount val="87"/>
                <c:pt idx="0">
                  <c:v>740600</c:v>
                </c:pt>
                <c:pt idx="1">
                  <c:v>302250</c:v>
                </c:pt>
                <c:pt idx="2">
                  <c:v>222666.66666666666</c:v>
                </c:pt>
                <c:pt idx="3">
                  <c:v>267721.15000000002</c:v>
                </c:pt>
                <c:pt idx="4">
                  <c:v>346754.19512195123</c:v>
                </c:pt>
                <c:pt idx="5">
                  <c:v>737000</c:v>
                </c:pt>
                <c:pt idx="6">
                  <c:v>508082.14285714284</c:v>
                </c:pt>
                <c:pt idx="7">
                  <c:v>1010921.5384615385</c:v>
                </c:pt>
                <c:pt idx="8">
                  <c:v>1638100</c:v>
                </c:pt>
                <c:pt idx="9">
                  <c:v>904421.91428571427</c:v>
                </c:pt>
                <c:pt idx="10">
                  <c:v>325700</c:v>
                </c:pt>
                <c:pt idx="11">
                  <c:v>633951.23529411759</c:v>
                </c:pt>
                <c:pt idx="12">
                  <c:v>181375</c:v>
                </c:pt>
                <c:pt idx="13">
                  <c:v>379124.34328358207</c:v>
                </c:pt>
                <c:pt idx="14">
                  <c:v>260000</c:v>
                </c:pt>
                <c:pt idx="15">
                  <c:v>314252.06666666665</c:v>
                </c:pt>
                <c:pt idx="16">
                  <c:v>284961.26126126124</c:v>
                </c:pt>
                <c:pt idx="17">
                  <c:v>463885.02</c:v>
                </c:pt>
                <c:pt idx="18">
                  <c:v>153211.62626262626</c:v>
                </c:pt>
                <c:pt idx="19">
                  <c:v>386520</c:v>
                </c:pt>
                <c:pt idx="20">
                  <c:v>380526.35416666669</c:v>
                </c:pt>
                <c:pt idx="21">
                  <c:v>253785.59322033898</c:v>
                </c:pt>
                <c:pt idx="22">
                  <c:v>563833.33333333337</c:v>
                </c:pt>
                <c:pt idx="23">
                  <c:v>278892</c:v>
                </c:pt>
                <c:pt idx="24">
                  <c:v>435733.33333333331</c:v>
                </c:pt>
                <c:pt idx="25">
                  <c:v>340948.57142857142</c:v>
                </c:pt>
                <c:pt idx="26">
                  <c:v>167808.77192982455</c:v>
                </c:pt>
                <c:pt idx="27">
                  <c:v>352371.66666666669</c:v>
                </c:pt>
                <c:pt idx="28">
                  <c:v>322512.5</c:v>
                </c:pt>
                <c:pt idx="29">
                  <c:v>215000</c:v>
                </c:pt>
                <c:pt idx="30">
                  <c:v>524493.75</c:v>
                </c:pt>
                <c:pt idx="31">
                  <c:v>441395.5</c:v>
                </c:pt>
                <c:pt idx="32">
                  <c:v>218598</c:v>
                </c:pt>
                <c:pt idx="33">
                  <c:v>623000</c:v>
                </c:pt>
                <c:pt idx="34">
                  <c:v>526581.81818181823</c:v>
                </c:pt>
                <c:pt idx="35">
                  <c:v>333931</c:v>
                </c:pt>
                <c:pt idx="36">
                  <c:v>197584.2</c:v>
                </c:pt>
                <c:pt idx="37">
                  <c:v>620377.6857142857</c:v>
                </c:pt>
                <c:pt idx="38">
                  <c:v>439995.10619469028</c:v>
                </c:pt>
                <c:pt idx="39">
                  <c:v>218511.89285714287</c:v>
                </c:pt>
                <c:pt idx="40">
                  <c:v>212250</c:v>
                </c:pt>
                <c:pt idx="41">
                  <c:v>529553.4615384615</c:v>
                </c:pt>
                <c:pt idx="42">
                  <c:v>525840</c:v>
                </c:pt>
                <c:pt idx="43">
                  <c:v>176685.71428571429</c:v>
                </c:pt>
                <c:pt idx="44">
                  <c:v>400706.25</c:v>
                </c:pt>
                <c:pt idx="45">
                  <c:v>253100</c:v>
                </c:pt>
                <c:pt idx="46">
                  <c:v>465000</c:v>
                </c:pt>
                <c:pt idx="47">
                  <c:v>741577.46938775515</c:v>
                </c:pt>
                <c:pt idx="48">
                  <c:v>207263.51470588235</c:v>
                </c:pt>
                <c:pt idx="49">
                  <c:v>720450.17647058819</c:v>
                </c:pt>
                <c:pt idx="50">
                  <c:v>650750</c:v>
                </c:pt>
                <c:pt idx="51">
                  <c:v>394735.55555555556</c:v>
                </c:pt>
                <c:pt idx="52">
                  <c:v>368512.5</c:v>
                </c:pt>
                <c:pt idx="53">
                  <c:v>509289.81578947371</c:v>
                </c:pt>
                <c:pt idx="54">
                  <c:v>329162.5</c:v>
                </c:pt>
                <c:pt idx="55">
                  <c:v>659056.25</c:v>
                </c:pt>
                <c:pt idx="56">
                  <c:v>138830.21495327103</c:v>
                </c:pt>
                <c:pt idx="57">
                  <c:v>403360</c:v>
                </c:pt>
                <c:pt idx="58">
                  <c:v>314944.625</c:v>
                </c:pt>
                <c:pt idx="59">
                  <c:v>348333.33333333331</c:v>
                </c:pt>
                <c:pt idx="60">
                  <c:v>529107.69230769225</c:v>
                </c:pt>
                <c:pt idx="61">
                  <c:v>492385.85148514854</c:v>
                </c:pt>
                <c:pt idx="62">
                  <c:v>297283.33333333331</c:v>
                </c:pt>
                <c:pt idx="63">
                  <c:v>376785.35714285716</c:v>
                </c:pt>
                <c:pt idx="64">
                  <c:v>168905.77777777778</c:v>
                </c:pt>
                <c:pt idx="65">
                  <c:v>426999.77987421385</c:v>
                </c:pt>
                <c:pt idx="66">
                  <c:v>170500</c:v>
                </c:pt>
                <c:pt idx="67">
                  <c:v>450963.08737864078</c:v>
                </c:pt>
                <c:pt idx="68">
                  <c:v>422890.90909090912</c:v>
                </c:pt>
                <c:pt idx="69">
                  <c:v>251438.44871794872</c:v>
                </c:pt>
                <c:pt idx="70">
                  <c:v>498547.8125</c:v>
                </c:pt>
                <c:pt idx="71">
                  <c:v>225967.41666666666</c:v>
                </c:pt>
                <c:pt idx="72">
                  <c:v>334680.31219512195</c:v>
                </c:pt>
                <c:pt idx="73">
                  <c:v>254323.8</c:v>
                </c:pt>
                <c:pt idx="74">
                  <c:v>494114.75238095236</c:v>
                </c:pt>
                <c:pt idx="75">
                  <c:v>296233.33333333331</c:v>
                </c:pt>
                <c:pt idx="76">
                  <c:v>452166.66666666669</c:v>
                </c:pt>
                <c:pt idx="77">
                  <c:v>280263.71428571426</c:v>
                </c:pt>
                <c:pt idx="78">
                  <c:v>178560.99298245614</c:v>
                </c:pt>
                <c:pt idx="79">
                  <c:v>612533.27586206899</c:v>
                </c:pt>
                <c:pt idx="80">
                  <c:v>280127.74509803922</c:v>
                </c:pt>
                <c:pt idx="81">
                  <c:v>587944.02409638558</c:v>
                </c:pt>
                <c:pt idx="82">
                  <c:v>394508.80769230769</c:v>
                </c:pt>
                <c:pt idx="83">
                  <c:v>485688.9</c:v>
                </c:pt>
                <c:pt idx="84">
                  <c:v>326880</c:v>
                </c:pt>
                <c:pt idx="85">
                  <c:v>177000</c:v>
                </c:pt>
                <c:pt idx="86">
                  <c:v>373521.69196050777</c:v>
                </c:pt>
              </c:numCache>
            </c:numRef>
          </c:val>
          <c:smooth val="0"/>
          <c:extLst>
            <c:ext xmlns:c16="http://schemas.microsoft.com/office/drawing/2014/chart" uri="{C3380CC4-5D6E-409C-BE32-E72D297353CC}">
              <c16:uniqueId val="{00000002-8589-4264-A65D-2D9DA4837892}"/>
            </c:ext>
          </c:extLst>
        </c:ser>
        <c:dLbls>
          <c:showLegendKey val="0"/>
          <c:showVal val="0"/>
          <c:showCatName val="0"/>
          <c:showSerName val="0"/>
          <c:showPercent val="0"/>
          <c:showBubbleSize val="0"/>
        </c:dLbls>
        <c:smooth val="0"/>
        <c:axId val="450477576"/>
        <c:axId val="450541064"/>
      </c:lineChart>
      <c:catAx>
        <c:axId val="4504775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a:t>City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541064"/>
        <c:crosses val="autoZero"/>
        <c:auto val="1"/>
        <c:lblAlgn val="ctr"/>
        <c:lblOffset val="100"/>
        <c:noMultiLvlLbl val="0"/>
      </c:catAx>
      <c:valAx>
        <c:axId val="450541064"/>
        <c:scaling>
          <c:orientation val="minMax"/>
          <c:max val="5500000"/>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in"/>
        <c:minorTickMark val="cross"/>
        <c:tickLblPos val="nextTo"/>
        <c:spPr>
          <a:noFill/>
          <a:ln>
            <a:solidFill>
              <a:schemeClr val="accent4">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477576"/>
        <c:crosses val="autoZero"/>
        <c:crossBetween val="midCat"/>
        <c:minorUnit val="500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rgbClr val="0E2841"/>
              </a:solidFill>
              <a:latin typeface="+mn-lt"/>
              <a:ea typeface="+mn-ea"/>
              <a:cs typeface="+mn-cs"/>
            </a:defRPr>
          </a:pPr>
          <a:endParaRPr lang="en-US"/>
        </a:p>
      </c:txPr>
    </c:title>
    <c:autoTitleDeleted val="0"/>
    <c:plotArea>
      <c:layout/>
      <c:barChart>
        <c:barDir val="col"/>
        <c:grouping val="clustered"/>
        <c:varyColors val="0"/>
        <c:ser>
          <c:idx val="3"/>
          <c:order val="0"/>
          <c:tx>
            <c:strRef>
              <c:f>'Averages by City (Data Table)'!$E$1</c:f>
              <c:strCache>
                <c:ptCount val="1"/>
                <c:pt idx="0">
                  <c:v>Average of Date on Market</c:v>
                </c:pt>
              </c:strCache>
            </c:strRef>
          </c:tx>
          <c:spPr>
            <a:solidFill>
              <a:srgbClr val="156082"/>
            </a:solidFill>
            <a:ln>
              <a:noFill/>
            </a:ln>
            <a:effectLst/>
          </c:spPr>
          <c:invertIfNegative val="0"/>
          <c:cat>
            <c:strRef>
              <c:f>'Averages by City (Data Table)'!$A$2:$A$88</c:f>
              <c:strCache>
                <c:ptCount val="87"/>
                <c:pt idx="0">
                  <c:v>Addison Twp</c:v>
                </c:pt>
                <c:pt idx="1">
                  <c:v>Armada Twp</c:v>
                </c:pt>
                <c:pt idx="2">
                  <c:v>Armada Vlg</c:v>
                </c:pt>
                <c:pt idx="3">
                  <c:v>Auburn Hills</c:v>
                </c:pt>
                <c:pt idx="4">
                  <c:v>Berkley</c:v>
                </c:pt>
                <c:pt idx="5">
                  <c:v>Beverly Hills</c:v>
                </c:pt>
                <c:pt idx="6">
                  <c:v>Beverly Hills Vlg</c:v>
                </c:pt>
                <c:pt idx="7">
                  <c:v>Birmingham</c:v>
                </c:pt>
                <c:pt idx="8">
                  <c:v>Bloomfield Hills</c:v>
                </c:pt>
                <c:pt idx="9">
                  <c:v>Bloomfield Twp</c:v>
                </c:pt>
                <c:pt idx="10">
                  <c:v>Brandon Twp</c:v>
                </c:pt>
                <c:pt idx="11">
                  <c:v>Bruce Twp</c:v>
                </c:pt>
                <c:pt idx="12">
                  <c:v>Center Line</c:v>
                </c:pt>
                <c:pt idx="13">
                  <c:v>Chesterfield Twp</c:v>
                </c:pt>
                <c:pt idx="14">
                  <c:v>City of Macomb</c:v>
                </c:pt>
                <c:pt idx="15">
                  <c:v>Clawson</c:v>
                </c:pt>
                <c:pt idx="16">
                  <c:v>Clinton Twp</c:v>
                </c:pt>
                <c:pt idx="17">
                  <c:v>Commerce Twp</c:v>
                </c:pt>
                <c:pt idx="18">
                  <c:v>Eastpointe</c:v>
                </c:pt>
                <c:pt idx="19">
                  <c:v>Farmington</c:v>
                </c:pt>
                <c:pt idx="20">
                  <c:v>Farmington Hills</c:v>
                </c:pt>
                <c:pt idx="21">
                  <c:v>Ferndale</c:v>
                </c:pt>
                <c:pt idx="22">
                  <c:v>Franklin Vlg</c:v>
                </c:pt>
                <c:pt idx="23">
                  <c:v>Fraser</c:v>
                </c:pt>
                <c:pt idx="24">
                  <c:v>Groveland Twp</c:v>
                </c:pt>
                <c:pt idx="25">
                  <c:v>Harrison Twp</c:v>
                </c:pt>
                <c:pt idx="26">
                  <c:v>Hazel Park</c:v>
                </c:pt>
                <c:pt idx="27">
                  <c:v>Highland Twp</c:v>
                </c:pt>
                <c:pt idx="28">
                  <c:v>Holly Twp</c:v>
                </c:pt>
                <c:pt idx="29">
                  <c:v>Holly Vlg</c:v>
                </c:pt>
                <c:pt idx="30">
                  <c:v>Huntington Woods</c:v>
                </c:pt>
                <c:pt idx="31">
                  <c:v>Independence Twp</c:v>
                </c:pt>
                <c:pt idx="32">
                  <c:v>Keego Harbor</c:v>
                </c:pt>
                <c:pt idx="33">
                  <c:v>Lake Orion</c:v>
                </c:pt>
                <c:pt idx="34">
                  <c:v>Lake Orion Vlg</c:v>
                </c:pt>
                <c:pt idx="35">
                  <c:v>Lathrup Village</c:v>
                </c:pt>
                <c:pt idx="36">
                  <c:v>Lenox Twp</c:v>
                </c:pt>
                <c:pt idx="37">
                  <c:v>Lyon Twp</c:v>
                </c:pt>
                <c:pt idx="38">
                  <c:v>Macomb Twp</c:v>
                </c:pt>
                <c:pt idx="39">
                  <c:v>Madison Heights</c:v>
                </c:pt>
                <c:pt idx="40">
                  <c:v>Memphis</c:v>
                </c:pt>
                <c:pt idx="41">
                  <c:v>Milford Twp</c:v>
                </c:pt>
                <c:pt idx="42">
                  <c:v>Milford Vlg</c:v>
                </c:pt>
                <c:pt idx="43">
                  <c:v>Mt. Clemens</c:v>
                </c:pt>
                <c:pt idx="44">
                  <c:v>New Baltimore</c:v>
                </c:pt>
                <c:pt idx="45">
                  <c:v>New Haven Vlg</c:v>
                </c:pt>
                <c:pt idx="46">
                  <c:v>Northville</c:v>
                </c:pt>
                <c:pt idx="47">
                  <c:v>Novi</c:v>
                </c:pt>
                <c:pt idx="48">
                  <c:v>Oak Park</c:v>
                </c:pt>
                <c:pt idx="49">
                  <c:v>Oakland Twp</c:v>
                </c:pt>
                <c:pt idx="50">
                  <c:v>Orchard Lake Village</c:v>
                </c:pt>
                <c:pt idx="51">
                  <c:v>Orion Twp</c:v>
                </c:pt>
                <c:pt idx="52">
                  <c:v>Ortonville Vlg</c:v>
                </c:pt>
                <c:pt idx="53">
                  <c:v>Oxford Twp</c:v>
                </c:pt>
                <c:pt idx="54">
                  <c:v>Oxford Vlg</c:v>
                </c:pt>
                <c:pt idx="55">
                  <c:v>Pleasant Ridge</c:v>
                </c:pt>
                <c:pt idx="56">
                  <c:v>Pontiac</c:v>
                </c:pt>
                <c:pt idx="57">
                  <c:v>Ray Twp</c:v>
                </c:pt>
                <c:pt idx="58">
                  <c:v>Richmond</c:v>
                </c:pt>
                <c:pt idx="59">
                  <c:v>Richmond Twp</c:v>
                </c:pt>
                <c:pt idx="60">
                  <c:v>Rochester</c:v>
                </c:pt>
                <c:pt idx="61">
                  <c:v>Rochester Hills</c:v>
                </c:pt>
                <c:pt idx="62">
                  <c:v>Romeo Vlg</c:v>
                </c:pt>
                <c:pt idx="63">
                  <c:v>Rose Twp</c:v>
                </c:pt>
                <c:pt idx="64">
                  <c:v>Roseville</c:v>
                </c:pt>
                <c:pt idx="65">
                  <c:v>Royal Oak</c:v>
                </c:pt>
                <c:pt idx="66">
                  <c:v>Royal Oak Twp</c:v>
                </c:pt>
                <c:pt idx="67">
                  <c:v>Shelby Twp</c:v>
                </c:pt>
                <c:pt idx="68">
                  <c:v>South Lyon</c:v>
                </c:pt>
                <c:pt idx="69">
                  <c:v>Southfield</c:v>
                </c:pt>
                <c:pt idx="70">
                  <c:v>Springfield Twp</c:v>
                </c:pt>
                <c:pt idx="71">
                  <c:v>St. Clair Shores</c:v>
                </c:pt>
                <c:pt idx="72">
                  <c:v>Sterling Heights</c:v>
                </c:pt>
                <c:pt idx="73">
                  <c:v>Sylvan Lake</c:v>
                </c:pt>
                <c:pt idx="74">
                  <c:v>Troy</c:v>
                </c:pt>
                <c:pt idx="75">
                  <c:v>Utica</c:v>
                </c:pt>
                <c:pt idx="76">
                  <c:v>Village Of Clarkston</c:v>
                </c:pt>
                <c:pt idx="77">
                  <c:v>Walled Lake</c:v>
                </c:pt>
                <c:pt idx="78">
                  <c:v>Warren</c:v>
                </c:pt>
                <c:pt idx="79">
                  <c:v>Washington Twp</c:v>
                </c:pt>
                <c:pt idx="80">
                  <c:v>Waterford Twp</c:v>
                </c:pt>
                <c:pt idx="81">
                  <c:v>West Bloomfield Twp</c:v>
                </c:pt>
                <c:pt idx="82">
                  <c:v>White Lake Twp</c:v>
                </c:pt>
                <c:pt idx="83">
                  <c:v>Wixom</c:v>
                </c:pt>
                <c:pt idx="84">
                  <c:v>Wolverine Lake Vlg</c:v>
                </c:pt>
                <c:pt idx="85">
                  <c:v>(blank)</c:v>
                </c:pt>
                <c:pt idx="86">
                  <c:v>Grand Total</c:v>
                </c:pt>
              </c:strCache>
            </c:strRef>
          </c:cat>
          <c:val>
            <c:numRef>
              <c:f>'Averages by City (Data Table)'!$E$2:$E$88</c:f>
              <c:numCache>
                <c:formatCode>0</c:formatCode>
                <c:ptCount val="87"/>
                <c:pt idx="0">
                  <c:v>83</c:v>
                </c:pt>
                <c:pt idx="1">
                  <c:v>86.5</c:v>
                </c:pt>
                <c:pt idx="2">
                  <c:v>27.333333333333332</c:v>
                </c:pt>
                <c:pt idx="3">
                  <c:v>31.25</c:v>
                </c:pt>
                <c:pt idx="4">
                  <c:v>40.073170731707314</c:v>
                </c:pt>
                <c:pt idx="5">
                  <c:v>4</c:v>
                </c:pt>
                <c:pt idx="6">
                  <c:v>52.821428571428569</c:v>
                </c:pt>
                <c:pt idx="7">
                  <c:v>44.092307692307692</c:v>
                </c:pt>
                <c:pt idx="8">
                  <c:v>49.666666666666664</c:v>
                </c:pt>
                <c:pt idx="9">
                  <c:v>44.671428571428571</c:v>
                </c:pt>
                <c:pt idx="10">
                  <c:v>56.526315789473685</c:v>
                </c:pt>
                <c:pt idx="11">
                  <c:v>101.82352941176471</c:v>
                </c:pt>
                <c:pt idx="12">
                  <c:v>43.125</c:v>
                </c:pt>
                <c:pt idx="13">
                  <c:v>63.477611940298509</c:v>
                </c:pt>
                <c:pt idx="14">
                  <c:v>15</c:v>
                </c:pt>
                <c:pt idx="15">
                  <c:v>26.566666666666666</c:v>
                </c:pt>
                <c:pt idx="16">
                  <c:v>37.522522522522522</c:v>
                </c:pt>
                <c:pt idx="17">
                  <c:v>52.96</c:v>
                </c:pt>
                <c:pt idx="18">
                  <c:v>35.555555555555557</c:v>
                </c:pt>
                <c:pt idx="19">
                  <c:v>38</c:v>
                </c:pt>
                <c:pt idx="20">
                  <c:v>26.385416666666668</c:v>
                </c:pt>
                <c:pt idx="21">
                  <c:v>37.355932203389834</c:v>
                </c:pt>
                <c:pt idx="22">
                  <c:v>32</c:v>
                </c:pt>
                <c:pt idx="23">
                  <c:v>39.08</c:v>
                </c:pt>
                <c:pt idx="24">
                  <c:v>57.75</c:v>
                </c:pt>
                <c:pt idx="25">
                  <c:v>45.971428571428568</c:v>
                </c:pt>
                <c:pt idx="26">
                  <c:v>34.438596491228068</c:v>
                </c:pt>
                <c:pt idx="27">
                  <c:v>49.033333333333331</c:v>
                </c:pt>
                <c:pt idx="28">
                  <c:v>69.458333333333329</c:v>
                </c:pt>
                <c:pt idx="29">
                  <c:v>16.7</c:v>
                </c:pt>
                <c:pt idx="30">
                  <c:v>23</c:v>
                </c:pt>
                <c:pt idx="31">
                  <c:v>53.35</c:v>
                </c:pt>
                <c:pt idx="32">
                  <c:v>28</c:v>
                </c:pt>
                <c:pt idx="33">
                  <c:v>99</c:v>
                </c:pt>
                <c:pt idx="34">
                  <c:v>22.90909090909091</c:v>
                </c:pt>
                <c:pt idx="35">
                  <c:v>35.200000000000003</c:v>
                </c:pt>
                <c:pt idx="36">
                  <c:v>35.799999999999997</c:v>
                </c:pt>
                <c:pt idx="37">
                  <c:v>42.74285714285714</c:v>
                </c:pt>
                <c:pt idx="38">
                  <c:v>58.203539823008846</c:v>
                </c:pt>
                <c:pt idx="39">
                  <c:v>25.916666666666668</c:v>
                </c:pt>
                <c:pt idx="40">
                  <c:v>77</c:v>
                </c:pt>
                <c:pt idx="41">
                  <c:v>67.307692307692307</c:v>
                </c:pt>
                <c:pt idx="42">
                  <c:v>72.900000000000006</c:v>
                </c:pt>
                <c:pt idx="43">
                  <c:v>31.333333333333332</c:v>
                </c:pt>
                <c:pt idx="44">
                  <c:v>72</c:v>
                </c:pt>
                <c:pt idx="45">
                  <c:v>25.7</c:v>
                </c:pt>
                <c:pt idx="46">
                  <c:v>20.833333333333332</c:v>
                </c:pt>
                <c:pt idx="47">
                  <c:v>32.489795918367349</c:v>
                </c:pt>
                <c:pt idx="48">
                  <c:v>34.764705882352942</c:v>
                </c:pt>
                <c:pt idx="49">
                  <c:v>59.117647058823529</c:v>
                </c:pt>
                <c:pt idx="50">
                  <c:v>16.5</c:v>
                </c:pt>
                <c:pt idx="51">
                  <c:v>28.288888888888888</c:v>
                </c:pt>
                <c:pt idx="52">
                  <c:v>6</c:v>
                </c:pt>
                <c:pt idx="53">
                  <c:v>69.60526315789474</c:v>
                </c:pt>
                <c:pt idx="54">
                  <c:v>74.125</c:v>
                </c:pt>
                <c:pt idx="55">
                  <c:v>51.5</c:v>
                </c:pt>
                <c:pt idx="56">
                  <c:v>44.214953271028037</c:v>
                </c:pt>
                <c:pt idx="57">
                  <c:v>104</c:v>
                </c:pt>
                <c:pt idx="58">
                  <c:v>210.125</c:v>
                </c:pt>
                <c:pt idx="59">
                  <c:v>68</c:v>
                </c:pt>
                <c:pt idx="60">
                  <c:v>26.153846153846153</c:v>
                </c:pt>
                <c:pt idx="61">
                  <c:v>44.465346534653463</c:v>
                </c:pt>
                <c:pt idx="62">
                  <c:v>43.166666666666664</c:v>
                </c:pt>
                <c:pt idx="63">
                  <c:v>48.142857142857146</c:v>
                </c:pt>
                <c:pt idx="64">
                  <c:v>21.735042735042736</c:v>
                </c:pt>
                <c:pt idx="65">
                  <c:v>39.937106918238996</c:v>
                </c:pt>
                <c:pt idx="66">
                  <c:v>96.75</c:v>
                </c:pt>
                <c:pt idx="67">
                  <c:v>52.019417475728154</c:v>
                </c:pt>
                <c:pt idx="68">
                  <c:v>33.5</c:v>
                </c:pt>
                <c:pt idx="69">
                  <c:v>31.474358974358974</c:v>
                </c:pt>
                <c:pt idx="70">
                  <c:v>77.6875</c:v>
                </c:pt>
                <c:pt idx="71">
                  <c:v>26.59090909090909</c:v>
                </c:pt>
                <c:pt idx="72">
                  <c:v>28.590243902439024</c:v>
                </c:pt>
                <c:pt idx="73">
                  <c:v>51.6</c:v>
                </c:pt>
                <c:pt idx="74">
                  <c:v>34.580952380952382</c:v>
                </c:pt>
                <c:pt idx="75">
                  <c:v>38</c:v>
                </c:pt>
                <c:pt idx="76">
                  <c:v>100</c:v>
                </c:pt>
                <c:pt idx="77">
                  <c:v>24.714285714285715</c:v>
                </c:pt>
                <c:pt idx="78">
                  <c:v>31.245614035087719</c:v>
                </c:pt>
                <c:pt idx="79">
                  <c:v>53.551724137931032</c:v>
                </c:pt>
                <c:pt idx="80">
                  <c:v>36.96078431372549</c:v>
                </c:pt>
                <c:pt idx="81">
                  <c:v>50.24096385542169</c:v>
                </c:pt>
                <c:pt idx="82">
                  <c:v>41.5</c:v>
                </c:pt>
                <c:pt idx="83">
                  <c:v>92.5</c:v>
                </c:pt>
                <c:pt idx="84">
                  <c:v>17</c:v>
                </c:pt>
                <c:pt idx="85">
                  <c:v>49</c:v>
                </c:pt>
                <c:pt idx="86">
                  <c:v>40.840620592383637</c:v>
                </c:pt>
              </c:numCache>
            </c:numRef>
          </c:val>
          <c:extLst>
            <c:ext xmlns:c16="http://schemas.microsoft.com/office/drawing/2014/chart" uri="{C3380CC4-5D6E-409C-BE32-E72D297353CC}">
              <c16:uniqueId val="{00000000-3119-4D49-825A-D0CC58609A39}"/>
            </c:ext>
          </c:extLst>
        </c:ser>
        <c:dLbls>
          <c:showLegendKey val="0"/>
          <c:showVal val="0"/>
          <c:showCatName val="0"/>
          <c:showSerName val="0"/>
          <c:showPercent val="0"/>
          <c:showBubbleSize val="0"/>
        </c:dLbls>
        <c:gapWidth val="219"/>
        <c:overlap val="-27"/>
        <c:axId val="258223624"/>
        <c:axId val="258884616"/>
      </c:barChart>
      <c:catAx>
        <c:axId val="258223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884616"/>
        <c:crosses val="autoZero"/>
        <c:auto val="1"/>
        <c:lblAlgn val="ctr"/>
        <c:lblOffset val="100"/>
        <c:noMultiLvlLbl val="0"/>
      </c:catAx>
      <c:valAx>
        <c:axId val="258884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223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rgbClr val="A02B93"/>
              </a:solidFill>
              <a:latin typeface="+mn-lt"/>
              <a:ea typeface="+mn-ea"/>
              <a:cs typeface="+mn-cs"/>
            </a:defRPr>
          </a:pPr>
          <a:endParaRPr lang="en-US"/>
        </a:p>
      </c:txPr>
    </c:title>
    <c:autoTitleDeleted val="0"/>
    <c:plotArea>
      <c:layout/>
      <c:lineChart>
        <c:grouping val="standard"/>
        <c:varyColors val="0"/>
        <c:ser>
          <c:idx val="4"/>
          <c:order val="0"/>
          <c:tx>
            <c:strRef>
              <c:f>'Averages by City (Data Table)'!$F$1</c:f>
              <c:strCache>
                <c:ptCount val="1"/>
                <c:pt idx="0">
                  <c:v>Average of Price per Sq Ft</c:v>
                </c:pt>
              </c:strCache>
            </c:strRef>
          </c:tx>
          <c:spPr>
            <a:ln w="28575" cap="rnd">
              <a:solidFill>
                <a:schemeClr val="accent5"/>
              </a:solidFill>
              <a:round/>
            </a:ln>
            <a:effectLst/>
          </c:spPr>
          <c:marker>
            <c:symbol val="none"/>
          </c:marker>
          <c:cat>
            <c:strRef>
              <c:f>'Averages by City (Data Table)'!$A$2:$A$88</c:f>
              <c:strCache>
                <c:ptCount val="87"/>
                <c:pt idx="0">
                  <c:v>Addison Twp</c:v>
                </c:pt>
                <c:pt idx="1">
                  <c:v>Armada Twp</c:v>
                </c:pt>
                <c:pt idx="2">
                  <c:v>Armada Vlg</c:v>
                </c:pt>
                <c:pt idx="3">
                  <c:v>Auburn Hills</c:v>
                </c:pt>
                <c:pt idx="4">
                  <c:v>Berkley</c:v>
                </c:pt>
                <c:pt idx="5">
                  <c:v>Beverly Hills</c:v>
                </c:pt>
                <c:pt idx="6">
                  <c:v>Beverly Hills Vlg</c:v>
                </c:pt>
                <c:pt idx="7">
                  <c:v>Birmingham</c:v>
                </c:pt>
                <c:pt idx="8">
                  <c:v>Bloomfield Hills</c:v>
                </c:pt>
                <c:pt idx="9">
                  <c:v>Bloomfield Twp</c:v>
                </c:pt>
                <c:pt idx="10">
                  <c:v>Brandon Twp</c:v>
                </c:pt>
                <c:pt idx="11">
                  <c:v>Bruce Twp</c:v>
                </c:pt>
                <c:pt idx="12">
                  <c:v>Center Line</c:v>
                </c:pt>
                <c:pt idx="13">
                  <c:v>Chesterfield Twp</c:v>
                </c:pt>
                <c:pt idx="14">
                  <c:v>City of Macomb</c:v>
                </c:pt>
                <c:pt idx="15">
                  <c:v>Clawson</c:v>
                </c:pt>
                <c:pt idx="16">
                  <c:v>Clinton Twp</c:v>
                </c:pt>
                <c:pt idx="17">
                  <c:v>Commerce Twp</c:v>
                </c:pt>
                <c:pt idx="18">
                  <c:v>Eastpointe</c:v>
                </c:pt>
                <c:pt idx="19">
                  <c:v>Farmington</c:v>
                </c:pt>
                <c:pt idx="20">
                  <c:v>Farmington Hills</c:v>
                </c:pt>
                <c:pt idx="21">
                  <c:v>Ferndale</c:v>
                </c:pt>
                <c:pt idx="22">
                  <c:v>Franklin Vlg</c:v>
                </c:pt>
                <c:pt idx="23">
                  <c:v>Fraser</c:v>
                </c:pt>
                <c:pt idx="24">
                  <c:v>Groveland Twp</c:v>
                </c:pt>
                <c:pt idx="25">
                  <c:v>Harrison Twp</c:v>
                </c:pt>
                <c:pt idx="26">
                  <c:v>Hazel Park</c:v>
                </c:pt>
                <c:pt idx="27">
                  <c:v>Highland Twp</c:v>
                </c:pt>
                <c:pt idx="28">
                  <c:v>Holly Twp</c:v>
                </c:pt>
                <c:pt idx="29">
                  <c:v>Holly Vlg</c:v>
                </c:pt>
                <c:pt idx="30">
                  <c:v>Huntington Woods</c:v>
                </c:pt>
                <c:pt idx="31">
                  <c:v>Independence Twp</c:v>
                </c:pt>
                <c:pt idx="32">
                  <c:v>Keego Harbor</c:v>
                </c:pt>
                <c:pt idx="33">
                  <c:v>Lake Orion</c:v>
                </c:pt>
                <c:pt idx="34">
                  <c:v>Lake Orion Vlg</c:v>
                </c:pt>
                <c:pt idx="35">
                  <c:v>Lathrup Village</c:v>
                </c:pt>
                <c:pt idx="36">
                  <c:v>Lenox Twp</c:v>
                </c:pt>
                <c:pt idx="37">
                  <c:v>Lyon Twp</c:v>
                </c:pt>
                <c:pt idx="38">
                  <c:v>Macomb Twp</c:v>
                </c:pt>
                <c:pt idx="39">
                  <c:v>Madison Heights</c:v>
                </c:pt>
                <c:pt idx="40">
                  <c:v>Memphis</c:v>
                </c:pt>
                <c:pt idx="41">
                  <c:v>Milford Twp</c:v>
                </c:pt>
                <c:pt idx="42">
                  <c:v>Milford Vlg</c:v>
                </c:pt>
                <c:pt idx="43">
                  <c:v>Mt. Clemens</c:v>
                </c:pt>
                <c:pt idx="44">
                  <c:v>New Baltimore</c:v>
                </c:pt>
                <c:pt idx="45">
                  <c:v>New Haven Vlg</c:v>
                </c:pt>
                <c:pt idx="46">
                  <c:v>Northville</c:v>
                </c:pt>
                <c:pt idx="47">
                  <c:v>Novi</c:v>
                </c:pt>
                <c:pt idx="48">
                  <c:v>Oak Park</c:v>
                </c:pt>
                <c:pt idx="49">
                  <c:v>Oakland Twp</c:v>
                </c:pt>
                <c:pt idx="50">
                  <c:v>Orchard Lake Village</c:v>
                </c:pt>
                <c:pt idx="51">
                  <c:v>Orion Twp</c:v>
                </c:pt>
                <c:pt idx="52">
                  <c:v>Ortonville Vlg</c:v>
                </c:pt>
                <c:pt idx="53">
                  <c:v>Oxford Twp</c:v>
                </c:pt>
                <c:pt idx="54">
                  <c:v>Oxford Vlg</c:v>
                </c:pt>
                <c:pt idx="55">
                  <c:v>Pleasant Ridge</c:v>
                </c:pt>
                <c:pt idx="56">
                  <c:v>Pontiac</c:v>
                </c:pt>
                <c:pt idx="57">
                  <c:v>Ray Twp</c:v>
                </c:pt>
                <c:pt idx="58">
                  <c:v>Richmond</c:v>
                </c:pt>
                <c:pt idx="59">
                  <c:v>Richmond Twp</c:v>
                </c:pt>
                <c:pt idx="60">
                  <c:v>Rochester</c:v>
                </c:pt>
                <c:pt idx="61">
                  <c:v>Rochester Hills</c:v>
                </c:pt>
                <c:pt idx="62">
                  <c:v>Romeo Vlg</c:v>
                </c:pt>
                <c:pt idx="63">
                  <c:v>Rose Twp</c:v>
                </c:pt>
                <c:pt idx="64">
                  <c:v>Roseville</c:v>
                </c:pt>
                <c:pt idx="65">
                  <c:v>Royal Oak</c:v>
                </c:pt>
                <c:pt idx="66">
                  <c:v>Royal Oak Twp</c:v>
                </c:pt>
                <c:pt idx="67">
                  <c:v>Shelby Twp</c:v>
                </c:pt>
                <c:pt idx="68">
                  <c:v>South Lyon</c:v>
                </c:pt>
                <c:pt idx="69">
                  <c:v>Southfield</c:v>
                </c:pt>
                <c:pt idx="70">
                  <c:v>Springfield Twp</c:v>
                </c:pt>
                <c:pt idx="71">
                  <c:v>St. Clair Shores</c:v>
                </c:pt>
                <c:pt idx="72">
                  <c:v>Sterling Heights</c:v>
                </c:pt>
                <c:pt idx="73">
                  <c:v>Sylvan Lake</c:v>
                </c:pt>
                <c:pt idx="74">
                  <c:v>Troy</c:v>
                </c:pt>
                <c:pt idx="75">
                  <c:v>Utica</c:v>
                </c:pt>
                <c:pt idx="76">
                  <c:v>Village Of Clarkston</c:v>
                </c:pt>
                <c:pt idx="77">
                  <c:v>Walled Lake</c:v>
                </c:pt>
                <c:pt idx="78">
                  <c:v>Warren</c:v>
                </c:pt>
                <c:pt idx="79">
                  <c:v>Washington Twp</c:v>
                </c:pt>
                <c:pt idx="80">
                  <c:v>Waterford Twp</c:v>
                </c:pt>
                <c:pt idx="81">
                  <c:v>West Bloomfield Twp</c:v>
                </c:pt>
                <c:pt idx="82">
                  <c:v>White Lake Twp</c:v>
                </c:pt>
                <c:pt idx="83">
                  <c:v>Wixom</c:v>
                </c:pt>
                <c:pt idx="84">
                  <c:v>Wolverine Lake Vlg</c:v>
                </c:pt>
                <c:pt idx="85">
                  <c:v>(blank)</c:v>
                </c:pt>
                <c:pt idx="86">
                  <c:v>Grand Total</c:v>
                </c:pt>
              </c:strCache>
            </c:strRef>
          </c:cat>
          <c:val>
            <c:numRef>
              <c:f>'Averages by City (Data Table)'!$F$2:$F$88</c:f>
              <c:numCache>
                <c:formatCode>"$"#,##0.00</c:formatCode>
                <c:ptCount val="87"/>
                <c:pt idx="0">
                  <c:v>238.55846757052458</c:v>
                </c:pt>
                <c:pt idx="1">
                  <c:v>170.89580594491943</c:v>
                </c:pt>
                <c:pt idx="2">
                  <c:v>193.22051936994467</c:v>
                </c:pt>
                <c:pt idx="3">
                  <c:v>173.7955159739243</c:v>
                </c:pt>
                <c:pt idx="4">
                  <c:v>271.39022390996774</c:v>
                </c:pt>
                <c:pt idx="5">
                  <c:v>256.08061153578876</c:v>
                </c:pt>
                <c:pt idx="6">
                  <c:v>254.9248258464257</c:v>
                </c:pt>
                <c:pt idx="7">
                  <c:v>400.88420837365481</c:v>
                </c:pt>
                <c:pt idx="8">
                  <c:v>303.02475899052774</c:v>
                </c:pt>
                <c:pt idx="9">
                  <c:v>281.28341056257392</c:v>
                </c:pt>
                <c:pt idx="10">
                  <c:v>182.62532600266709</c:v>
                </c:pt>
                <c:pt idx="11">
                  <c:v>227.41703221149382</c:v>
                </c:pt>
                <c:pt idx="12">
                  <c:v>157.33695270144017</c:v>
                </c:pt>
                <c:pt idx="13">
                  <c:v>191.07506987349555</c:v>
                </c:pt>
                <c:pt idx="14">
                  <c:v>210.51938527186053</c:v>
                </c:pt>
                <c:pt idx="15">
                  <c:v>254.63360616475498</c:v>
                </c:pt>
                <c:pt idx="16">
                  <c:v>171.02016537882005</c:v>
                </c:pt>
                <c:pt idx="17">
                  <c:v>227.66823480457489</c:v>
                </c:pt>
                <c:pt idx="18">
                  <c:v>134.530158189367</c:v>
                </c:pt>
                <c:pt idx="19">
                  <c:v>242.12441530952046</c:v>
                </c:pt>
                <c:pt idx="20">
                  <c:v>190.64794466921265</c:v>
                </c:pt>
                <c:pt idx="21">
                  <c:v>225.65484828475502</c:v>
                </c:pt>
                <c:pt idx="22">
                  <c:v>239.01361848144089</c:v>
                </c:pt>
                <c:pt idx="23">
                  <c:v>177.29859570609716</c:v>
                </c:pt>
                <c:pt idx="24">
                  <c:v>196.24774678715099</c:v>
                </c:pt>
                <c:pt idx="25">
                  <c:v>192.15361485723972</c:v>
                </c:pt>
                <c:pt idx="26">
                  <c:v>159.76431466887115</c:v>
                </c:pt>
                <c:pt idx="27">
                  <c:v>210.68645973737119</c:v>
                </c:pt>
                <c:pt idx="28">
                  <c:v>149.62438195989554</c:v>
                </c:pt>
                <c:pt idx="29">
                  <c:v>174.50585674966948</c:v>
                </c:pt>
                <c:pt idx="30">
                  <c:v>276.70486291377932</c:v>
                </c:pt>
                <c:pt idx="31">
                  <c:v>204.43700869704253</c:v>
                </c:pt>
                <c:pt idx="32">
                  <c:v>208.31356145661343</c:v>
                </c:pt>
                <c:pt idx="33">
                  <c:v>200.32154340836013</c:v>
                </c:pt>
                <c:pt idx="34">
                  <c:v>385.79810335363459</c:v>
                </c:pt>
                <c:pt idx="35">
                  <c:v>169.74236279776116</c:v>
                </c:pt>
                <c:pt idx="36">
                  <c:v>141.53977898140752</c:v>
                </c:pt>
                <c:pt idx="37">
                  <c:v>237.28744262504546</c:v>
                </c:pt>
                <c:pt idx="38">
                  <c:v>191.38511338787075</c:v>
                </c:pt>
                <c:pt idx="39">
                  <c:v>195.2140368835299</c:v>
                </c:pt>
                <c:pt idx="40">
                  <c:v>151.99522305724338</c:v>
                </c:pt>
                <c:pt idx="41">
                  <c:v>237.41575303833537</c:v>
                </c:pt>
                <c:pt idx="42">
                  <c:v>253.58366892331551</c:v>
                </c:pt>
                <c:pt idx="43">
                  <c:v>134.08501161510017</c:v>
                </c:pt>
                <c:pt idx="44">
                  <c:v>196.19712223949622</c:v>
                </c:pt>
                <c:pt idx="45">
                  <c:v>146.68003282528082</c:v>
                </c:pt>
                <c:pt idx="46">
                  <c:v>238.81519513706385</c:v>
                </c:pt>
                <c:pt idx="47">
                  <c:v>242.98347544226789</c:v>
                </c:pt>
                <c:pt idx="48">
                  <c:v>172.90556781151977</c:v>
                </c:pt>
                <c:pt idx="49">
                  <c:v>237.40459919586149</c:v>
                </c:pt>
                <c:pt idx="50">
                  <c:v>256.56190428499582</c:v>
                </c:pt>
                <c:pt idx="51">
                  <c:v>195.98547709449952</c:v>
                </c:pt>
                <c:pt idx="52">
                  <c:v>210.72470125770752</c:v>
                </c:pt>
                <c:pt idx="53">
                  <c:v>215.36402451886298</c:v>
                </c:pt>
                <c:pt idx="54">
                  <c:v>160.18990219528706</c:v>
                </c:pt>
                <c:pt idx="55">
                  <c:v>289.05305283733719</c:v>
                </c:pt>
                <c:pt idx="56">
                  <c:v>111.41414767806938</c:v>
                </c:pt>
                <c:pt idx="57">
                  <c:v>179.27062184590559</c:v>
                </c:pt>
                <c:pt idx="58">
                  <c:v>210.85290486592777</c:v>
                </c:pt>
                <c:pt idx="59">
                  <c:v>191.67637420833034</c:v>
                </c:pt>
                <c:pt idx="60">
                  <c:v>276.25897975961811</c:v>
                </c:pt>
                <c:pt idx="61">
                  <c:v>218.54814326638657</c:v>
                </c:pt>
                <c:pt idx="62">
                  <c:v>212.77678020139879</c:v>
                </c:pt>
                <c:pt idx="63">
                  <c:v>205.96578682906554</c:v>
                </c:pt>
                <c:pt idx="64">
                  <c:v>153.90700546353304</c:v>
                </c:pt>
                <c:pt idx="65">
                  <c:v>277.54403190604387</c:v>
                </c:pt>
                <c:pt idx="66">
                  <c:v>145.84943841436814</c:v>
                </c:pt>
                <c:pt idx="67">
                  <c:v>208.40733732130877</c:v>
                </c:pt>
                <c:pt idx="68">
                  <c:v>214.42779852723143</c:v>
                </c:pt>
                <c:pt idx="69">
                  <c:v>158.38325534719525</c:v>
                </c:pt>
                <c:pt idx="70">
                  <c:v>222.33841561018818</c:v>
                </c:pt>
                <c:pt idx="71">
                  <c:v>185.70408223500795</c:v>
                </c:pt>
                <c:pt idx="72">
                  <c:v>200.16353220751921</c:v>
                </c:pt>
                <c:pt idx="73">
                  <c:v>191.61735147014221</c:v>
                </c:pt>
                <c:pt idx="74">
                  <c:v>227.64728917995041</c:v>
                </c:pt>
                <c:pt idx="75">
                  <c:v>197.581166763444</c:v>
                </c:pt>
                <c:pt idx="76">
                  <c:v>178.85021276392627</c:v>
                </c:pt>
                <c:pt idx="77">
                  <c:v>197.14857464234589</c:v>
                </c:pt>
                <c:pt idx="78">
                  <c:v>154.14902466236464</c:v>
                </c:pt>
                <c:pt idx="79">
                  <c:v>223.75568364207064</c:v>
                </c:pt>
                <c:pt idx="80">
                  <c:v>192.76716725454247</c:v>
                </c:pt>
                <c:pt idx="81">
                  <c:v>210.78622440538595</c:v>
                </c:pt>
                <c:pt idx="82">
                  <c:v>223.24044702600258</c:v>
                </c:pt>
                <c:pt idx="83">
                  <c:v>220.16650623544155</c:v>
                </c:pt>
                <c:pt idx="84">
                  <c:v>227.50342178726504</c:v>
                </c:pt>
                <c:pt idx="85">
                  <c:v>161.34913400182316</c:v>
                </c:pt>
                <c:pt idx="86">
                  <c:v>201.9994763453021</c:v>
                </c:pt>
              </c:numCache>
            </c:numRef>
          </c:val>
          <c:smooth val="0"/>
          <c:extLst>
            <c:ext xmlns:c16="http://schemas.microsoft.com/office/drawing/2014/chart" uri="{C3380CC4-5D6E-409C-BE32-E72D297353CC}">
              <c16:uniqueId val="{00000000-2349-431A-95AC-02CB2381A4C9}"/>
            </c:ext>
          </c:extLst>
        </c:ser>
        <c:dLbls>
          <c:showLegendKey val="0"/>
          <c:showVal val="0"/>
          <c:showCatName val="0"/>
          <c:showSerName val="0"/>
          <c:showPercent val="0"/>
          <c:showBubbleSize val="0"/>
        </c:dLbls>
        <c:smooth val="0"/>
        <c:axId val="450681352"/>
        <c:axId val="450999304"/>
      </c:lineChart>
      <c:catAx>
        <c:axId val="450681352"/>
        <c:scaling>
          <c:orientation val="minMax"/>
        </c:scaling>
        <c:delete val="0"/>
        <c:axPos val="b"/>
        <c:numFmt formatCode="General" sourceLinked="1"/>
        <c:majorTickMark val="in"/>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999304"/>
        <c:crosses val="autoZero"/>
        <c:auto val="1"/>
        <c:lblAlgn val="ctr"/>
        <c:lblOffset val="100"/>
        <c:noMultiLvlLbl val="0"/>
      </c:catAx>
      <c:valAx>
        <c:axId val="4509993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681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[Project_4_Home_Sales_In_Macomb_Oakland_Final.xlsm]Averages by County!SquareFeetByCounty</c:name>
    <c:fmtId val="1"/>
  </c:pivotSource>
  <c:chart>
    <c:autoTitleDeleted val="0"/>
    <c:pivotFmts>
      <c:pivotFmt>
        <c:idx val="0"/>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'Averages by County'!$B$3</c:f>
              <c:strCache>
                <c:ptCount val="1"/>
                <c:pt idx="0">
                  <c:v>Average of Sq Ft</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'Averages by County'!$A$4:$A$6</c:f>
              <c:strCache>
                <c:ptCount val="2"/>
                <c:pt idx="0">
                  <c:v>Macomb</c:v>
                </c:pt>
                <c:pt idx="1">
                  <c:v>Oakland</c:v>
                </c:pt>
              </c:strCache>
            </c:strRef>
          </c:cat>
          <c:val>
            <c:numRef>
              <c:f>'Averages by County'!$B$4:$B$6</c:f>
              <c:numCache>
                <c:formatCode>0</c:formatCode>
                <c:ptCount val="2"/>
                <c:pt idx="0">
                  <c:v>1581.746546961326</c:v>
                </c:pt>
                <c:pt idx="1">
                  <c:v>1911.4902241297091</c:v>
                </c:pt>
              </c:numCache>
            </c:numRef>
          </c:val>
          <c:extLst>
            <c:ext xmlns:c16="http://schemas.microsoft.com/office/drawing/2014/chart" uri="{C3380CC4-5D6E-409C-BE32-E72D297353CC}">
              <c16:uniqueId val="{00000000-A22B-49A1-92CB-E075EC4C8BCF}"/>
            </c:ext>
          </c:extLst>
        </c:ser>
        <c:ser>
          <c:idx val="1"/>
          <c:order val="1"/>
          <c:tx>
            <c:strRef>
              <c:f>'Averages by County'!$C$3</c:f>
              <c:strCache>
                <c:ptCount val="1"/>
                <c:pt idx="0">
                  <c:v>Min of Sq Ft</c:v>
                </c:pt>
              </c:strCache>
            </c:strRef>
          </c:tx>
          <c:spPr>
            <a:pattFill prst="ltDnDiag">
              <a:fgClr>
                <a:schemeClr val="accent2"/>
              </a:fgClr>
              <a:bgClr>
                <a:schemeClr val="accent2">
                  <a:lumMod val="20000"/>
                  <a:lumOff val="80000"/>
                </a:schemeClr>
              </a:bgClr>
            </a:pattFill>
            <a:ln>
              <a:solidFill>
                <a:schemeClr val="accent2"/>
              </a:solidFill>
            </a:ln>
            <a:effectLst/>
            <a:sp3d>
              <a:contourClr>
                <a:schemeClr val="accent2"/>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'Averages by County'!$A$4:$A$6</c:f>
              <c:strCache>
                <c:ptCount val="2"/>
                <c:pt idx="0">
                  <c:v>Macomb</c:v>
                </c:pt>
                <c:pt idx="1">
                  <c:v>Oakland</c:v>
                </c:pt>
              </c:strCache>
            </c:strRef>
          </c:cat>
          <c:val>
            <c:numRef>
              <c:f>'Averages by County'!$C$4:$C$6</c:f>
              <c:numCache>
                <c:formatCode>0</c:formatCode>
                <c:ptCount val="2"/>
                <c:pt idx="0">
                  <c:v>596</c:v>
                </c:pt>
                <c:pt idx="1">
                  <c:v>262</c:v>
                </c:pt>
              </c:numCache>
            </c:numRef>
          </c:val>
          <c:extLst>
            <c:ext xmlns:c16="http://schemas.microsoft.com/office/drawing/2014/chart" uri="{C3380CC4-5D6E-409C-BE32-E72D297353CC}">
              <c16:uniqueId val="{00000001-A22B-49A1-92CB-E075EC4C8BCF}"/>
            </c:ext>
          </c:extLst>
        </c:ser>
        <c:ser>
          <c:idx val="2"/>
          <c:order val="2"/>
          <c:tx>
            <c:strRef>
              <c:f>'Averages by County'!$D$3</c:f>
              <c:strCache>
                <c:ptCount val="1"/>
                <c:pt idx="0">
                  <c:v>Max of Sq Ft2</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'Averages by County'!$A$4:$A$6</c:f>
              <c:strCache>
                <c:ptCount val="2"/>
                <c:pt idx="0">
                  <c:v>Macomb</c:v>
                </c:pt>
                <c:pt idx="1">
                  <c:v>Oakland</c:v>
                </c:pt>
              </c:strCache>
            </c:strRef>
          </c:cat>
          <c:val>
            <c:numRef>
              <c:f>'Averages by County'!$D$4:$D$6</c:f>
              <c:numCache>
                <c:formatCode>0</c:formatCode>
                <c:ptCount val="2"/>
                <c:pt idx="0">
                  <c:v>6024</c:v>
                </c:pt>
                <c:pt idx="1">
                  <c:v>9800</c:v>
                </c:pt>
              </c:numCache>
            </c:numRef>
          </c:val>
          <c:extLst>
            <c:ext xmlns:c16="http://schemas.microsoft.com/office/drawing/2014/chart" uri="{C3380CC4-5D6E-409C-BE32-E72D297353CC}">
              <c16:uniqueId val="{00000002-A22B-49A1-92CB-E075EC4C8BCF}"/>
            </c:ext>
          </c:extLst>
        </c:ser>
        <c:dLbls>
          <c:showLegendKey val="0"/>
          <c:showVal val="0"/>
          <c:showCatName val="0"/>
          <c:showSerName val="0"/>
          <c:showPercent val="0"/>
          <c:showBubbleSize val="0"/>
        </c:dLbls>
        <c:gapWidth val="160"/>
        <c:gapDepth val="0"/>
        <c:shape val="box"/>
        <c:axId val="658483568"/>
        <c:axId val="658482128"/>
        <c:axId val="0"/>
      </c:bar3DChart>
      <c:catAx>
        <c:axId val="658483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482128"/>
        <c:crosses val="autoZero"/>
        <c:auto val="1"/>
        <c:lblAlgn val="ctr"/>
        <c:lblOffset val="100"/>
        <c:noMultiLvlLbl val="0"/>
      </c:catAx>
      <c:valAx>
        <c:axId val="65848212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483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[Project_4_Home_Sales_In_Macomb_Oakland_Final.xlsm]Averages by County!DoMByCounty</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'Averages by County'!$J$3</c:f>
              <c:strCache>
                <c:ptCount val="1"/>
                <c:pt idx="0">
                  <c:v>Max of Days on Market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'Averages by County'!$I$4:$I$6</c:f>
              <c:strCache>
                <c:ptCount val="2"/>
                <c:pt idx="0">
                  <c:v>Macomb</c:v>
                </c:pt>
                <c:pt idx="1">
                  <c:v>Oakland</c:v>
                </c:pt>
              </c:strCache>
            </c:strRef>
          </c:cat>
          <c:val>
            <c:numRef>
              <c:f>'Averages by County'!$J$4:$J$6</c:f>
              <c:numCache>
                <c:formatCode>General</c:formatCode>
                <c:ptCount val="2"/>
                <c:pt idx="0">
                  <c:v>901</c:v>
                </c:pt>
                <c:pt idx="1">
                  <c:v>595</c:v>
                </c:pt>
              </c:numCache>
            </c:numRef>
          </c:val>
          <c:extLst>
            <c:ext xmlns:c16="http://schemas.microsoft.com/office/drawing/2014/chart" uri="{C3380CC4-5D6E-409C-BE32-E72D297353CC}">
              <c16:uniqueId val="{00000000-04EF-406A-A4B7-9B24EBAEE5A3}"/>
            </c:ext>
          </c:extLst>
        </c:ser>
        <c:ser>
          <c:idx val="1"/>
          <c:order val="1"/>
          <c:tx>
            <c:strRef>
              <c:f>'Averages by County'!$K$3</c:f>
              <c:strCache>
                <c:ptCount val="1"/>
                <c:pt idx="0">
                  <c:v>Average of Days on Market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'Averages by County'!$I$4:$I$6</c:f>
              <c:strCache>
                <c:ptCount val="2"/>
                <c:pt idx="0">
                  <c:v>Macomb</c:v>
                </c:pt>
                <c:pt idx="1">
                  <c:v>Oakland</c:v>
                </c:pt>
              </c:strCache>
            </c:strRef>
          </c:cat>
          <c:val>
            <c:numRef>
              <c:f>'Averages by County'!$K$4:$K$6</c:f>
              <c:numCache>
                <c:formatCode>0.00</c:formatCode>
                <c:ptCount val="2"/>
                <c:pt idx="0">
                  <c:v>39.506906077348063</c:v>
                </c:pt>
                <c:pt idx="1">
                  <c:v>41.763948497854081</c:v>
                </c:pt>
              </c:numCache>
            </c:numRef>
          </c:val>
          <c:extLst>
            <c:ext xmlns:c16="http://schemas.microsoft.com/office/drawing/2014/chart" uri="{C3380CC4-5D6E-409C-BE32-E72D297353CC}">
              <c16:uniqueId val="{00000001-04EF-406A-A4B7-9B24EBAEE5A3}"/>
            </c:ext>
          </c:extLst>
        </c:ser>
        <c:dLbls>
          <c:showLegendKey val="0"/>
          <c:showVal val="0"/>
          <c:showCatName val="0"/>
          <c:showSerName val="0"/>
          <c:showPercent val="0"/>
          <c:showBubbleSize val="0"/>
        </c:dLbls>
        <c:gapWidth val="182"/>
        <c:axId val="2011127440"/>
        <c:axId val="2011127920"/>
      </c:barChart>
      <c:catAx>
        <c:axId val="2011127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127920"/>
        <c:crosses val="autoZero"/>
        <c:auto val="1"/>
        <c:lblAlgn val="ctr"/>
        <c:lblOffset val="100"/>
        <c:noMultiLvlLbl val="0"/>
      </c:catAx>
      <c:valAx>
        <c:axId val="201112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127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156082"/>
                </a:solidFill>
                <a:latin typeface="+mn-lt"/>
                <a:ea typeface="+mn-ea"/>
                <a:cs typeface="+mn-cs"/>
              </a:defRPr>
            </a:pPr>
            <a:r>
              <a:rPr lang="en-US"/>
              <a:t>Price per Sq Ft Analysis</a:t>
            </a:r>
          </a:p>
        </c:rich>
      </c:tx>
      <c:layout>
        <c:manualLayout>
          <c:xMode val="edge"/>
          <c:yMode val="edge"/>
          <c:x val="0.41388271515026892"/>
          <c:y val="1.915497533492352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156082"/>
              </a:solidFill>
              <a:latin typeface="+mn-lt"/>
              <a:ea typeface="+mn-ea"/>
              <a:cs typeface="+mn-cs"/>
            </a:defRPr>
          </a:pPr>
          <a:endParaRPr lang="en-US"/>
        </a:p>
      </c:txPr>
    </c:title>
    <c:autoTitleDeleted val="0"/>
    <c:plotArea>
      <c:layout/>
      <c:scatterChart>
        <c:scatterStyle val="lineMarker"/>
        <c:varyColors val="0"/>
        <c:ser>
          <c:idx val="0"/>
          <c:order val="0"/>
          <c:tx>
            <c:strRef>
              <c:f>'Unified Data'!$I$1</c:f>
              <c:strCache>
                <c:ptCount val="1"/>
                <c:pt idx="0">
                  <c:v>Price per Sq Ft</c:v>
                </c:pt>
              </c:strCache>
            </c:strRef>
          </c:tx>
          <c:spPr>
            <a:ln w="25400" cap="rnd">
              <a:noFill/>
              <a:round/>
            </a:ln>
            <a:effectLst/>
          </c:spPr>
          <c:marker>
            <c:symbol val="circle"/>
            <c:size val="5"/>
            <c:spPr>
              <a:solidFill>
                <a:schemeClr val="accent1"/>
              </a:solidFill>
              <a:ln w="9525">
                <a:solidFill>
                  <a:schemeClr val="accent1"/>
                </a:solidFill>
              </a:ln>
              <a:effectLst/>
            </c:spPr>
          </c:marker>
          <c:xVal>
            <c:numRef>
              <c:f>'Unified Data'!$H$2:$H$3546</c:f>
              <c:numCache>
                <c:formatCode>General</c:formatCode>
                <c:ptCount val="3545"/>
                <c:pt idx="0">
                  <c:v>1826</c:v>
                </c:pt>
                <c:pt idx="1">
                  <c:v>758</c:v>
                </c:pt>
                <c:pt idx="2" formatCode="#,##0">
                  <c:v>1216</c:v>
                </c:pt>
                <c:pt idx="3" formatCode="#,##0">
                  <c:v>1100</c:v>
                </c:pt>
                <c:pt idx="4" formatCode="#,##0">
                  <c:v>1100</c:v>
                </c:pt>
                <c:pt idx="5" formatCode="#,##0">
                  <c:v>1352</c:v>
                </c:pt>
                <c:pt idx="6" formatCode="#,##0">
                  <c:v>1424</c:v>
                </c:pt>
                <c:pt idx="7" formatCode="#,##0">
                  <c:v>1161</c:v>
                </c:pt>
                <c:pt idx="8" formatCode="#,##0">
                  <c:v>1152</c:v>
                </c:pt>
                <c:pt idx="9" formatCode="#,##0">
                  <c:v>1143</c:v>
                </c:pt>
                <c:pt idx="10">
                  <c:v>958</c:v>
                </c:pt>
                <c:pt idx="11">
                  <c:v>773</c:v>
                </c:pt>
                <c:pt idx="12" formatCode="#,##0">
                  <c:v>1524</c:v>
                </c:pt>
                <c:pt idx="13">
                  <c:v>858</c:v>
                </c:pt>
                <c:pt idx="14">
                  <c:v>771</c:v>
                </c:pt>
                <c:pt idx="15" formatCode="#,##0">
                  <c:v>1516</c:v>
                </c:pt>
                <c:pt idx="16" formatCode="#,##0">
                  <c:v>1759</c:v>
                </c:pt>
                <c:pt idx="17">
                  <c:v>673</c:v>
                </c:pt>
                <c:pt idx="18">
                  <c:v>862</c:v>
                </c:pt>
                <c:pt idx="19">
                  <c:v>769</c:v>
                </c:pt>
                <c:pt idx="20">
                  <c:v>643</c:v>
                </c:pt>
                <c:pt idx="21" formatCode="#,##0">
                  <c:v>1612</c:v>
                </c:pt>
                <c:pt idx="22">
                  <c:v>848</c:v>
                </c:pt>
                <c:pt idx="23" formatCode="#,##0">
                  <c:v>1030</c:v>
                </c:pt>
                <c:pt idx="24" formatCode="#,##0">
                  <c:v>1860</c:v>
                </c:pt>
                <c:pt idx="25">
                  <c:v>887</c:v>
                </c:pt>
                <c:pt idx="26">
                  <c:v>930</c:v>
                </c:pt>
                <c:pt idx="27" formatCode="#,##0">
                  <c:v>1128</c:v>
                </c:pt>
                <c:pt idx="28">
                  <c:v>739</c:v>
                </c:pt>
                <c:pt idx="29">
                  <c:v>912</c:v>
                </c:pt>
                <c:pt idx="30">
                  <c:v>707</c:v>
                </c:pt>
                <c:pt idx="31" formatCode="#,##0">
                  <c:v>1003</c:v>
                </c:pt>
                <c:pt idx="32">
                  <c:v>964</c:v>
                </c:pt>
                <c:pt idx="33" formatCode="#,##0">
                  <c:v>1904</c:v>
                </c:pt>
                <c:pt idx="34" formatCode="#,##0">
                  <c:v>1337</c:v>
                </c:pt>
                <c:pt idx="35">
                  <c:v>739</c:v>
                </c:pt>
                <c:pt idx="36" formatCode="#,##0">
                  <c:v>2331</c:v>
                </c:pt>
                <c:pt idx="37" formatCode="#,##0">
                  <c:v>1215</c:v>
                </c:pt>
                <c:pt idx="38">
                  <c:v>685</c:v>
                </c:pt>
                <c:pt idx="39" formatCode="#,##0">
                  <c:v>1085</c:v>
                </c:pt>
                <c:pt idx="40">
                  <c:v>792</c:v>
                </c:pt>
                <c:pt idx="41">
                  <c:v>880</c:v>
                </c:pt>
                <c:pt idx="42" formatCode="#,##0">
                  <c:v>1600</c:v>
                </c:pt>
                <c:pt idx="43">
                  <c:v>731</c:v>
                </c:pt>
                <c:pt idx="44" formatCode="#,##0">
                  <c:v>1009</c:v>
                </c:pt>
                <c:pt idx="45">
                  <c:v>948</c:v>
                </c:pt>
                <c:pt idx="46">
                  <c:v>988</c:v>
                </c:pt>
                <c:pt idx="47" formatCode="#,##0">
                  <c:v>1484</c:v>
                </c:pt>
                <c:pt idx="48">
                  <c:v>995</c:v>
                </c:pt>
                <c:pt idx="49">
                  <c:v>852</c:v>
                </c:pt>
                <c:pt idx="50" formatCode="#,##0">
                  <c:v>1057</c:v>
                </c:pt>
                <c:pt idx="51" formatCode="#,##0">
                  <c:v>1284</c:v>
                </c:pt>
                <c:pt idx="52">
                  <c:v>870</c:v>
                </c:pt>
                <c:pt idx="53">
                  <c:v>786</c:v>
                </c:pt>
                <c:pt idx="54">
                  <c:v>468</c:v>
                </c:pt>
                <c:pt idx="55" formatCode="#,##0">
                  <c:v>1007</c:v>
                </c:pt>
                <c:pt idx="56" formatCode="#,##0">
                  <c:v>1109</c:v>
                </c:pt>
                <c:pt idx="57">
                  <c:v>828</c:v>
                </c:pt>
                <c:pt idx="58">
                  <c:v>930</c:v>
                </c:pt>
                <c:pt idx="59">
                  <c:v>943</c:v>
                </c:pt>
                <c:pt idx="60">
                  <c:v>543</c:v>
                </c:pt>
                <c:pt idx="61">
                  <c:v>915</c:v>
                </c:pt>
                <c:pt idx="62" formatCode="#,##0">
                  <c:v>1477</c:v>
                </c:pt>
                <c:pt idx="63">
                  <c:v>723</c:v>
                </c:pt>
                <c:pt idx="64">
                  <c:v>700</c:v>
                </c:pt>
                <c:pt idx="65" formatCode="#,##0">
                  <c:v>1675</c:v>
                </c:pt>
                <c:pt idx="66">
                  <c:v>786</c:v>
                </c:pt>
                <c:pt idx="67">
                  <c:v>895</c:v>
                </c:pt>
                <c:pt idx="68" formatCode="#,##0">
                  <c:v>1310</c:v>
                </c:pt>
                <c:pt idx="69">
                  <c:v>791</c:v>
                </c:pt>
                <c:pt idx="70">
                  <c:v>727</c:v>
                </c:pt>
                <c:pt idx="71" formatCode="#,##0">
                  <c:v>1039</c:v>
                </c:pt>
                <c:pt idx="72">
                  <c:v>846</c:v>
                </c:pt>
                <c:pt idx="73" formatCode="#,##0">
                  <c:v>1851</c:v>
                </c:pt>
                <c:pt idx="74">
                  <c:v>842</c:v>
                </c:pt>
                <c:pt idx="75">
                  <c:v>262</c:v>
                </c:pt>
                <c:pt idx="76" formatCode="#,##0">
                  <c:v>1472</c:v>
                </c:pt>
                <c:pt idx="77" formatCode="#,##0">
                  <c:v>1275</c:v>
                </c:pt>
                <c:pt idx="78">
                  <c:v>716</c:v>
                </c:pt>
                <c:pt idx="79">
                  <c:v>650</c:v>
                </c:pt>
                <c:pt idx="80" formatCode="#,##0">
                  <c:v>1120</c:v>
                </c:pt>
                <c:pt idx="81">
                  <c:v>900</c:v>
                </c:pt>
                <c:pt idx="82" formatCode="#,##0">
                  <c:v>1494</c:v>
                </c:pt>
                <c:pt idx="83">
                  <c:v>630</c:v>
                </c:pt>
                <c:pt idx="84">
                  <c:v>864</c:v>
                </c:pt>
                <c:pt idx="85" formatCode="#,##0">
                  <c:v>1024</c:v>
                </c:pt>
                <c:pt idx="86" formatCode="#,##0">
                  <c:v>1372</c:v>
                </c:pt>
                <c:pt idx="87" formatCode="#,##0">
                  <c:v>1000</c:v>
                </c:pt>
                <c:pt idx="88" formatCode="#,##0">
                  <c:v>2026</c:v>
                </c:pt>
                <c:pt idx="89" formatCode="#,##0">
                  <c:v>1200</c:v>
                </c:pt>
                <c:pt idx="90" formatCode="#,##0">
                  <c:v>1438</c:v>
                </c:pt>
                <c:pt idx="91">
                  <c:v>924</c:v>
                </c:pt>
                <c:pt idx="92" formatCode="#,##0">
                  <c:v>1200</c:v>
                </c:pt>
                <c:pt idx="93" formatCode="#,##0">
                  <c:v>1224</c:v>
                </c:pt>
                <c:pt idx="94">
                  <c:v>845</c:v>
                </c:pt>
                <c:pt idx="95" formatCode="#,##0">
                  <c:v>1122</c:v>
                </c:pt>
                <c:pt idx="96" formatCode="#,##0">
                  <c:v>1018</c:v>
                </c:pt>
                <c:pt idx="97" formatCode="#,##0">
                  <c:v>2078</c:v>
                </c:pt>
                <c:pt idx="98" formatCode="#,##0">
                  <c:v>1004</c:v>
                </c:pt>
                <c:pt idx="99">
                  <c:v>952</c:v>
                </c:pt>
                <c:pt idx="100">
                  <c:v>874</c:v>
                </c:pt>
                <c:pt idx="101">
                  <c:v>861</c:v>
                </c:pt>
                <c:pt idx="102">
                  <c:v>725</c:v>
                </c:pt>
                <c:pt idx="103" formatCode="#,##0">
                  <c:v>1100</c:v>
                </c:pt>
                <c:pt idx="104" formatCode="#,##0">
                  <c:v>1100</c:v>
                </c:pt>
                <c:pt idx="105" formatCode="#,##0">
                  <c:v>2730</c:v>
                </c:pt>
                <c:pt idx="106">
                  <c:v>960</c:v>
                </c:pt>
                <c:pt idx="107">
                  <c:v>836</c:v>
                </c:pt>
                <c:pt idx="108">
                  <c:v>798</c:v>
                </c:pt>
                <c:pt idx="109">
                  <c:v>896</c:v>
                </c:pt>
                <c:pt idx="110">
                  <c:v>840</c:v>
                </c:pt>
                <c:pt idx="111">
                  <c:v>828</c:v>
                </c:pt>
                <c:pt idx="112" formatCode="#,##0">
                  <c:v>1097</c:v>
                </c:pt>
                <c:pt idx="113" formatCode="#,##0">
                  <c:v>1010</c:v>
                </c:pt>
                <c:pt idx="114">
                  <c:v>889</c:v>
                </c:pt>
                <c:pt idx="115" formatCode="#,##0">
                  <c:v>1220</c:v>
                </c:pt>
                <c:pt idx="116" formatCode="#,##0">
                  <c:v>1049</c:v>
                </c:pt>
                <c:pt idx="117">
                  <c:v>802</c:v>
                </c:pt>
                <c:pt idx="118" formatCode="#,##0">
                  <c:v>1418</c:v>
                </c:pt>
                <c:pt idx="119">
                  <c:v>780</c:v>
                </c:pt>
                <c:pt idx="120">
                  <c:v>845</c:v>
                </c:pt>
                <c:pt idx="121">
                  <c:v>890</c:v>
                </c:pt>
                <c:pt idx="122">
                  <c:v>951</c:v>
                </c:pt>
                <c:pt idx="123">
                  <c:v>940</c:v>
                </c:pt>
                <c:pt idx="124" formatCode="#,##0">
                  <c:v>1062</c:v>
                </c:pt>
                <c:pt idx="125">
                  <c:v>983</c:v>
                </c:pt>
                <c:pt idx="126">
                  <c:v>574</c:v>
                </c:pt>
                <c:pt idx="127" formatCode="#,##0">
                  <c:v>1125</c:v>
                </c:pt>
                <c:pt idx="128">
                  <c:v>585</c:v>
                </c:pt>
                <c:pt idx="129">
                  <c:v>701</c:v>
                </c:pt>
                <c:pt idx="130" formatCode="#,##0">
                  <c:v>1232</c:v>
                </c:pt>
                <c:pt idx="131" formatCode="#,##0">
                  <c:v>1116</c:v>
                </c:pt>
                <c:pt idx="132">
                  <c:v>992</c:v>
                </c:pt>
                <c:pt idx="133" formatCode="#,##0">
                  <c:v>1019</c:v>
                </c:pt>
                <c:pt idx="134" formatCode="#,##0">
                  <c:v>1089</c:v>
                </c:pt>
                <c:pt idx="135">
                  <c:v>936</c:v>
                </c:pt>
                <c:pt idx="136">
                  <c:v>994</c:v>
                </c:pt>
                <c:pt idx="137" formatCode="#,##0">
                  <c:v>1362</c:v>
                </c:pt>
                <c:pt idx="138" formatCode="#,##0">
                  <c:v>1969</c:v>
                </c:pt>
                <c:pt idx="139" formatCode="#,##0">
                  <c:v>1848</c:v>
                </c:pt>
                <c:pt idx="140" formatCode="#,##0">
                  <c:v>1503</c:v>
                </c:pt>
                <c:pt idx="141">
                  <c:v>924</c:v>
                </c:pt>
                <c:pt idx="142" formatCode="#,##0">
                  <c:v>1175</c:v>
                </c:pt>
                <c:pt idx="143" formatCode="#,##0">
                  <c:v>1362</c:v>
                </c:pt>
                <c:pt idx="144">
                  <c:v>828</c:v>
                </c:pt>
                <c:pt idx="145">
                  <c:v>750</c:v>
                </c:pt>
                <c:pt idx="146" formatCode="#,##0">
                  <c:v>1179</c:v>
                </c:pt>
                <c:pt idx="147">
                  <c:v>707</c:v>
                </c:pt>
                <c:pt idx="148">
                  <c:v>795</c:v>
                </c:pt>
                <c:pt idx="149" formatCode="#,##0">
                  <c:v>1085</c:v>
                </c:pt>
                <c:pt idx="150" formatCode="#,##0">
                  <c:v>1008</c:v>
                </c:pt>
                <c:pt idx="151">
                  <c:v>977</c:v>
                </c:pt>
                <c:pt idx="152" formatCode="#,##0">
                  <c:v>1430</c:v>
                </c:pt>
                <c:pt idx="153" formatCode="#,##0">
                  <c:v>1258</c:v>
                </c:pt>
                <c:pt idx="154">
                  <c:v>860</c:v>
                </c:pt>
                <c:pt idx="155" formatCode="#,##0">
                  <c:v>1039</c:v>
                </c:pt>
                <c:pt idx="156" formatCode="#,##0">
                  <c:v>1022</c:v>
                </c:pt>
                <c:pt idx="157">
                  <c:v>965</c:v>
                </c:pt>
                <c:pt idx="158">
                  <c:v>627</c:v>
                </c:pt>
                <c:pt idx="159">
                  <c:v>802</c:v>
                </c:pt>
                <c:pt idx="160" formatCode="#,##0">
                  <c:v>1252</c:v>
                </c:pt>
                <c:pt idx="161">
                  <c:v>905</c:v>
                </c:pt>
                <c:pt idx="162">
                  <c:v>800</c:v>
                </c:pt>
                <c:pt idx="163" formatCode="#,##0">
                  <c:v>1400</c:v>
                </c:pt>
                <c:pt idx="164" formatCode="#,##0">
                  <c:v>1001</c:v>
                </c:pt>
                <c:pt idx="165">
                  <c:v>966</c:v>
                </c:pt>
                <c:pt idx="166" formatCode="#,##0">
                  <c:v>1505</c:v>
                </c:pt>
                <c:pt idx="167">
                  <c:v>942</c:v>
                </c:pt>
                <c:pt idx="168" formatCode="#,##0">
                  <c:v>2213</c:v>
                </c:pt>
                <c:pt idx="169" formatCode="#,##0">
                  <c:v>1172</c:v>
                </c:pt>
                <c:pt idx="170" formatCode="#,##0">
                  <c:v>1839</c:v>
                </c:pt>
                <c:pt idx="171" formatCode="#,##0">
                  <c:v>1200</c:v>
                </c:pt>
                <c:pt idx="172">
                  <c:v>724</c:v>
                </c:pt>
                <c:pt idx="173">
                  <c:v>647</c:v>
                </c:pt>
                <c:pt idx="174">
                  <c:v>696</c:v>
                </c:pt>
                <c:pt idx="175">
                  <c:v>844</c:v>
                </c:pt>
                <c:pt idx="176">
                  <c:v>939</c:v>
                </c:pt>
                <c:pt idx="177">
                  <c:v>900</c:v>
                </c:pt>
                <c:pt idx="178">
                  <c:v>852</c:v>
                </c:pt>
                <c:pt idx="179">
                  <c:v>998</c:v>
                </c:pt>
                <c:pt idx="180">
                  <c:v>696</c:v>
                </c:pt>
                <c:pt idx="181">
                  <c:v>888</c:v>
                </c:pt>
                <c:pt idx="182" formatCode="#,##0">
                  <c:v>1052</c:v>
                </c:pt>
                <c:pt idx="183" formatCode="#,##0">
                  <c:v>1650</c:v>
                </c:pt>
                <c:pt idx="184">
                  <c:v>886</c:v>
                </c:pt>
                <c:pt idx="185" formatCode="#,##0">
                  <c:v>1386</c:v>
                </c:pt>
                <c:pt idx="186">
                  <c:v>896</c:v>
                </c:pt>
                <c:pt idx="187" formatCode="#,##0">
                  <c:v>1150</c:v>
                </c:pt>
                <c:pt idx="188">
                  <c:v>768</c:v>
                </c:pt>
                <c:pt idx="189" formatCode="#,##0">
                  <c:v>1218</c:v>
                </c:pt>
                <c:pt idx="190">
                  <c:v>701</c:v>
                </c:pt>
                <c:pt idx="191">
                  <c:v>936</c:v>
                </c:pt>
                <c:pt idx="192" formatCode="#,##0">
                  <c:v>1720</c:v>
                </c:pt>
                <c:pt idx="193">
                  <c:v>816</c:v>
                </c:pt>
                <c:pt idx="194" formatCode="#,##0">
                  <c:v>1037</c:v>
                </c:pt>
                <c:pt idx="195" formatCode="#,##0">
                  <c:v>1366</c:v>
                </c:pt>
                <c:pt idx="196" formatCode="#,##0">
                  <c:v>1748</c:v>
                </c:pt>
                <c:pt idx="197" formatCode="#,##0">
                  <c:v>1395</c:v>
                </c:pt>
                <c:pt idx="198">
                  <c:v>886</c:v>
                </c:pt>
                <c:pt idx="199" formatCode="#,##0">
                  <c:v>1337</c:v>
                </c:pt>
                <c:pt idx="200" formatCode="#,##0">
                  <c:v>1056</c:v>
                </c:pt>
                <c:pt idx="201" formatCode="#,##0">
                  <c:v>1134</c:v>
                </c:pt>
                <c:pt idx="202" formatCode="#,##0">
                  <c:v>1136</c:v>
                </c:pt>
                <c:pt idx="203" formatCode="#,##0">
                  <c:v>1390</c:v>
                </c:pt>
                <c:pt idx="204" formatCode="#,##0">
                  <c:v>1238</c:v>
                </c:pt>
                <c:pt idx="205">
                  <c:v>950</c:v>
                </c:pt>
                <c:pt idx="206">
                  <c:v>927</c:v>
                </c:pt>
                <c:pt idx="207" formatCode="#,##0">
                  <c:v>1274</c:v>
                </c:pt>
                <c:pt idx="208">
                  <c:v>900</c:v>
                </c:pt>
                <c:pt idx="209" formatCode="#,##0">
                  <c:v>1350</c:v>
                </c:pt>
                <c:pt idx="210" formatCode="#,##0">
                  <c:v>1000</c:v>
                </c:pt>
                <c:pt idx="211" formatCode="#,##0">
                  <c:v>1070</c:v>
                </c:pt>
                <c:pt idx="212">
                  <c:v>910</c:v>
                </c:pt>
                <c:pt idx="213">
                  <c:v>960</c:v>
                </c:pt>
                <c:pt idx="214" formatCode="#,##0">
                  <c:v>1495</c:v>
                </c:pt>
                <c:pt idx="215" formatCode="#,##0">
                  <c:v>1053</c:v>
                </c:pt>
                <c:pt idx="216" formatCode="#,##0">
                  <c:v>1218</c:v>
                </c:pt>
                <c:pt idx="217" formatCode="#,##0">
                  <c:v>1320</c:v>
                </c:pt>
                <c:pt idx="218" formatCode="#,##0">
                  <c:v>1566</c:v>
                </c:pt>
                <c:pt idx="219" formatCode="#,##0">
                  <c:v>1040</c:v>
                </c:pt>
                <c:pt idx="220">
                  <c:v>879</c:v>
                </c:pt>
                <c:pt idx="221" formatCode="#,##0">
                  <c:v>1017</c:v>
                </c:pt>
                <c:pt idx="222" formatCode="#,##0">
                  <c:v>1144</c:v>
                </c:pt>
                <c:pt idx="223" formatCode="#,##0">
                  <c:v>1090</c:v>
                </c:pt>
                <c:pt idx="224" formatCode="#,##0">
                  <c:v>1100</c:v>
                </c:pt>
                <c:pt idx="225" formatCode="#,##0">
                  <c:v>1150</c:v>
                </c:pt>
                <c:pt idx="226" formatCode="#,##0">
                  <c:v>1201</c:v>
                </c:pt>
                <c:pt idx="227">
                  <c:v>764</c:v>
                </c:pt>
                <c:pt idx="228" formatCode="#,##0">
                  <c:v>1170</c:v>
                </c:pt>
                <c:pt idx="229" formatCode="#,##0">
                  <c:v>1104</c:v>
                </c:pt>
                <c:pt idx="230" formatCode="#,##0">
                  <c:v>1320</c:v>
                </c:pt>
                <c:pt idx="231">
                  <c:v>853</c:v>
                </c:pt>
                <c:pt idx="232">
                  <c:v>751</c:v>
                </c:pt>
                <c:pt idx="233">
                  <c:v>912</c:v>
                </c:pt>
                <c:pt idx="234">
                  <c:v>932</c:v>
                </c:pt>
                <c:pt idx="235" formatCode="#,##0">
                  <c:v>1020</c:v>
                </c:pt>
                <c:pt idx="236">
                  <c:v>896</c:v>
                </c:pt>
                <c:pt idx="237" formatCode="#,##0">
                  <c:v>1021</c:v>
                </c:pt>
                <c:pt idx="238" formatCode="#,##0">
                  <c:v>1068</c:v>
                </c:pt>
                <c:pt idx="239" formatCode="#,##0">
                  <c:v>1866</c:v>
                </c:pt>
                <c:pt idx="240" formatCode="#,##0">
                  <c:v>1308</c:v>
                </c:pt>
                <c:pt idx="241" formatCode="#,##0">
                  <c:v>1494</c:v>
                </c:pt>
                <c:pt idx="242">
                  <c:v>900</c:v>
                </c:pt>
                <c:pt idx="243" formatCode="#,##0">
                  <c:v>1762</c:v>
                </c:pt>
                <c:pt idx="244">
                  <c:v>879</c:v>
                </c:pt>
                <c:pt idx="245" formatCode="#,##0">
                  <c:v>1992</c:v>
                </c:pt>
                <c:pt idx="246" formatCode="#,##0">
                  <c:v>1217</c:v>
                </c:pt>
                <c:pt idx="247">
                  <c:v>960</c:v>
                </c:pt>
                <c:pt idx="248">
                  <c:v>960</c:v>
                </c:pt>
                <c:pt idx="249" formatCode="#,##0">
                  <c:v>1056</c:v>
                </c:pt>
                <c:pt idx="250">
                  <c:v>912</c:v>
                </c:pt>
                <c:pt idx="251" formatCode="#,##0">
                  <c:v>1686</c:v>
                </c:pt>
                <c:pt idx="252">
                  <c:v>988</c:v>
                </c:pt>
                <c:pt idx="253" formatCode="#,##0">
                  <c:v>1554</c:v>
                </c:pt>
                <c:pt idx="254">
                  <c:v>967</c:v>
                </c:pt>
                <c:pt idx="255">
                  <c:v>901</c:v>
                </c:pt>
                <c:pt idx="256">
                  <c:v>920</c:v>
                </c:pt>
                <c:pt idx="257" formatCode="#,##0">
                  <c:v>1097</c:v>
                </c:pt>
                <c:pt idx="258" formatCode="#,##0">
                  <c:v>1083</c:v>
                </c:pt>
                <c:pt idx="259" formatCode="#,##0">
                  <c:v>1537</c:v>
                </c:pt>
                <c:pt idx="260" formatCode="#,##0">
                  <c:v>1776</c:v>
                </c:pt>
                <c:pt idx="261" formatCode="#,##0">
                  <c:v>1116</c:v>
                </c:pt>
                <c:pt idx="262">
                  <c:v>750</c:v>
                </c:pt>
                <c:pt idx="263" formatCode="#,##0">
                  <c:v>1078</c:v>
                </c:pt>
                <c:pt idx="264" formatCode="#,##0">
                  <c:v>1034</c:v>
                </c:pt>
                <c:pt idx="265" formatCode="#,##0">
                  <c:v>1056</c:v>
                </c:pt>
                <c:pt idx="266" formatCode="#,##0">
                  <c:v>1608</c:v>
                </c:pt>
                <c:pt idx="267">
                  <c:v>858</c:v>
                </c:pt>
                <c:pt idx="268">
                  <c:v>725</c:v>
                </c:pt>
                <c:pt idx="269" formatCode="#,##0">
                  <c:v>1134</c:v>
                </c:pt>
                <c:pt idx="270" formatCode="#,##0">
                  <c:v>1333</c:v>
                </c:pt>
                <c:pt idx="271" formatCode="#,##0">
                  <c:v>1830</c:v>
                </c:pt>
                <c:pt idx="272" formatCode="#,##0">
                  <c:v>1120</c:v>
                </c:pt>
                <c:pt idx="273">
                  <c:v>881</c:v>
                </c:pt>
                <c:pt idx="274">
                  <c:v>950</c:v>
                </c:pt>
                <c:pt idx="275">
                  <c:v>800</c:v>
                </c:pt>
                <c:pt idx="276" formatCode="#,##0">
                  <c:v>1000</c:v>
                </c:pt>
                <c:pt idx="277">
                  <c:v>834</c:v>
                </c:pt>
                <c:pt idx="278" formatCode="#,##0">
                  <c:v>1021</c:v>
                </c:pt>
                <c:pt idx="279" formatCode="#,##0">
                  <c:v>1029</c:v>
                </c:pt>
                <c:pt idx="280">
                  <c:v>726</c:v>
                </c:pt>
                <c:pt idx="281" formatCode="#,##0">
                  <c:v>1008</c:v>
                </c:pt>
                <c:pt idx="282" formatCode="#,##0">
                  <c:v>1074</c:v>
                </c:pt>
                <c:pt idx="283" formatCode="#,##0">
                  <c:v>1250</c:v>
                </c:pt>
                <c:pt idx="284" formatCode="#,##0">
                  <c:v>1134</c:v>
                </c:pt>
                <c:pt idx="285">
                  <c:v>976</c:v>
                </c:pt>
                <c:pt idx="286">
                  <c:v>709</c:v>
                </c:pt>
                <c:pt idx="287">
                  <c:v>978</c:v>
                </c:pt>
                <c:pt idx="288">
                  <c:v>897</c:v>
                </c:pt>
                <c:pt idx="289" formatCode="#,##0">
                  <c:v>1348</c:v>
                </c:pt>
                <c:pt idx="290">
                  <c:v>925</c:v>
                </c:pt>
                <c:pt idx="291">
                  <c:v>709</c:v>
                </c:pt>
                <c:pt idx="292">
                  <c:v>918</c:v>
                </c:pt>
                <c:pt idx="293">
                  <c:v>896</c:v>
                </c:pt>
                <c:pt idx="294" formatCode="#,##0">
                  <c:v>1064</c:v>
                </c:pt>
                <c:pt idx="295" formatCode="#,##0">
                  <c:v>1053</c:v>
                </c:pt>
                <c:pt idx="296" formatCode="#,##0">
                  <c:v>1263</c:v>
                </c:pt>
                <c:pt idx="297" formatCode="#,##0">
                  <c:v>1539</c:v>
                </c:pt>
                <c:pt idx="298">
                  <c:v>944</c:v>
                </c:pt>
                <c:pt idx="299">
                  <c:v>800</c:v>
                </c:pt>
                <c:pt idx="300" formatCode="#,##0">
                  <c:v>1037</c:v>
                </c:pt>
                <c:pt idx="301" formatCode="#,##0">
                  <c:v>1649</c:v>
                </c:pt>
                <c:pt idx="302" formatCode="#,##0">
                  <c:v>1150</c:v>
                </c:pt>
                <c:pt idx="303">
                  <c:v>994</c:v>
                </c:pt>
                <c:pt idx="304" formatCode="#,##0">
                  <c:v>1886</c:v>
                </c:pt>
                <c:pt idx="305" formatCode="#,##0">
                  <c:v>1068</c:v>
                </c:pt>
                <c:pt idx="306">
                  <c:v>958</c:v>
                </c:pt>
                <c:pt idx="307" formatCode="#,##0">
                  <c:v>1533</c:v>
                </c:pt>
                <c:pt idx="308" formatCode="#,##0">
                  <c:v>1024</c:v>
                </c:pt>
                <c:pt idx="309" formatCode="#,##0">
                  <c:v>1060</c:v>
                </c:pt>
                <c:pt idx="310" formatCode="#,##0">
                  <c:v>1101</c:v>
                </c:pt>
                <c:pt idx="311" formatCode="#,##0">
                  <c:v>1000</c:v>
                </c:pt>
                <c:pt idx="312" formatCode="#,##0">
                  <c:v>1120</c:v>
                </c:pt>
                <c:pt idx="313">
                  <c:v>861</c:v>
                </c:pt>
                <c:pt idx="314" formatCode="#,##0">
                  <c:v>1777</c:v>
                </c:pt>
                <c:pt idx="315" formatCode="#,##0">
                  <c:v>1225</c:v>
                </c:pt>
                <c:pt idx="316" formatCode="#,##0">
                  <c:v>1382</c:v>
                </c:pt>
                <c:pt idx="317">
                  <c:v>903</c:v>
                </c:pt>
                <c:pt idx="318" formatCode="#,##0">
                  <c:v>1326</c:v>
                </c:pt>
                <c:pt idx="319">
                  <c:v>874</c:v>
                </c:pt>
                <c:pt idx="320">
                  <c:v>700</c:v>
                </c:pt>
                <c:pt idx="321">
                  <c:v>974</c:v>
                </c:pt>
                <c:pt idx="322">
                  <c:v>864</c:v>
                </c:pt>
                <c:pt idx="323">
                  <c:v>895</c:v>
                </c:pt>
                <c:pt idx="324">
                  <c:v>808</c:v>
                </c:pt>
                <c:pt idx="325" formatCode="#,##0">
                  <c:v>1027</c:v>
                </c:pt>
                <c:pt idx="326">
                  <c:v>895</c:v>
                </c:pt>
                <c:pt idx="327" formatCode="#,##0">
                  <c:v>1014</c:v>
                </c:pt>
                <c:pt idx="328" formatCode="#,##0">
                  <c:v>1302</c:v>
                </c:pt>
                <c:pt idx="329">
                  <c:v>912</c:v>
                </c:pt>
                <c:pt idx="330" formatCode="#,##0">
                  <c:v>1179</c:v>
                </c:pt>
                <c:pt idx="331" formatCode="#,##0">
                  <c:v>1001</c:v>
                </c:pt>
                <c:pt idx="332">
                  <c:v>764</c:v>
                </c:pt>
                <c:pt idx="333" formatCode="#,##0">
                  <c:v>1068</c:v>
                </c:pt>
                <c:pt idx="334" formatCode="#,##0">
                  <c:v>1068</c:v>
                </c:pt>
                <c:pt idx="335" formatCode="#,##0">
                  <c:v>1113</c:v>
                </c:pt>
                <c:pt idx="336" formatCode="#,##0">
                  <c:v>1538</c:v>
                </c:pt>
                <c:pt idx="337" formatCode="#,##0">
                  <c:v>1050</c:v>
                </c:pt>
                <c:pt idx="338" formatCode="#,##0">
                  <c:v>1058</c:v>
                </c:pt>
                <c:pt idx="339" formatCode="#,##0">
                  <c:v>1690</c:v>
                </c:pt>
                <c:pt idx="340" formatCode="#,##0">
                  <c:v>1686</c:v>
                </c:pt>
                <c:pt idx="341" formatCode="#,##0">
                  <c:v>1100</c:v>
                </c:pt>
                <c:pt idx="342">
                  <c:v>794</c:v>
                </c:pt>
                <c:pt idx="343" formatCode="#,##0">
                  <c:v>1124</c:v>
                </c:pt>
                <c:pt idx="344" formatCode="#,##0">
                  <c:v>1476</c:v>
                </c:pt>
                <c:pt idx="345" formatCode="#,##0">
                  <c:v>1000</c:v>
                </c:pt>
                <c:pt idx="346" formatCode="#,##0">
                  <c:v>1436</c:v>
                </c:pt>
                <c:pt idx="347" formatCode="#,##0">
                  <c:v>1398</c:v>
                </c:pt>
                <c:pt idx="348">
                  <c:v>953</c:v>
                </c:pt>
                <c:pt idx="349" formatCode="#,##0">
                  <c:v>1290</c:v>
                </c:pt>
                <c:pt idx="350" formatCode="#,##0">
                  <c:v>1034</c:v>
                </c:pt>
                <c:pt idx="351" formatCode="#,##0">
                  <c:v>1522</c:v>
                </c:pt>
                <c:pt idx="352">
                  <c:v>951</c:v>
                </c:pt>
                <c:pt idx="353">
                  <c:v>869</c:v>
                </c:pt>
                <c:pt idx="354" formatCode="#,##0">
                  <c:v>1528</c:v>
                </c:pt>
                <c:pt idx="355">
                  <c:v>760</c:v>
                </c:pt>
                <c:pt idx="356" formatCode="#,##0">
                  <c:v>1525</c:v>
                </c:pt>
                <c:pt idx="357" formatCode="#,##0">
                  <c:v>1120</c:v>
                </c:pt>
                <c:pt idx="358" formatCode="#,##0">
                  <c:v>1345</c:v>
                </c:pt>
                <c:pt idx="359" formatCode="#,##0">
                  <c:v>1528</c:v>
                </c:pt>
                <c:pt idx="360" formatCode="#,##0">
                  <c:v>1409</c:v>
                </c:pt>
                <c:pt idx="361" formatCode="#,##0">
                  <c:v>1000</c:v>
                </c:pt>
                <c:pt idx="362">
                  <c:v>980</c:v>
                </c:pt>
                <c:pt idx="363" formatCode="#,##0">
                  <c:v>1035</c:v>
                </c:pt>
                <c:pt idx="364" formatCode="#,##0">
                  <c:v>1426</c:v>
                </c:pt>
                <c:pt idx="365" formatCode="#,##0">
                  <c:v>1009</c:v>
                </c:pt>
                <c:pt idx="366">
                  <c:v>960</c:v>
                </c:pt>
                <c:pt idx="367">
                  <c:v>848</c:v>
                </c:pt>
                <c:pt idx="368">
                  <c:v>995</c:v>
                </c:pt>
                <c:pt idx="369" formatCode="#,##0">
                  <c:v>1164</c:v>
                </c:pt>
                <c:pt idx="370" formatCode="#,##0">
                  <c:v>1357</c:v>
                </c:pt>
                <c:pt idx="371" formatCode="#,##0">
                  <c:v>1008</c:v>
                </c:pt>
                <c:pt idx="372">
                  <c:v>912</c:v>
                </c:pt>
                <c:pt idx="373">
                  <c:v>962</c:v>
                </c:pt>
                <c:pt idx="374" formatCode="#,##0">
                  <c:v>1469</c:v>
                </c:pt>
                <c:pt idx="375" formatCode="#,##0">
                  <c:v>1362</c:v>
                </c:pt>
                <c:pt idx="376" formatCode="#,##0">
                  <c:v>1040</c:v>
                </c:pt>
                <c:pt idx="377" formatCode="#,##0">
                  <c:v>1367</c:v>
                </c:pt>
                <c:pt idx="378" formatCode="#,##0">
                  <c:v>1270</c:v>
                </c:pt>
                <c:pt idx="379">
                  <c:v>929</c:v>
                </c:pt>
                <c:pt idx="380" formatCode="#,##0">
                  <c:v>1544</c:v>
                </c:pt>
                <c:pt idx="381" formatCode="#,##0">
                  <c:v>1141</c:v>
                </c:pt>
                <c:pt idx="382">
                  <c:v>906</c:v>
                </c:pt>
                <c:pt idx="383" formatCode="#,##0">
                  <c:v>1552</c:v>
                </c:pt>
                <c:pt idx="384" formatCode="#,##0">
                  <c:v>1287</c:v>
                </c:pt>
                <c:pt idx="385" formatCode="#,##0">
                  <c:v>1920</c:v>
                </c:pt>
                <c:pt idx="386" formatCode="#,##0">
                  <c:v>1009</c:v>
                </c:pt>
                <c:pt idx="387">
                  <c:v>926</c:v>
                </c:pt>
                <c:pt idx="388" formatCode="#,##0">
                  <c:v>1343</c:v>
                </c:pt>
                <c:pt idx="389">
                  <c:v>951</c:v>
                </c:pt>
                <c:pt idx="390" formatCode="#,##0">
                  <c:v>1343</c:v>
                </c:pt>
                <c:pt idx="391">
                  <c:v>793</c:v>
                </c:pt>
                <c:pt idx="392">
                  <c:v>900</c:v>
                </c:pt>
                <c:pt idx="393">
                  <c:v>800</c:v>
                </c:pt>
                <c:pt idx="394">
                  <c:v>754</c:v>
                </c:pt>
                <c:pt idx="395">
                  <c:v>793</c:v>
                </c:pt>
                <c:pt idx="396" formatCode="#,##0">
                  <c:v>1056</c:v>
                </c:pt>
                <c:pt idx="397" formatCode="#,##0">
                  <c:v>1050</c:v>
                </c:pt>
                <c:pt idx="398" formatCode="#,##0">
                  <c:v>1383</c:v>
                </c:pt>
                <c:pt idx="399">
                  <c:v>771</c:v>
                </c:pt>
                <c:pt idx="400" formatCode="#,##0">
                  <c:v>1386</c:v>
                </c:pt>
                <c:pt idx="401" formatCode="#,##0">
                  <c:v>1080</c:v>
                </c:pt>
                <c:pt idx="402" formatCode="#,##0">
                  <c:v>1248</c:v>
                </c:pt>
                <c:pt idx="403" formatCode="#,##0">
                  <c:v>1442</c:v>
                </c:pt>
                <c:pt idx="404" formatCode="#,##0">
                  <c:v>1260</c:v>
                </c:pt>
                <c:pt idx="405" formatCode="#,##0">
                  <c:v>1104</c:v>
                </c:pt>
                <c:pt idx="406" formatCode="#,##0">
                  <c:v>1014</c:v>
                </c:pt>
                <c:pt idx="407" formatCode="#,##0">
                  <c:v>1100</c:v>
                </c:pt>
                <c:pt idx="408">
                  <c:v>980</c:v>
                </c:pt>
                <c:pt idx="409" formatCode="#,##0">
                  <c:v>1814</c:v>
                </c:pt>
                <c:pt idx="410" formatCode="#,##0">
                  <c:v>1341</c:v>
                </c:pt>
                <c:pt idx="411" formatCode="#,##0">
                  <c:v>1000</c:v>
                </c:pt>
                <c:pt idx="412" formatCode="#,##0">
                  <c:v>1340</c:v>
                </c:pt>
                <c:pt idx="413">
                  <c:v>960</c:v>
                </c:pt>
                <c:pt idx="414">
                  <c:v>725</c:v>
                </c:pt>
                <c:pt idx="415">
                  <c:v>999</c:v>
                </c:pt>
                <c:pt idx="416">
                  <c:v>980</c:v>
                </c:pt>
                <c:pt idx="417" formatCode="#,##0">
                  <c:v>1707</c:v>
                </c:pt>
                <c:pt idx="418" formatCode="#,##0">
                  <c:v>1212</c:v>
                </c:pt>
                <c:pt idx="419" formatCode="#,##0">
                  <c:v>1100</c:v>
                </c:pt>
                <c:pt idx="420" formatCode="#,##0">
                  <c:v>1080</c:v>
                </c:pt>
                <c:pt idx="421" formatCode="#,##0">
                  <c:v>1746</c:v>
                </c:pt>
                <c:pt idx="422" formatCode="#,##0">
                  <c:v>1746</c:v>
                </c:pt>
                <c:pt idx="423" formatCode="#,##0">
                  <c:v>1100</c:v>
                </c:pt>
                <c:pt idx="424" formatCode="#,##0">
                  <c:v>1000</c:v>
                </c:pt>
                <c:pt idx="425" formatCode="#,##0">
                  <c:v>1126</c:v>
                </c:pt>
                <c:pt idx="426" formatCode="#,##0">
                  <c:v>1094</c:v>
                </c:pt>
                <c:pt idx="427" formatCode="#,##0">
                  <c:v>1044</c:v>
                </c:pt>
                <c:pt idx="428" formatCode="#,##0">
                  <c:v>1054</c:v>
                </c:pt>
                <c:pt idx="429" formatCode="#,##0">
                  <c:v>1292</c:v>
                </c:pt>
                <c:pt idx="430" formatCode="#,##0">
                  <c:v>1066</c:v>
                </c:pt>
                <c:pt idx="431" formatCode="#,##0">
                  <c:v>1248</c:v>
                </c:pt>
                <c:pt idx="432" formatCode="#,##0">
                  <c:v>1650</c:v>
                </c:pt>
                <c:pt idx="433" formatCode="#,##0">
                  <c:v>1610</c:v>
                </c:pt>
                <c:pt idx="434" formatCode="#,##0">
                  <c:v>1190</c:v>
                </c:pt>
                <c:pt idx="435">
                  <c:v>912</c:v>
                </c:pt>
                <c:pt idx="436" formatCode="#,##0">
                  <c:v>1408</c:v>
                </c:pt>
                <c:pt idx="437" formatCode="#,##0">
                  <c:v>1181</c:v>
                </c:pt>
                <c:pt idx="438" formatCode="#,##0">
                  <c:v>1520</c:v>
                </c:pt>
                <c:pt idx="439" formatCode="#,##0">
                  <c:v>1100</c:v>
                </c:pt>
                <c:pt idx="440">
                  <c:v>608</c:v>
                </c:pt>
                <c:pt idx="441">
                  <c:v>900</c:v>
                </c:pt>
                <c:pt idx="442" formatCode="#,##0">
                  <c:v>1450</c:v>
                </c:pt>
                <c:pt idx="443" formatCode="#,##0">
                  <c:v>1008</c:v>
                </c:pt>
                <c:pt idx="444" formatCode="#,##0">
                  <c:v>1510</c:v>
                </c:pt>
                <c:pt idx="445" formatCode="#,##0">
                  <c:v>1160</c:v>
                </c:pt>
                <c:pt idx="446" formatCode="#,##0">
                  <c:v>1447</c:v>
                </c:pt>
                <c:pt idx="447" formatCode="#,##0">
                  <c:v>1225</c:v>
                </c:pt>
                <c:pt idx="448" formatCode="#,##0">
                  <c:v>1260</c:v>
                </c:pt>
                <c:pt idx="449" formatCode="#,##0">
                  <c:v>1008</c:v>
                </c:pt>
                <c:pt idx="450" formatCode="#,##0">
                  <c:v>1471</c:v>
                </c:pt>
                <c:pt idx="451" formatCode="#,##0">
                  <c:v>1420</c:v>
                </c:pt>
                <c:pt idx="452" formatCode="#,##0">
                  <c:v>1512</c:v>
                </c:pt>
                <c:pt idx="453">
                  <c:v>934</c:v>
                </c:pt>
                <c:pt idx="454" formatCode="#,##0">
                  <c:v>1300</c:v>
                </c:pt>
                <c:pt idx="455">
                  <c:v>901</c:v>
                </c:pt>
                <c:pt idx="456" formatCode="#,##0">
                  <c:v>1440</c:v>
                </c:pt>
                <c:pt idx="457" formatCode="#,##0">
                  <c:v>1198</c:v>
                </c:pt>
                <c:pt idx="458" formatCode="#,##0">
                  <c:v>1080</c:v>
                </c:pt>
                <c:pt idx="459" formatCode="#,##0">
                  <c:v>1131</c:v>
                </c:pt>
                <c:pt idx="460" formatCode="#,##0">
                  <c:v>1346</c:v>
                </c:pt>
                <c:pt idx="461" formatCode="#,##0">
                  <c:v>2080</c:v>
                </c:pt>
                <c:pt idx="462" formatCode="#,##0">
                  <c:v>1336</c:v>
                </c:pt>
                <c:pt idx="463">
                  <c:v>925</c:v>
                </c:pt>
                <c:pt idx="464" formatCode="#,##0">
                  <c:v>1153</c:v>
                </c:pt>
                <c:pt idx="465" formatCode="#,##0">
                  <c:v>1032</c:v>
                </c:pt>
                <c:pt idx="466">
                  <c:v>954</c:v>
                </c:pt>
                <c:pt idx="467">
                  <c:v>937</c:v>
                </c:pt>
                <c:pt idx="468" formatCode="#,##0">
                  <c:v>1092</c:v>
                </c:pt>
                <c:pt idx="469" formatCode="#,##0">
                  <c:v>1170</c:v>
                </c:pt>
                <c:pt idx="470" formatCode="#,##0">
                  <c:v>1003</c:v>
                </c:pt>
                <c:pt idx="471" formatCode="#,##0">
                  <c:v>1140</c:v>
                </c:pt>
                <c:pt idx="472" formatCode="#,##0">
                  <c:v>1098</c:v>
                </c:pt>
                <c:pt idx="473">
                  <c:v>988</c:v>
                </c:pt>
                <c:pt idx="474" formatCode="#,##0">
                  <c:v>1872</c:v>
                </c:pt>
                <c:pt idx="475" formatCode="#,##0">
                  <c:v>1020</c:v>
                </c:pt>
                <c:pt idx="476" formatCode="#,##0">
                  <c:v>1125</c:v>
                </c:pt>
                <c:pt idx="477" formatCode="#,##0">
                  <c:v>1121</c:v>
                </c:pt>
                <c:pt idx="478" formatCode="#,##0">
                  <c:v>1025</c:v>
                </c:pt>
                <c:pt idx="479" formatCode="#,##0">
                  <c:v>1056</c:v>
                </c:pt>
                <c:pt idx="480" formatCode="#,##0">
                  <c:v>1208</c:v>
                </c:pt>
                <c:pt idx="481" formatCode="#,##0">
                  <c:v>1009</c:v>
                </c:pt>
                <c:pt idx="482" formatCode="#,##0">
                  <c:v>1034</c:v>
                </c:pt>
                <c:pt idx="483" formatCode="#,##0">
                  <c:v>1540</c:v>
                </c:pt>
                <c:pt idx="484" formatCode="#,##0">
                  <c:v>1092</c:v>
                </c:pt>
                <c:pt idx="485" formatCode="#,##0">
                  <c:v>1047</c:v>
                </c:pt>
                <c:pt idx="486" formatCode="#,##0">
                  <c:v>2422</c:v>
                </c:pt>
                <c:pt idx="487" formatCode="#,##0">
                  <c:v>1057</c:v>
                </c:pt>
                <c:pt idx="488" formatCode="#,##0">
                  <c:v>1288</c:v>
                </c:pt>
                <c:pt idx="489" formatCode="#,##0">
                  <c:v>1030</c:v>
                </c:pt>
                <c:pt idx="490" formatCode="#,##0">
                  <c:v>1033</c:v>
                </c:pt>
                <c:pt idx="491" formatCode="#,##0">
                  <c:v>1519</c:v>
                </c:pt>
                <c:pt idx="492" formatCode="#,##0">
                  <c:v>1000</c:v>
                </c:pt>
                <c:pt idx="493">
                  <c:v>979</c:v>
                </c:pt>
                <c:pt idx="494">
                  <c:v>979</c:v>
                </c:pt>
                <c:pt idx="495" formatCode="#,##0">
                  <c:v>1646</c:v>
                </c:pt>
                <c:pt idx="496" formatCode="#,##0">
                  <c:v>1013</c:v>
                </c:pt>
                <c:pt idx="497" formatCode="#,##0">
                  <c:v>1336</c:v>
                </c:pt>
                <c:pt idx="498" formatCode="#,##0">
                  <c:v>1150</c:v>
                </c:pt>
                <c:pt idx="499" formatCode="#,##0">
                  <c:v>1483</c:v>
                </c:pt>
                <c:pt idx="500" formatCode="#,##0">
                  <c:v>1000</c:v>
                </c:pt>
                <c:pt idx="501" formatCode="#,##0">
                  <c:v>1371</c:v>
                </c:pt>
                <c:pt idx="502" formatCode="#,##0">
                  <c:v>1279</c:v>
                </c:pt>
                <c:pt idx="503" formatCode="#,##0">
                  <c:v>1412</c:v>
                </c:pt>
                <c:pt idx="504" formatCode="#,##0">
                  <c:v>1237</c:v>
                </c:pt>
                <c:pt idx="505">
                  <c:v>935</c:v>
                </c:pt>
                <c:pt idx="506" formatCode="#,##0">
                  <c:v>1020</c:v>
                </c:pt>
                <c:pt idx="507" formatCode="#,##0">
                  <c:v>1064</c:v>
                </c:pt>
                <c:pt idx="508" formatCode="#,##0">
                  <c:v>1562</c:v>
                </c:pt>
                <c:pt idx="509" formatCode="#,##0">
                  <c:v>1188</c:v>
                </c:pt>
                <c:pt idx="510" formatCode="#,##0">
                  <c:v>1300</c:v>
                </c:pt>
                <c:pt idx="511" formatCode="#,##0">
                  <c:v>1571</c:v>
                </c:pt>
                <c:pt idx="512" formatCode="#,##0">
                  <c:v>1095</c:v>
                </c:pt>
                <c:pt idx="513" formatCode="#,##0">
                  <c:v>1300</c:v>
                </c:pt>
                <c:pt idx="514">
                  <c:v>996</c:v>
                </c:pt>
                <c:pt idx="515" formatCode="#,##0">
                  <c:v>1750</c:v>
                </c:pt>
                <c:pt idx="516" formatCode="#,##0">
                  <c:v>1733</c:v>
                </c:pt>
                <c:pt idx="517" formatCode="#,##0">
                  <c:v>1003</c:v>
                </c:pt>
                <c:pt idx="518" formatCode="#,##0">
                  <c:v>1252</c:v>
                </c:pt>
                <c:pt idx="519" formatCode="#,##0">
                  <c:v>1539</c:v>
                </c:pt>
                <c:pt idx="520" formatCode="#,##0">
                  <c:v>1056</c:v>
                </c:pt>
                <c:pt idx="521" formatCode="#,##0">
                  <c:v>1075</c:v>
                </c:pt>
                <c:pt idx="522" formatCode="#,##0">
                  <c:v>1360</c:v>
                </c:pt>
                <c:pt idx="523">
                  <c:v>991</c:v>
                </c:pt>
                <c:pt idx="524" formatCode="#,##0">
                  <c:v>1316</c:v>
                </c:pt>
                <c:pt idx="525" formatCode="#,##0">
                  <c:v>1650</c:v>
                </c:pt>
                <c:pt idx="526">
                  <c:v>956</c:v>
                </c:pt>
                <c:pt idx="527" formatCode="#,##0">
                  <c:v>1088</c:v>
                </c:pt>
                <c:pt idx="528">
                  <c:v>920</c:v>
                </c:pt>
                <c:pt idx="529" formatCode="#,##0">
                  <c:v>2028</c:v>
                </c:pt>
                <c:pt idx="530" formatCode="#,##0">
                  <c:v>1206</c:v>
                </c:pt>
                <c:pt idx="531">
                  <c:v>996</c:v>
                </c:pt>
                <c:pt idx="532" formatCode="#,##0">
                  <c:v>2092</c:v>
                </c:pt>
                <c:pt idx="533" formatCode="#,##0">
                  <c:v>1330</c:v>
                </c:pt>
                <c:pt idx="534" formatCode="#,##0">
                  <c:v>1003</c:v>
                </c:pt>
                <c:pt idx="535">
                  <c:v>903</c:v>
                </c:pt>
                <c:pt idx="536" formatCode="#,##0">
                  <c:v>1301</c:v>
                </c:pt>
                <c:pt idx="537" formatCode="#,##0">
                  <c:v>1392</c:v>
                </c:pt>
                <c:pt idx="538" formatCode="#,##0">
                  <c:v>1040</c:v>
                </c:pt>
                <c:pt idx="539" formatCode="#,##0">
                  <c:v>1100</c:v>
                </c:pt>
                <c:pt idx="540" formatCode="#,##0">
                  <c:v>1080</c:v>
                </c:pt>
                <c:pt idx="541" formatCode="#,##0">
                  <c:v>1000</c:v>
                </c:pt>
                <c:pt idx="542" formatCode="#,##0">
                  <c:v>1682</c:v>
                </c:pt>
                <c:pt idx="543" formatCode="#,##0">
                  <c:v>1008</c:v>
                </c:pt>
                <c:pt idx="544" formatCode="#,##0">
                  <c:v>2104</c:v>
                </c:pt>
                <c:pt idx="545" formatCode="#,##0">
                  <c:v>1386</c:v>
                </c:pt>
                <c:pt idx="546" formatCode="#,##0">
                  <c:v>1500</c:v>
                </c:pt>
                <c:pt idx="547" formatCode="#,##0">
                  <c:v>1386</c:v>
                </c:pt>
                <c:pt idx="548" formatCode="#,##0">
                  <c:v>1210</c:v>
                </c:pt>
                <c:pt idx="549" formatCode="#,##0">
                  <c:v>1496</c:v>
                </c:pt>
                <c:pt idx="550" formatCode="#,##0">
                  <c:v>1524</c:v>
                </c:pt>
                <c:pt idx="551" formatCode="#,##0">
                  <c:v>1008</c:v>
                </c:pt>
                <c:pt idx="552" formatCode="#,##0">
                  <c:v>1152</c:v>
                </c:pt>
                <c:pt idx="553" formatCode="#,##0">
                  <c:v>1039</c:v>
                </c:pt>
                <c:pt idx="554">
                  <c:v>500</c:v>
                </c:pt>
                <c:pt idx="555" formatCode="#,##0">
                  <c:v>1166</c:v>
                </c:pt>
                <c:pt idx="556" formatCode="#,##0">
                  <c:v>1968</c:v>
                </c:pt>
                <c:pt idx="557" formatCode="#,##0">
                  <c:v>1200</c:v>
                </c:pt>
                <c:pt idx="558" formatCode="#,##0">
                  <c:v>1008</c:v>
                </c:pt>
                <c:pt idx="559">
                  <c:v>979</c:v>
                </c:pt>
                <c:pt idx="560" formatCode="#,##0">
                  <c:v>1130</c:v>
                </c:pt>
                <c:pt idx="561" formatCode="#,##0">
                  <c:v>1266</c:v>
                </c:pt>
                <c:pt idx="562" formatCode="#,##0">
                  <c:v>1591</c:v>
                </c:pt>
                <c:pt idx="563" formatCode="#,##0">
                  <c:v>5020</c:v>
                </c:pt>
                <c:pt idx="564" formatCode="#,##0">
                  <c:v>1917</c:v>
                </c:pt>
                <c:pt idx="565" formatCode="#,##0">
                  <c:v>1041</c:v>
                </c:pt>
                <c:pt idx="566" formatCode="#,##0">
                  <c:v>1008</c:v>
                </c:pt>
                <c:pt idx="567" formatCode="#,##0">
                  <c:v>1089</c:v>
                </c:pt>
                <c:pt idx="568" formatCode="#,##0">
                  <c:v>1038</c:v>
                </c:pt>
                <c:pt idx="569" formatCode="#,##0">
                  <c:v>1359</c:v>
                </c:pt>
                <c:pt idx="570" formatCode="#,##0">
                  <c:v>1319</c:v>
                </c:pt>
                <c:pt idx="571" formatCode="#,##0">
                  <c:v>1305</c:v>
                </c:pt>
                <c:pt idx="572" formatCode="#,##0">
                  <c:v>1063</c:v>
                </c:pt>
                <c:pt idx="573" formatCode="#,##0">
                  <c:v>1296</c:v>
                </c:pt>
                <c:pt idx="574" formatCode="#,##0">
                  <c:v>1325</c:v>
                </c:pt>
                <c:pt idx="575" formatCode="#,##0">
                  <c:v>1532</c:v>
                </c:pt>
                <c:pt idx="576" formatCode="#,##0">
                  <c:v>1608</c:v>
                </c:pt>
                <c:pt idx="577" formatCode="#,##0">
                  <c:v>1363</c:v>
                </c:pt>
                <c:pt idx="578" formatCode="#,##0">
                  <c:v>2181</c:v>
                </c:pt>
                <c:pt idx="579" formatCode="#,##0">
                  <c:v>1372</c:v>
                </c:pt>
                <c:pt idx="580" formatCode="#,##0">
                  <c:v>2265</c:v>
                </c:pt>
                <c:pt idx="581" formatCode="#,##0">
                  <c:v>1103</c:v>
                </c:pt>
                <c:pt idx="582" formatCode="#,##0">
                  <c:v>1119</c:v>
                </c:pt>
                <c:pt idx="583">
                  <c:v>975</c:v>
                </c:pt>
                <c:pt idx="584" formatCode="#,##0">
                  <c:v>1912</c:v>
                </c:pt>
                <c:pt idx="585" formatCode="#,##0">
                  <c:v>1823</c:v>
                </c:pt>
                <c:pt idx="586" formatCode="#,##0">
                  <c:v>1032</c:v>
                </c:pt>
                <c:pt idx="587" formatCode="#,##0">
                  <c:v>1009</c:v>
                </c:pt>
                <c:pt idx="588" formatCode="#,##0">
                  <c:v>1472</c:v>
                </c:pt>
                <c:pt idx="589" formatCode="#,##0">
                  <c:v>1122</c:v>
                </c:pt>
                <c:pt idx="590" formatCode="#,##0">
                  <c:v>1169</c:v>
                </c:pt>
                <c:pt idx="591" formatCode="#,##0">
                  <c:v>1626</c:v>
                </c:pt>
                <c:pt idx="592" formatCode="#,##0">
                  <c:v>1094</c:v>
                </c:pt>
                <c:pt idx="593" formatCode="#,##0">
                  <c:v>1165</c:v>
                </c:pt>
                <c:pt idx="594" formatCode="#,##0">
                  <c:v>1172</c:v>
                </c:pt>
                <c:pt idx="595">
                  <c:v>902</c:v>
                </c:pt>
                <c:pt idx="596" formatCode="#,##0">
                  <c:v>1600</c:v>
                </c:pt>
                <c:pt idx="597" formatCode="#,##0">
                  <c:v>1607</c:v>
                </c:pt>
                <c:pt idx="598" formatCode="#,##0">
                  <c:v>1048</c:v>
                </c:pt>
                <c:pt idx="599" formatCode="#,##0">
                  <c:v>1560</c:v>
                </c:pt>
                <c:pt idx="600" formatCode="#,##0">
                  <c:v>1048</c:v>
                </c:pt>
                <c:pt idx="601" formatCode="#,##0">
                  <c:v>1056</c:v>
                </c:pt>
                <c:pt idx="602" formatCode="#,##0">
                  <c:v>1129</c:v>
                </c:pt>
                <c:pt idx="603" formatCode="#,##0">
                  <c:v>1068</c:v>
                </c:pt>
                <c:pt idx="604" formatCode="#,##0">
                  <c:v>1150</c:v>
                </c:pt>
                <c:pt idx="605" formatCode="#,##0">
                  <c:v>1218</c:v>
                </c:pt>
                <c:pt idx="606" formatCode="#,##0">
                  <c:v>1259</c:v>
                </c:pt>
                <c:pt idx="607" formatCode="#,##0">
                  <c:v>1162</c:v>
                </c:pt>
                <c:pt idx="608" formatCode="#,##0">
                  <c:v>1154</c:v>
                </c:pt>
                <c:pt idx="609" formatCode="#,##0">
                  <c:v>1180</c:v>
                </c:pt>
                <c:pt idx="610" formatCode="#,##0">
                  <c:v>1579</c:v>
                </c:pt>
                <c:pt idx="611" formatCode="#,##0">
                  <c:v>1009</c:v>
                </c:pt>
                <c:pt idx="612" formatCode="#,##0">
                  <c:v>1176</c:v>
                </c:pt>
                <c:pt idx="613" formatCode="#,##0">
                  <c:v>1470</c:v>
                </c:pt>
                <c:pt idx="614" formatCode="#,##0">
                  <c:v>1166</c:v>
                </c:pt>
                <c:pt idx="615" formatCode="#,##0">
                  <c:v>1050</c:v>
                </c:pt>
                <c:pt idx="616">
                  <c:v>991</c:v>
                </c:pt>
                <c:pt idx="617" formatCode="#,##0">
                  <c:v>1050</c:v>
                </c:pt>
                <c:pt idx="618">
                  <c:v>861</c:v>
                </c:pt>
                <c:pt idx="619" formatCode="#,##0">
                  <c:v>1215</c:v>
                </c:pt>
                <c:pt idx="620">
                  <c:v>888</c:v>
                </c:pt>
                <c:pt idx="621" formatCode="#,##0">
                  <c:v>1021</c:v>
                </c:pt>
                <c:pt idx="622">
                  <c:v>960</c:v>
                </c:pt>
                <c:pt idx="623" formatCode="#,##0">
                  <c:v>1026</c:v>
                </c:pt>
                <c:pt idx="624" formatCode="#,##0">
                  <c:v>1056</c:v>
                </c:pt>
                <c:pt idx="625">
                  <c:v>1200</c:v>
                </c:pt>
                <c:pt idx="626" formatCode="#,##0">
                  <c:v>1610</c:v>
                </c:pt>
                <c:pt idx="627" formatCode="#,##0">
                  <c:v>1260</c:v>
                </c:pt>
                <c:pt idx="628">
                  <c:v>882</c:v>
                </c:pt>
                <c:pt idx="629" formatCode="#,##0">
                  <c:v>1853</c:v>
                </c:pt>
                <c:pt idx="630" formatCode="#,##0">
                  <c:v>1724</c:v>
                </c:pt>
                <c:pt idx="631" formatCode="#,##0">
                  <c:v>1511</c:v>
                </c:pt>
                <c:pt idx="632" formatCode="#,##0">
                  <c:v>1008</c:v>
                </c:pt>
                <c:pt idx="633" formatCode="#,##0">
                  <c:v>1192</c:v>
                </c:pt>
                <c:pt idx="634">
                  <c:v>817</c:v>
                </c:pt>
                <c:pt idx="635" formatCode="#,##0">
                  <c:v>1878</c:v>
                </c:pt>
                <c:pt idx="636" formatCode="#,##0">
                  <c:v>1036</c:v>
                </c:pt>
                <c:pt idx="637" formatCode="#,##0">
                  <c:v>1607</c:v>
                </c:pt>
                <c:pt idx="638" formatCode="#,##0">
                  <c:v>1934</c:v>
                </c:pt>
                <c:pt idx="639" formatCode="#,##0">
                  <c:v>1386</c:v>
                </c:pt>
                <c:pt idx="640" formatCode="#,##0">
                  <c:v>1668</c:v>
                </c:pt>
                <c:pt idx="641">
                  <c:v>922</c:v>
                </c:pt>
                <c:pt idx="642">
                  <c:v>742</c:v>
                </c:pt>
                <c:pt idx="643" formatCode="#,##0">
                  <c:v>1274</c:v>
                </c:pt>
                <c:pt idx="644" formatCode="#,##0">
                  <c:v>1550</c:v>
                </c:pt>
                <c:pt idx="645" formatCode="#,##0">
                  <c:v>1585</c:v>
                </c:pt>
                <c:pt idx="646" formatCode="#,##0">
                  <c:v>1008</c:v>
                </c:pt>
                <c:pt idx="647">
                  <c:v>890</c:v>
                </c:pt>
                <c:pt idx="648" formatCode="#,##0">
                  <c:v>1247</c:v>
                </c:pt>
                <c:pt idx="649" formatCode="#,##0">
                  <c:v>1044</c:v>
                </c:pt>
                <c:pt idx="650" formatCode="#,##0">
                  <c:v>1639</c:v>
                </c:pt>
                <c:pt idx="651" formatCode="#,##0">
                  <c:v>1516</c:v>
                </c:pt>
                <c:pt idx="652" formatCode="#,##0">
                  <c:v>1400</c:v>
                </c:pt>
                <c:pt idx="653" formatCode="#,##0">
                  <c:v>1287</c:v>
                </c:pt>
                <c:pt idx="654" formatCode="#,##0">
                  <c:v>1594</c:v>
                </c:pt>
                <c:pt idx="655" formatCode="#,##0">
                  <c:v>1340</c:v>
                </c:pt>
                <c:pt idx="656" formatCode="#,##0">
                  <c:v>1091</c:v>
                </c:pt>
                <c:pt idx="657" formatCode="#,##0">
                  <c:v>1670</c:v>
                </c:pt>
                <c:pt idx="658" formatCode="#,##0">
                  <c:v>1100</c:v>
                </c:pt>
                <c:pt idx="659" formatCode="#,##0">
                  <c:v>1052</c:v>
                </c:pt>
                <c:pt idx="660" formatCode="#,##0">
                  <c:v>1367</c:v>
                </c:pt>
                <c:pt idx="661">
                  <c:v>990</c:v>
                </c:pt>
                <c:pt idx="662" formatCode="#,##0">
                  <c:v>1008</c:v>
                </c:pt>
                <c:pt idx="663" formatCode="#,##0">
                  <c:v>2480</c:v>
                </c:pt>
                <c:pt idx="664" formatCode="#,##0">
                  <c:v>1404</c:v>
                </c:pt>
                <c:pt idx="665" formatCode="#,##0">
                  <c:v>1100</c:v>
                </c:pt>
                <c:pt idx="666" formatCode="#,##0">
                  <c:v>1116</c:v>
                </c:pt>
                <c:pt idx="667" formatCode="#,##0">
                  <c:v>1367</c:v>
                </c:pt>
                <c:pt idx="668" formatCode="#,##0">
                  <c:v>1384</c:v>
                </c:pt>
                <c:pt idx="669" formatCode="#,##0">
                  <c:v>1740</c:v>
                </c:pt>
                <c:pt idx="670" formatCode="#,##0">
                  <c:v>1607</c:v>
                </c:pt>
                <c:pt idx="671" formatCode="#,##0">
                  <c:v>1100</c:v>
                </c:pt>
                <c:pt idx="672" formatCode="#,##0">
                  <c:v>1000</c:v>
                </c:pt>
                <c:pt idx="673" formatCode="#,##0">
                  <c:v>1000</c:v>
                </c:pt>
                <c:pt idx="674" formatCode="#,##0">
                  <c:v>1520</c:v>
                </c:pt>
                <c:pt idx="675" formatCode="#,##0">
                  <c:v>1378</c:v>
                </c:pt>
                <c:pt idx="676" formatCode="#,##0">
                  <c:v>1246</c:v>
                </c:pt>
                <c:pt idx="677">
                  <c:v>981</c:v>
                </c:pt>
                <c:pt idx="678" formatCode="#,##0">
                  <c:v>1700</c:v>
                </c:pt>
                <c:pt idx="679" formatCode="#,##0">
                  <c:v>1877</c:v>
                </c:pt>
                <c:pt idx="680" formatCode="#,##0">
                  <c:v>2014</c:v>
                </c:pt>
                <c:pt idx="681" formatCode="#,##0">
                  <c:v>1304</c:v>
                </c:pt>
                <c:pt idx="682" formatCode="#,##0">
                  <c:v>2005</c:v>
                </c:pt>
                <c:pt idx="683" formatCode="#,##0">
                  <c:v>1080</c:v>
                </c:pt>
                <c:pt idx="684" formatCode="#,##0">
                  <c:v>1361</c:v>
                </c:pt>
                <c:pt idx="685">
                  <c:v>916</c:v>
                </c:pt>
                <c:pt idx="686" formatCode="#,##0">
                  <c:v>1200</c:v>
                </c:pt>
                <c:pt idx="687" formatCode="#,##0">
                  <c:v>1240</c:v>
                </c:pt>
                <c:pt idx="688" formatCode="#,##0">
                  <c:v>1498</c:v>
                </c:pt>
                <c:pt idx="689" formatCode="#,##0">
                  <c:v>1125</c:v>
                </c:pt>
                <c:pt idx="690" formatCode="#,##0">
                  <c:v>1361</c:v>
                </c:pt>
                <c:pt idx="691" formatCode="#,##0">
                  <c:v>1610</c:v>
                </c:pt>
                <c:pt idx="692">
                  <c:v>867</c:v>
                </c:pt>
                <c:pt idx="693">
                  <c:v>925</c:v>
                </c:pt>
                <c:pt idx="694" formatCode="#,##0">
                  <c:v>1981</c:v>
                </c:pt>
                <c:pt idx="695" formatCode="#,##0">
                  <c:v>1464</c:v>
                </c:pt>
                <c:pt idx="696">
                  <c:v>1105</c:v>
                </c:pt>
                <c:pt idx="697" formatCode="#,##0">
                  <c:v>1356</c:v>
                </c:pt>
                <c:pt idx="698" formatCode="#,##0">
                  <c:v>1427</c:v>
                </c:pt>
                <c:pt idx="699" formatCode="#,##0">
                  <c:v>1394</c:v>
                </c:pt>
                <c:pt idx="700" formatCode="#,##0">
                  <c:v>1422</c:v>
                </c:pt>
                <c:pt idx="701" formatCode="#,##0">
                  <c:v>1218</c:v>
                </c:pt>
                <c:pt idx="702" formatCode="#,##0">
                  <c:v>1303</c:v>
                </c:pt>
                <c:pt idx="703" formatCode="#,##0">
                  <c:v>1150</c:v>
                </c:pt>
                <c:pt idx="704" formatCode="#,##0">
                  <c:v>1177</c:v>
                </c:pt>
                <c:pt idx="705" formatCode="#,##0">
                  <c:v>1056</c:v>
                </c:pt>
                <c:pt idx="706" formatCode="#,##0">
                  <c:v>1176</c:v>
                </c:pt>
                <c:pt idx="707" formatCode="#,##0">
                  <c:v>1100</c:v>
                </c:pt>
                <c:pt idx="708" formatCode="#,##0">
                  <c:v>1100</c:v>
                </c:pt>
                <c:pt idx="709" formatCode="#,##0">
                  <c:v>1854</c:v>
                </c:pt>
                <c:pt idx="710" formatCode="#,##0">
                  <c:v>1595</c:v>
                </c:pt>
                <c:pt idx="711" formatCode="#,##0">
                  <c:v>1717</c:v>
                </c:pt>
                <c:pt idx="712" formatCode="#,##0">
                  <c:v>1436</c:v>
                </c:pt>
                <c:pt idx="713" formatCode="#,##0">
                  <c:v>2831</c:v>
                </c:pt>
                <c:pt idx="714" formatCode="#,##0">
                  <c:v>2831</c:v>
                </c:pt>
                <c:pt idx="715" formatCode="#,##0">
                  <c:v>1774</c:v>
                </c:pt>
                <c:pt idx="716" formatCode="#,##0">
                  <c:v>1103</c:v>
                </c:pt>
                <c:pt idx="717" formatCode="#,##0">
                  <c:v>1459</c:v>
                </c:pt>
                <c:pt idx="718" formatCode="#,##0">
                  <c:v>1248</c:v>
                </c:pt>
                <c:pt idx="719" formatCode="#,##0">
                  <c:v>2056</c:v>
                </c:pt>
                <c:pt idx="720" formatCode="#,##0">
                  <c:v>1050</c:v>
                </c:pt>
                <c:pt idx="721" formatCode="#,##0">
                  <c:v>1212</c:v>
                </c:pt>
                <c:pt idx="722" formatCode="#,##0">
                  <c:v>1124</c:v>
                </c:pt>
                <c:pt idx="723" formatCode="#,##0">
                  <c:v>1665</c:v>
                </c:pt>
                <c:pt idx="724" formatCode="#,##0">
                  <c:v>1144</c:v>
                </c:pt>
                <c:pt idx="725" formatCode="#,##0">
                  <c:v>1978</c:v>
                </c:pt>
                <c:pt idx="726" formatCode="#,##0">
                  <c:v>1765</c:v>
                </c:pt>
                <c:pt idx="727" formatCode="#,##0">
                  <c:v>1780</c:v>
                </c:pt>
                <c:pt idx="728" formatCode="#,##0">
                  <c:v>2607</c:v>
                </c:pt>
                <c:pt idx="729" formatCode="#,##0">
                  <c:v>1326</c:v>
                </c:pt>
                <c:pt idx="730" formatCode="#,##0">
                  <c:v>1566</c:v>
                </c:pt>
                <c:pt idx="731" formatCode="#,##0">
                  <c:v>1557</c:v>
                </c:pt>
                <c:pt idx="732" formatCode="#,##0">
                  <c:v>1439</c:v>
                </c:pt>
                <c:pt idx="733" formatCode="#,##0">
                  <c:v>1187</c:v>
                </c:pt>
                <c:pt idx="734">
                  <c:v>807</c:v>
                </c:pt>
                <c:pt idx="735" formatCode="#,##0">
                  <c:v>1378</c:v>
                </c:pt>
                <c:pt idx="736" formatCode="#,##0">
                  <c:v>1394</c:v>
                </c:pt>
                <c:pt idx="737" formatCode="#,##0">
                  <c:v>1007</c:v>
                </c:pt>
                <c:pt idx="738" formatCode="#,##0">
                  <c:v>1440</c:v>
                </c:pt>
                <c:pt idx="739" formatCode="#,##0">
                  <c:v>1339</c:v>
                </c:pt>
                <c:pt idx="740" formatCode="#,##0">
                  <c:v>1015</c:v>
                </c:pt>
                <c:pt idx="741" formatCode="#,##0">
                  <c:v>1500</c:v>
                </c:pt>
                <c:pt idx="742" formatCode="#,##0">
                  <c:v>1460</c:v>
                </c:pt>
                <c:pt idx="743">
                  <c:v>997</c:v>
                </c:pt>
                <c:pt idx="744" formatCode="#,##0">
                  <c:v>1692</c:v>
                </c:pt>
                <c:pt idx="745" formatCode="#,##0">
                  <c:v>1533</c:v>
                </c:pt>
                <c:pt idx="746" formatCode="#,##0">
                  <c:v>1919</c:v>
                </c:pt>
                <c:pt idx="747" formatCode="#,##0">
                  <c:v>1364</c:v>
                </c:pt>
                <c:pt idx="748" formatCode="#,##0">
                  <c:v>1400</c:v>
                </c:pt>
                <c:pt idx="749" formatCode="#,##0">
                  <c:v>1013</c:v>
                </c:pt>
                <c:pt idx="750">
                  <c:v>989</c:v>
                </c:pt>
                <c:pt idx="751" formatCode="#,##0">
                  <c:v>1390</c:v>
                </c:pt>
                <c:pt idx="752" formatCode="#,##0">
                  <c:v>1386</c:v>
                </c:pt>
                <c:pt idx="753" formatCode="#,##0">
                  <c:v>1786</c:v>
                </c:pt>
                <c:pt idx="754" formatCode="#,##0">
                  <c:v>1127</c:v>
                </c:pt>
                <c:pt idx="755" formatCode="#,##0">
                  <c:v>2100</c:v>
                </c:pt>
                <c:pt idx="756" formatCode="#,##0">
                  <c:v>1245</c:v>
                </c:pt>
                <c:pt idx="757" formatCode="#,##0">
                  <c:v>1314</c:v>
                </c:pt>
                <c:pt idx="758" formatCode="#,##0">
                  <c:v>1663</c:v>
                </c:pt>
                <c:pt idx="759" formatCode="#,##0">
                  <c:v>2014</c:v>
                </c:pt>
                <c:pt idx="760" formatCode="#,##0">
                  <c:v>1346</c:v>
                </c:pt>
                <c:pt idx="761" formatCode="#,##0">
                  <c:v>1280</c:v>
                </c:pt>
                <c:pt idx="762" formatCode="#,##0">
                  <c:v>1820</c:v>
                </c:pt>
                <c:pt idx="763" formatCode="#,##0">
                  <c:v>1152</c:v>
                </c:pt>
                <c:pt idx="764" formatCode="#,##0">
                  <c:v>1692</c:v>
                </c:pt>
                <c:pt idx="765" formatCode="#,##0">
                  <c:v>1551</c:v>
                </c:pt>
                <c:pt idx="766" formatCode="#,##0">
                  <c:v>2009</c:v>
                </c:pt>
                <c:pt idx="767" formatCode="#,##0">
                  <c:v>1050</c:v>
                </c:pt>
                <c:pt idx="768" formatCode="#,##0">
                  <c:v>1139</c:v>
                </c:pt>
                <c:pt idx="769" formatCode="#,##0">
                  <c:v>1578</c:v>
                </c:pt>
                <c:pt idx="770" formatCode="#,##0">
                  <c:v>1032</c:v>
                </c:pt>
                <c:pt idx="771" formatCode="#,##0">
                  <c:v>2302</c:v>
                </c:pt>
                <c:pt idx="772" formatCode="#,##0">
                  <c:v>1196</c:v>
                </c:pt>
                <c:pt idx="773" formatCode="#,##0">
                  <c:v>1892</c:v>
                </c:pt>
                <c:pt idx="774" formatCode="#,##0">
                  <c:v>1152</c:v>
                </c:pt>
                <c:pt idx="775" formatCode="#,##0">
                  <c:v>1018</c:v>
                </c:pt>
                <c:pt idx="776" formatCode="#,##0">
                  <c:v>2100</c:v>
                </c:pt>
                <c:pt idx="777">
                  <c:v>650</c:v>
                </c:pt>
                <c:pt idx="778" formatCode="#,##0">
                  <c:v>1778</c:v>
                </c:pt>
                <c:pt idx="779" formatCode="#,##0">
                  <c:v>1351</c:v>
                </c:pt>
                <c:pt idx="780" formatCode="#,##0">
                  <c:v>1008</c:v>
                </c:pt>
                <c:pt idx="781" formatCode="#,##0">
                  <c:v>1636</c:v>
                </c:pt>
                <c:pt idx="782" formatCode="#,##0">
                  <c:v>1494</c:v>
                </c:pt>
                <c:pt idx="783" formatCode="#,##0">
                  <c:v>1628</c:v>
                </c:pt>
                <c:pt idx="784">
                  <c:v>968</c:v>
                </c:pt>
                <c:pt idx="785" formatCode="#,##0">
                  <c:v>1204</c:v>
                </c:pt>
                <c:pt idx="786" formatCode="#,##0">
                  <c:v>1030</c:v>
                </c:pt>
                <c:pt idx="787">
                  <c:v>968</c:v>
                </c:pt>
                <c:pt idx="788" formatCode="#,##0">
                  <c:v>1028</c:v>
                </c:pt>
                <c:pt idx="789" formatCode="#,##0">
                  <c:v>1900</c:v>
                </c:pt>
                <c:pt idx="790" formatCode="#,##0">
                  <c:v>1010</c:v>
                </c:pt>
                <c:pt idx="791" formatCode="#,##0">
                  <c:v>1069</c:v>
                </c:pt>
                <c:pt idx="792" formatCode="#,##0">
                  <c:v>1099</c:v>
                </c:pt>
                <c:pt idx="793" formatCode="#,##0">
                  <c:v>1689</c:v>
                </c:pt>
                <c:pt idx="794" formatCode="#,##0">
                  <c:v>1075</c:v>
                </c:pt>
                <c:pt idx="795" formatCode="#,##0">
                  <c:v>1279</c:v>
                </c:pt>
                <c:pt idx="796">
                  <c:v>804</c:v>
                </c:pt>
                <c:pt idx="797" formatCode="#,##0">
                  <c:v>1279</c:v>
                </c:pt>
                <c:pt idx="798" formatCode="#,##0">
                  <c:v>1275</c:v>
                </c:pt>
                <c:pt idx="799" formatCode="#,##0">
                  <c:v>1120</c:v>
                </c:pt>
                <c:pt idx="800" formatCode="#,##0">
                  <c:v>1044</c:v>
                </c:pt>
                <c:pt idx="801" formatCode="#,##0">
                  <c:v>1303</c:v>
                </c:pt>
                <c:pt idx="802" formatCode="#,##0">
                  <c:v>1835</c:v>
                </c:pt>
                <c:pt idx="803" formatCode="#,##0">
                  <c:v>2014</c:v>
                </c:pt>
                <c:pt idx="804" formatCode="#,##0">
                  <c:v>1199</c:v>
                </c:pt>
                <c:pt idx="805" formatCode="#,##0">
                  <c:v>1110</c:v>
                </c:pt>
                <c:pt idx="806" formatCode="#,##0">
                  <c:v>1640</c:v>
                </c:pt>
                <c:pt idx="807" formatCode="#,##0">
                  <c:v>1298</c:v>
                </c:pt>
                <c:pt idx="808" formatCode="#,##0">
                  <c:v>1088</c:v>
                </c:pt>
                <c:pt idx="809" formatCode="#,##0">
                  <c:v>1430</c:v>
                </c:pt>
                <c:pt idx="810" formatCode="#,##0">
                  <c:v>1200</c:v>
                </c:pt>
                <c:pt idx="811" formatCode="#,##0">
                  <c:v>1201</c:v>
                </c:pt>
                <c:pt idx="812" formatCode="#,##0">
                  <c:v>1656</c:v>
                </c:pt>
                <c:pt idx="813" formatCode="#,##0">
                  <c:v>2062</c:v>
                </c:pt>
                <c:pt idx="814" formatCode="#,##0">
                  <c:v>1747</c:v>
                </c:pt>
                <c:pt idx="815" formatCode="#,##0">
                  <c:v>1667</c:v>
                </c:pt>
                <c:pt idx="816" formatCode="#,##0">
                  <c:v>1777</c:v>
                </c:pt>
                <c:pt idx="817" formatCode="#,##0">
                  <c:v>1707</c:v>
                </c:pt>
                <c:pt idx="818" formatCode="#,##0">
                  <c:v>1047</c:v>
                </c:pt>
                <c:pt idx="819" formatCode="#,##0">
                  <c:v>1585</c:v>
                </c:pt>
                <c:pt idx="820" formatCode="#,##0">
                  <c:v>1462</c:v>
                </c:pt>
                <c:pt idx="821" formatCode="#,##0">
                  <c:v>1053</c:v>
                </c:pt>
                <c:pt idx="822" formatCode="#,##0">
                  <c:v>1091</c:v>
                </c:pt>
                <c:pt idx="823" formatCode="#,##0">
                  <c:v>1530</c:v>
                </c:pt>
                <c:pt idx="824" formatCode="#,##0">
                  <c:v>1691</c:v>
                </c:pt>
                <c:pt idx="825" formatCode="#,##0">
                  <c:v>1000</c:v>
                </c:pt>
                <c:pt idx="826" formatCode="#,##0">
                  <c:v>1200</c:v>
                </c:pt>
                <c:pt idx="827" formatCode="#,##0">
                  <c:v>1378</c:v>
                </c:pt>
                <c:pt idx="828" formatCode="#,##0">
                  <c:v>1025</c:v>
                </c:pt>
                <c:pt idx="829" formatCode="#,##0">
                  <c:v>1684</c:v>
                </c:pt>
                <c:pt idx="830" formatCode="#,##0">
                  <c:v>1121</c:v>
                </c:pt>
                <c:pt idx="831" formatCode="#,##0">
                  <c:v>1464</c:v>
                </c:pt>
                <c:pt idx="832" formatCode="#,##0">
                  <c:v>1250</c:v>
                </c:pt>
                <c:pt idx="833" formatCode="#,##0">
                  <c:v>1088</c:v>
                </c:pt>
                <c:pt idx="834" formatCode="#,##0">
                  <c:v>1537</c:v>
                </c:pt>
                <c:pt idx="835" formatCode="#,##0">
                  <c:v>2300</c:v>
                </c:pt>
                <c:pt idx="836" formatCode="#,##0">
                  <c:v>2246</c:v>
                </c:pt>
                <c:pt idx="837" formatCode="#,##0">
                  <c:v>1446</c:v>
                </c:pt>
                <c:pt idx="838" formatCode="#,##0">
                  <c:v>2112</c:v>
                </c:pt>
                <c:pt idx="839" formatCode="#,##0">
                  <c:v>2015</c:v>
                </c:pt>
                <c:pt idx="840" formatCode="#,##0">
                  <c:v>1550</c:v>
                </c:pt>
                <c:pt idx="841" formatCode="#,##0">
                  <c:v>1049</c:v>
                </c:pt>
                <c:pt idx="842">
                  <c:v>930</c:v>
                </c:pt>
                <c:pt idx="843" formatCode="#,##0">
                  <c:v>1400</c:v>
                </c:pt>
                <c:pt idx="844" formatCode="#,##0">
                  <c:v>1102</c:v>
                </c:pt>
                <c:pt idx="845" formatCode="#,##0">
                  <c:v>1008</c:v>
                </c:pt>
                <c:pt idx="846" formatCode="#,##0">
                  <c:v>1352</c:v>
                </c:pt>
                <c:pt idx="847" formatCode="#,##0">
                  <c:v>1384</c:v>
                </c:pt>
                <c:pt idx="848" formatCode="#,##0">
                  <c:v>1895</c:v>
                </c:pt>
                <c:pt idx="849" formatCode="#,##0">
                  <c:v>1015</c:v>
                </c:pt>
                <c:pt idx="850" formatCode="#,##0">
                  <c:v>2006</c:v>
                </c:pt>
                <c:pt idx="851" formatCode="#,##0">
                  <c:v>1056</c:v>
                </c:pt>
                <c:pt idx="852" formatCode="#,##0">
                  <c:v>2778</c:v>
                </c:pt>
                <c:pt idx="853" formatCode="#,##0">
                  <c:v>1136</c:v>
                </c:pt>
                <c:pt idx="854" formatCode="#,##0">
                  <c:v>1544</c:v>
                </c:pt>
                <c:pt idx="855" formatCode="#,##0">
                  <c:v>1684</c:v>
                </c:pt>
                <c:pt idx="856" formatCode="#,##0">
                  <c:v>1221</c:v>
                </c:pt>
                <c:pt idx="857" formatCode="#,##0">
                  <c:v>1620</c:v>
                </c:pt>
                <c:pt idx="858" formatCode="#,##0">
                  <c:v>1833</c:v>
                </c:pt>
                <c:pt idx="859">
                  <c:v>988</c:v>
                </c:pt>
                <c:pt idx="860" formatCode="#,##0">
                  <c:v>1768</c:v>
                </c:pt>
                <c:pt idx="861" formatCode="#,##0">
                  <c:v>1669</c:v>
                </c:pt>
                <c:pt idx="862" formatCode="#,##0">
                  <c:v>1223</c:v>
                </c:pt>
                <c:pt idx="863" formatCode="#,##0">
                  <c:v>2256</c:v>
                </c:pt>
                <c:pt idx="864" formatCode="#,##0">
                  <c:v>1444</c:v>
                </c:pt>
                <c:pt idx="865" formatCode="#,##0">
                  <c:v>1050</c:v>
                </c:pt>
                <c:pt idx="866" formatCode="#,##0">
                  <c:v>1103</c:v>
                </c:pt>
                <c:pt idx="867" formatCode="#,##0">
                  <c:v>1738</c:v>
                </c:pt>
                <c:pt idx="868" formatCode="#,##0">
                  <c:v>2340</c:v>
                </c:pt>
                <c:pt idx="869" formatCode="#,##0">
                  <c:v>1020</c:v>
                </c:pt>
                <c:pt idx="870" formatCode="#,##0">
                  <c:v>1607</c:v>
                </c:pt>
                <c:pt idx="871" formatCode="#,##0">
                  <c:v>1460</c:v>
                </c:pt>
                <c:pt idx="872" formatCode="#,##0">
                  <c:v>1450</c:v>
                </c:pt>
                <c:pt idx="873" formatCode="#,##0">
                  <c:v>1216</c:v>
                </c:pt>
                <c:pt idx="874" formatCode="#,##0">
                  <c:v>1375</c:v>
                </c:pt>
                <c:pt idx="875" formatCode="#,##0">
                  <c:v>1822</c:v>
                </c:pt>
                <c:pt idx="876" formatCode="#,##0">
                  <c:v>1755</c:v>
                </c:pt>
                <c:pt idx="877" formatCode="#,##0">
                  <c:v>1009</c:v>
                </c:pt>
                <c:pt idx="878" formatCode="#,##0">
                  <c:v>1960</c:v>
                </c:pt>
                <c:pt idx="879" formatCode="#,##0">
                  <c:v>1282</c:v>
                </c:pt>
                <c:pt idx="880" formatCode="#,##0">
                  <c:v>1568</c:v>
                </c:pt>
                <c:pt idx="881" formatCode="#,##0">
                  <c:v>1200</c:v>
                </c:pt>
                <c:pt idx="882" formatCode="#,##0">
                  <c:v>3112</c:v>
                </c:pt>
                <c:pt idx="883" formatCode="#,##0">
                  <c:v>1733</c:v>
                </c:pt>
                <c:pt idx="884" formatCode="#,##0">
                  <c:v>1494</c:v>
                </c:pt>
                <c:pt idx="885" formatCode="#,##0">
                  <c:v>1448</c:v>
                </c:pt>
                <c:pt idx="886" formatCode="#,##0">
                  <c:v>1688</c:v>
                </c:pt>
                <c:pt idx="887">
                  <c:v>918</c:v>
                </c:pt>
                <c:pt idx="888" formatCode="#,##0">
                  <c:v>1340</c:v>
                </c:pt>
                <c:pt idx="889" formatCode="#,##0">
                  <c:v>1802</c:v>
                </c:pt>
                <c:pt idx="890" formatCode="#,##0">
                  <c:v>1250</c:v>
                </c:pt>
                <c:pt idx="891" formatCode="#,##0">
                  <c:v>1338</c:v>
                </c:pt>
                <c:pt idx="892" formatCode="#,##0">
                  <c:v>1172</c:v>
                </c:pt>
                <c:pt idx="893" formatCode="#,##0">
                  <c:v>1178</c:v>
                </c:pt>
                <c:pt idx="894" formatCode="#,##0">
                  <c:v>2046</c:v>
                </c:pt>
                <c:pt idx="895" formatCode="#,##0">
                  <c:v>1416</c:v>
                </c:pt>
                <c:pt idx="896" formatCode="#,##0">
                  <c:v>1904</c:v>
                </c:pt>
                <c:pt idx="897" formatCode="#,##0">
                  <c:v>1768</c:v>
                </c:pt>
                <c:pt idx="898" formatCode="#,##0">
                  <c:v>2044</c:v>
                </c:pt>
                <c:pt idx="899" formatCode="#,##0">
                  <c:v>1075</c:v>
                </c:pt>
                <c:pt idx="900" formatCode="#,##0">
                  <c:v>1027</c:v>
                </c:pt>
                <c:pt idx="901" formatCode="#,##0">
                  <c:v>1350</c:v>
                </c:pt>
                <c:pt idx="902" formatCode="#,##0">
                  <c:v>2076</c:v>
                </c:pt>
                <c:pt idx="903" formatCode="#,##0">
                  <c:v>1183</c:v>
                </c:pt>
                <c:pt idx="904" formatCode="#,##0">
                  <c:v>1150</c:v>
                </c:pt>
                <c:pt idx="905" formatCode="#,##0">
                  <c:v>1346</c:v>
                </c:pt>
                <c:pt idx="906" formatCode="#,##0">
                  <c:v>1557</c:v>
                </c:pt>
                <c:pt idx="907" formatCode="#,##0">
                  <c:v>1802</c:v>
                </c:pt>
                <c:pt idx="908" formatCode="#,##0">
                  <c:v>1394</c:v>
                </c:pt>
                <c:pt idx="909" formatCode="#,##0">
                  <c:v>1528</c:v>
                </c:pt>
                <c:pt idx="910" formatCode="#,##0">
                  <c:v>1371</c:v>
                </c:pt>
                <c:pt idx="911" formatCode="#,##0">
                  <c:v>1116</c:v>
                </c:pt>
                <c:pt idx="912" formatCode="#,##0">
                  <c:v>1712</c:v>
                </c:pt>
                <c:pt idx="913" formatCode="#,##0">
                  <c:v>1782</c:v>
                </c:pt>
                <c:pt idx="914" formatCode="#,##0">
                  <c:v>2250</c:v>
                </c:pt>
                <c:pt idx="915" formatCode="#,##0">
                  <c:v>1126</c:v>
                </c:pt>
                <c:pt idx="916" formatCode="#,##0">
                  <c:v>1775</c:v>
                </c:pt>
                <c:pt idx="917" formatCode="#,##0">
                  <c:v>1153</c:v>
                </c:pt>
                <c:pt idx="918" formatCode="#,##0">
                  <c:v>2823</c:v>
                </c:pt>
                <c:pt idx="919" formatCode="#,##0">
                  <c:v>1252</c:v>
                </c:pt>
                <c:pt idx="920" formatCode="#,##0">
                  <c:v>1882</c:v>
                </c:pt>
                <c:pt idx="921" formatCode="#,##0">
                  <c:v>1775</c:v>
                </c:pt>
                <c:pt idx="922" formatCode="#,##0">
                  <c:v>1045</c:v>
                </c:pt>
                <c:pt idx="923" formatCode="#,##0">
                  <c:v>1100</c:v>
                </c:pt>
                <c:pt idx="924" formatCode="#,##0">
                  <c:v>1800</c:v>
                </c:pt>
                <c:pt idx="925" formatCode="#,##0">
                  <c:v>1582</c:v>
                </c:pt>
                <c:pt idx="926" formatCode="#,##0">
                  <c:v>1014</c:v>
                </c:pt>
                <c:pt idx="927" formatCode="#,##0">
                  <c:v>2442</c:v>
                </c:pt>
                <c:pt idx="928" formatCode="#,##0">
                  <c:v>1606</c:v>
                </c:pt>
                <c:pt idx="929" formatCode="#,##0">
                  <c:v>1665</c:v>
                </c:pt>
                <c:pt idx="930" formatCode="#,##0">
                  <c:v>1195</c:v>
                </c:pt>
                <c:pt idx="931" formatCode="#,##0">
                  <c:v>2840</c:v>
                </c:pt>
                <c:pt idx="932" formatCode="#,##0">
                  <c:v>1490</c:v>
                </c:pt>
                <c:pt idx="933" formatCode="#,##0">
                  <c:v>1036</c:v>
                </c:pt>
                <c:pt idx="934">
                  <c:v>987</c:v>
                </c:pt>
                <c:pt idx="935" formatCode="#,##0">
                  <c:v>1388</c:v>
                </c:pt>
                <c:pt idx="936" formatCode="#,##0">
                  <c:v>2003</c:v>
                </c:pt>
                <c:pt idx="937" formatCode="#,##0">
                  <c:v>1102</c:v>
                </c:pt>
                <c:pt idx="938" formatCode="#,##0">
                  <c:v>1031</c:v>
                </c:pt>
                <c:pt idx="939" formatCode="#,##0">
                  <c:v>1915</c:v>
                </c:pt>
                <c:pt idx="940" formatCode="#,##0">
                  <c:v>1800</c:v>
                </c:pt>
                <c:pt idx="941" formatCode="#,##0">
                  <c:v>2654</c:v>
                </c:pt>
                <c:pt idx="942" formatCode="#,##0">
                  <c:v>1581</c:v>
                </c:pt>
                <c:pt idx="943" formatCode="#,##0">
                  <c:v>1452</c:v>
                </c:pt>
                <c:pt idx="944" formatCode="#,##0">
                  <c:v>1247</c:v>
                </c:pt>
                <c:pt idx="945" formatCode="#,##0">
                  <c:v>1601</c:v>
                </c:pt>
                <c:pt idx="946" formatCode="#,##0">
                  <c:v>1673</c:v>
                </c:pt>
                <c:pt idx="947" formatCode="#,##0">
                  <c:v>1231</c:v>
                </c:pt>
                <c:pt idx="948" formatCode="#,##0">
                  <c:v>2158</c:v>
                </c:pt>
                <c:pt idx="949" formatCode="#,##0">
                  <c:v>1485</c:v>
                </c:pt>
                <c:pt idx="950" formatCode="#,##0">
                  <c:v>1037</c:v>
                </c:pt>
                <c:pt idx="951" formatCode="#,##0">
                  <c:v>1964</c:v>
                </c:pt>
                <c:pt idx="952" formatCode="#,##0">
                  <c:v>2156</c:v>
                </c:pt>
                <c:pt idx="953" formatCode="#,##0">
                  <c:v>2176</c:v>
                </c:pt>
                <c:pt idx="954" formatCode="#,##0">
                  <c:v>1410</c:v>
                </c:pt>
                <c:pt idx="955" formatCode="#,##0">
                  <c:v>1729</c:v>
                </c:pt>
                <c:pt idx="956" formatCode="#,##0">
                  <c:v>1005</c:v>
                </c:pt>
                <c:pt idx="957" formatCode="#,##0">
                  <c:v>1510</c:v>
                </c:pt>
                <c:pt idx="958" formatCode="#,##0">
                  <c:v>1173</c:v>
                </c:pt>
                <c:pt idx="959" formatCode="#,##0">
                  <c:v>1962</c:v>
                </c:pt>
                <c:pt idx="960" formatCode="#,##0">
                  <c:v>1420</c:v>
                </c:pt>
                <c:pt idx="961" formatCode="#,##0">
                  <c:v>1034</c:v>
                </c:pt>
                <c:pt idx="962" formatCode="#,##0">
                  <c:v>1689</c:v>
                </c:pt>
                <c:pt idx="963" formatCode="#,##0">
                  <c:v>1025</c:v>
                </c:pt>
                <c:pt idx="964" formatCode="#,##0">
                  <c:v>1201</c:v>
                </c:pt>
                <c:pt idx="965" formatCode="#,##0">
                  <c:v>2122</c:v>
                </c:pt>
                <c:pt idx="966" formatCode="#,##0">
                  <c:v>1008</c:v>
                </c:pt>
                <c:pt idx="967" formatCode="#,##0">
                  <c:v>1688</c:v>
                </c:pt>
                <c:pt idx="968" formatCode="#,##0">
                  <c:v>1932</c:v>
                </c:pt>
                <c:pt idx="969" formatCode="#,##0">
                  <c:v>1092</c:v>
                </c:pt>
                <c:pt idx="970" formatCode="#,##0">
                  <c:v>1878</c:v>
                </c:pt>
                <c:pt idx="971" formatCode="#,##0">
                  <c:v>1410</c:v>
                </c:pt>
                <c:pt idx="972" formatCode="#,##0">
                  <c:v>1837</c:v>
                </c:pt>
                <c:pt idx="973" formatCode="#,##0">
                  <c:v>1036</c:v>
                </c:pt>
                <c:pt idx="974" formatCode="#,##0">
                  <c:v>1768</c:v>
                </c:pt>
                <c:pt idx="975" formatCode="#,##0">
                  <c:v>2022</c:v>
                </c:pt>
                <c:pt idx="976" formatCode="#,##0">
                  <c:v>1500</c:v>
                </c:pt>
                <c:pt idx="977" formatCode="#,##0">
                  <c:v>1092</c:v>
                </c:pt>
                <c:pt idx="978" formatCode="#,##0">
                  <c:v>2158</c:v>
                </c:pt>
                <c:pt idx="979" formatCode="#,##0">
                  <c:v>2092</c:v>
                </c:pt>
                <c:pt idx="980" formatCode="#,##0">
                  <c:v>2169</c:v>
                </c:pt>
                <c:pt idx="981" formatCode="#,##0">
                  <c:v>1040</c:v>
                </c:pt>
                <c:pt idx="982" formatCode="#,##0">
                  <c:v>1280</c:v>
                </c:pt>
                <c:pt idx="983" formatCode="#,##0">
                  <c:v>1589</c:v>
                </c:pt>
                <c:pt idx="984" formatCode="#,##0">
                  <c:v>1970</c:v>
                </c:pt>
                <c:pt idx="985" formatCode="#,##0">
                  <c:v>1552</c:v>
                </c:pt>
                <c:pt idx="986" formatCode="#,##0">
                  <c:v>1734</c:v>
                </c:pt>
                <c:pt idx="987" formatCode="#,##0">
                  <c:v>1274</c:v>
                </c:pt>
                <c:pt idx="988" formatCode="#,##0">
                  <c:v>1125</c:v>
                </c:pt>
                <c:pt idx="989" formatCode="#,##0">
                  <c:v>2054</c:v>
                </c:pt>
                <c:pt idx="990" formatCode="#,##0">
                  <c:v>1125</c:v>
                </c:pt>
                <c:pt idx="991" formatCode="#,##0">
                  <c:v>1418</c:v>
                </c:pt>
                <c:pt idx="992" formatCode="#,##0">
                  <c:v>1423</c:v>
                </c:pt>
                <c:pt idx="993" formatCode="#,##0">
                  <c:v>1520</c:v>
                </c:pt>
                <c:pt idx="994" formatCode="#,##0">
                  <c:v>1385</c:v>
                </c:pt>
                <c:pt idx="995" formatCode="#,##0">
                  <c:v>1201</c:v>
                </c:pt>
                <c:pt idx="996" formatCode="#,##0">
                  <c:v>2304</c:v>
                </c:pt>
                <c:pt idx="997" formatCode="#,##0">
                  <c:v>1404</c:v>
                </c:pt>
                <c:pt idx="998" formatCode="#,##0">
                  <c:v>1404</c:v>
                </c:pt>
                <c:pt idx="999" formatCode="#,##0">
                  <c:v>1686</c:v>
                </c:pt>
                <c:pt idx="1000" formatCode="#,##0">
                  <c:v>1841</c:v>
                </c:pt>
                <c:pt idx="1001" formatCode="#,##0">
                  <c:v>1940</c:v>
                </c:pt>
                <c:pt idx="1002" formatCode="#,##0">
                  <c:v>2028</c:v>
                </c:pt>
                <c:pt idx="1003" formatCode="#,##0">
                  <c:v>1003</c:v>
                </c:pt>
                <c:pt idx="1004" formatCode="#,##0">
                  <c:v>1644</c:v>
                </c:pt>
                <c:pt idx="1005" formatCode="#,##0">
                  <c:v>2062</c:v>
                </c:pt>
                <c:pt idx="1006" formatCode="#,##0">
                  <c:v>1574</c:v>
                </c:pt>
                <c:pt idx="1007" formatCode="#,##0">
                  <c:v>1439</c:v>
                </c:pt>
                <c:pt idx="1008" formatCode="#,##0">
                  <c:v>1997</c:v>
                </c:pt>
                <c:pt idx="1009" formatCode="#,##0">
                  <c:v>1997</c:v>
                </c:pt>
                <c:pt idx="1010" formatCode="#,##0">
                  <c:v>1564</c:v>
                </c:pt>
                <c:pt idx="1011" formatCode="#,##0">
                  <c:v>1140</c:v>
                </c:pt>
                <c:pt idx="1012" formatCode="#,##0">
                  <c:v>1062</c:v>
                </c:pt>
                <c:pt idx="1013" formatCode="#,##0">
                  <c:v>1648</c:v>
                </c:pt>
                <c:pt idx="1014" formatCode="#,##0">
                  <c:v>1672</c:v>
                </c:pt>
                <c:pt idx="1015" formatCode="#,##0">
                  <c:v>2065</c:v>
                </c:pt>
                <c:pt idx="1016">
                  <c:v>900</c:v>
                </c:pt>
                <c:pt idx="1017" formatCode="#,##0">
                  <c:v>2400</c:v>
                </c:pt>
                <c:pt idx="1018" formatCode="#,##0">
                  <c:v>1021</c:v>
                </c:pt>
                <c:pt idx="1019" formatCode="#,##0">
                  <c:v>1500</c:v>
                </c:pt>
                <c:pt idx="1020" formatCode="#,##0">
                  <c:v>1945</c:v>
                </c:pt>
                <c:pt idx="1021" formatCode="#,##0">
                  <c:v>1306</c:v>
                </c:pt>
                <c:pt idx="1022">
                  <c:v>964</c:v>
                </c:pt>
                <c:pt idx="1023" formatCode="#,##0">
                  <c:v>1000</c:v>
                </c:pt>
                <c:pt idx="1024" formatCode="#,##0">
                  <c:v>1603</c:v>
                </c:pt>
                <c:pt idx="1025" formatCode="#,##0">
                  <c:v>1247</c:v>
                </c:pt>
                <c:pt idx="1026" formatCode="#,##0">
                  <c:v>2023</c:v>
                </c:pt>
                <c:pt idx="1027" formatCode="#,##0">
                  <c:v>1750</c:v>
                </c:pt>
                <c:pt idx="1028" formatCode="#,##0">
                  <c:v>1748</c:v>
                </c:pt>
                <c:pt idx="1029" formatCode="#,##0">
                  <c:v>1283</c:v>
                </c:pt>
                <c:pt idx="1030" formatCode="#,##0">
                  <c:v>1453</c:v>
                </c:pt>
                <c:pt idx="1031" formatCode="#,##0">
                  <c:v>1756</c:v>
                </c:pt>
                <c:pt idx="1032" formatCode="#,##0">
                  <c:v>1613</c:v>
                </c:pt>
                <c:pt idx="1033" formatCode="#,##0">
                  <c:v>1703</c:v>
                </c:pt>
                <c:pt idx="1034" formatCode="#,##0">
                  <c:v>1090</c:v>
                </c:pt>
                <c:pt idx="1035" formatCode="#,##0">
                  <c:v>1644</c:v>
                </c:pt>
                <c:pt idx="1036" formatCode="#,##0">
                  <c:v>1700</c:v>
                </c:pt>
                <c:pt idx="1037" formatCode="#,##0">
                  <c:v>2258</c:v>
                </c:pt>
                <c:pt idx="1038" formatCode="#,##0">
                  <c:v>1786</c:v>
                </c:pt>
                <c:pt idx="1039" formatCode="#,##0">
                  <c:v>1826</c:v>
                </c:pt>
                <c:pt idx="1040" formatCode="#,##0">
                  <c:v>2060</c:v>
                </c:pt>
                <c:pt idx="1041" formatCode="#,##0">
                  <c:v>1554</c:v>
                </c:pt>
                <c:pt idx="1042" formatCode="#,##0">
                  <c:v>1055</c:v>
                </c:pt>
                <c:pt idx="1043" formatCode="#,##0">
                  <c:v>1815</c:v>
                </c:pt>
                <c:pt idx="1044" formatCode="#,##0">
                  <c:v>1341</c:v>
                </c:pt>
                <c:pt idx="1045" formatCode="#,##0">
                  <c:v>1400</c:v>
                </c:pt>
                <c:pt idx="1046" formatCode="#,##0">
                  <c:v>1924</c:v>
                </c:pt>
                <c:pt idx="1047" formatCode="#,##0">
                  <c:v>1176</c:v>
                </c:pt>
                <c:pt idx="1048" formatCode="#,##0">
                  <c:v>1840</c:v>
                </c:pt>
                <c:pt idx="1049" formatCode="#,##0">
                  <c:v>1003</c:v>
                </c:pt>
                <c:pt idx="1050" formatCode="#,##0">
                  <c:v>1624</c:v>
                </c:pt>
                <c:pt idx="1051" formatCode="#,##0">
                  <c:v>1587</c:v>
                </c:pt>
                <c:pt idx="1052" formatCode="#,##0">
                  <c:v>1550</c:v>
                </c:pt>
                <c:pt idx="1053" formatCode="#,##0">
                  <c:v>1669</c:v>
                </c:pt>
                <c:pt idx="1054" formatCode="#,##0">
                  <c:v>1533</c:v>
                </c:pt>
                <c:pt idx="1055" formatCode="#,##0">
                  <c:v>1607</c:v>
                </c:pt>
                <c:pt idx="1056" formatCode="#,##0">
                  <c:v>1484</c:v>
                </c:pt>
                <c:pt idx="1057" formatCode="#,##0">
                  <c:v>1284</c:v>
                </c:pt>
                <c:pt idx="1058" formatCode="#,##0">
                  <c:v>1249</c:v>
                </c:pt>
                <c:pt idx="1059" formatCode="#,##0">
                  <c:v>1500</c:v>
                </c:pt>
                <c:pt idx="1060" formatCode="#,##0">
                  <c:v>1807</c:v>
                </c:pt>
                <c:pt idx="1061" formatCode="#,##0">
                  <c:v>1191</c:v>
                </c:pt>
                <c:pt idx="1062" formatCode="#,##0">
                  <c:v>1031</c:v>
                </c:pt>
                <c:pt idx="1063" formatCode="#,##0">
                  <c:v>1182</c:v>
                </c:pt>
                <c:pt idx="1064" formatCode="#,##0">
                  <c:v>2070</c:v>
                </c:pt>
                <c:pt idx="1065" formatCode="#,##0">
                  <c:v>1224</c:v>
                </c:pt>
                <c:pt idx="1066" formatCode="#,##0">
                  <c:v>2713</c:v>
                </c:pt>
                <c:pt idx="1067" formatCode="#,##0">
                  <c:v>3376</c:v>
                </c:pt>
                <c:pt idx="1068" formatCode="#,##0">
                  <c:v>1409</c:v>
                </c:pt>
                <c:pt idx="1069" formatCode="#,##0">
                  <c:v>1826</c:v>
                </c:pt>
                <c:pt idx="1070" formatCode="#,##0">
                  <c:v>1831</c:v>
                </c:pt>
                <c:pt idx="1071" formatCode="#,##0">
                  <c:v>2398</c:v>
                </c:pt>
                <c:pt idx="1072" formatCode="#,##0">
                  <c:v>2205</c:v>
                </c:pt>
                <c:pt idx="1073" formatCode="#,##0">
                  <c:v>1746</c:v>
                </c:pt>
                <c:pt idx="1074">
                  <c:v>815</c:v>
                </c:pt>
                <c:pt idx="1075" formatCode="#,##0">
                  <c:v>1852</c:v>
                </c:pt>
                <c:pt idx="1076" formatCode="#,##0">
                  <c:v>2537</c:v>
                </c:pt>
                <c:pt idx="1077" formatCode="#,##0">
                  <c:v>1864</c:v>
                </c:pt>
                <c:pt idx="1078" formatCode="#,##0">
                  <c:v>2278</c:v>
                </c:pt>
                <c:pt idx="1079" formatCode="#,##0">
                  <c:v>2479</c:v>
                </c:pt>
                <c:pt idx="1080" formatCode="#,##0">
                  <c:v>1271</c:v>
                </c:pt>
                <c:pt idx="1081" formatCode="#,##0">
                  <c:v>1592</c:v>
                </c:pt>
                <c:pt idx="1082" formatCode="#,##0">
                  <c:v>1322</c:v>
                </c:pt>
                <c:pt idx="1083" formatCode="#,##0">
                  <c:v>1200</c:v>
                </c:pt>
                <c:pt idx="1084" formatCode="#,##0">
                  <c:v>2183</c:v>
                </c:pt>
                <c:pt idx="1085" formatCode="#,##0">
                  <c:v>1699</c:v>
                </c:pt>
                <c:pt idx="1086" formatCode="#,##0">
                  <c:v>1057</c:v>
                </c:pt>
                <c:pt idx="1087" formatCode="#,##0">
                  <c:v>1319</c:v>
                </c:pt>
                <c:pt idx="1088" formatCode="#,##0">
                  <c:v>1250</c:v>
                </c:pt>
                <c:pt idx="1089" formatCode="#,##0">
                  <c:v>1550</c:v>
                </c:pt>
                <c:pt idx="1090" formatCode="#,##0">
                  <c:v>1248</c:v>
                </c:pt>
                <c:pt idx="1091" formatCode="#,##0">
                  <c:v>2063</c:v>
                </c:pt>
                <c:pt idx="1092" formatCode="#,##0">
                  <c:v>2183</c:v>
                </c:pt>
                <c:pt idx="1093" formatCode="#,##0">
                  <c:v>1866</c:v>
                </c:pt>
                <c:pt idx="1094" formatCode="#,##0">
                  <c:v>1945</c:v>
                </c:pt>
                <c:pt idx="1095">
                  <c:v>772</c:v>
                </c:pt>
                <c:pt idx="1096" formatCode="#,##0">
                  <c:v>1424</c:v>
                </c:pt>
                <c:pt idx="1097" formatCode="#,##0">
                  <c:v>1092</c:v>
                </c:pt>
                <c:pt idx="1098" formatCode="#,##0">
                  <c:v>1697</c:v>
                </c:pt>
                <c:pt idx="1099" formatCode="#,##0">
                  <c:v>1436</c:v>
                </c:pt>
                <c:pt idx="1100" formatCode="#,##0">
                  <c:v>1793</c:v>
                </c:pt>
                <c:pt idx="1101" formatCode="#,##0">
                  <c:v>1468</c:v>
                </c:pt>
                <c:pt idx="1102" formatCode="#,##0">
                  <c:v>2476</c:v>
                </c:pt>
                <c:pt idx="1103" formatCode="#,##0">
                  <c:v>2239</c:v>
                </c:pt>
                <c:pt idx="1104" formatCode="#,##0">
                  <c:v>1770</c:v>
                </c:pt>
                <c:pt idx="1105" formatCode="#,##0">
                  <c:v>2544</c:v>
                </c:pt>
                <c:pt idx="1106" formatCode="#,##0">
                  <c:v>2000</c:v>
                </c:pt>
                <c:pt idx="1107" formatCode="#,##0">
                  <c:v>1872</c:v>
                </c:pt>
                <c:pt idx="1108" formatCode="#,##0">
                  <c:v>1843</c:v>
                </c:pt>
                <c:pt idx="1109" formatCode="#,##0">
                  <c:v>1616</c:v>
                </c:pt>
                <c:pt idx="1110">
                  <c:v>992</c:v>
                </c:pt>
                <c:pt idx="1111" formatCode="#,##0">
                  <c:v>1800</c:v>
                </c:pt>
                <c:pt idx="1112" formatCode="#,##0">
                  <c:v>1793</c:v>
                </c:pt>
                <c:pt idx="1113" formatCode="#,##0">
                  <c:v>1482</c:v>
                </c:pt>
                <c:pt idx="1114" formatCode="#,##0">
                  <c:v>2129</c:v>
                </c:pt>
                <c:pt idx="1115" formatCode="#,##0">
                  <c:v>2498</c:v>
                </c:pt>
                <c:pt idx="1116" formatCode="#,##0">
                  <c:v>1057</c:v>
                </c:pt>
                <c:pt idx="1117" formatCode="#,##0">
                  <c:v>1234</c:v>
                </c:pt>
                <c:pt idx="1118" formatCode="#,##0">
                  <c:v>2226</c:v>
                </c:pt>
                <c:pt idx="1119" formatCode="#,##0">
                  <c:v>1435</c:v>
                </c:pt>
                <c:pt idx="1120" formatCode="#,##0">
                  <c:v>1822</c:v>
                </c:pt>
                <c:pt idx="1121" formatCode="#,##0">
                  <c:v>2511</c:v>
                </c:pt>
                <c:pt idx="1122" formatCode="#,##0">
                  <c:v>2116</c:v>
                </c:pt>
                <c:pt idx="1123" formatCode="#,##0">
                  <c:v>1550</c:v>
                </c:pt>
                <c:pt idx="1124" formatCode="#,##0">
                  <c:v>1697</c:v>
                </c:pt>
                <c:pt idx="1125" formatCode="#,##0">
                  <c:v>1302</c:v>
                </c:pt>
                <c:pt idx="1126">
                  <c:v>2035</c:v>
                </c:pt>
                <c:pt idx="1127" formatCode="#,##0">
                  <c:v>2240</c:v>
                </c:pt>
                <c:pt idx="1128" formatCode="#,##0">
                  <c:v>1747</c:v>
                </c:pt>
                <c:pt idx="1129" formatCode="#,##0">
                  <c:v>2061</c:v>
                </c:pt>
                <c:pt idx="1130" formatCode="#,##0">
                  <c:v>1870</c:v>
                </c:pt>
                <c:pt idx="1131" formatCode="#,##0">
                  <c:v>1478</c:v>
                </c:pt>
                <c:pt idx="1132" formatCode="#,##0">
                  <c:v>1335</c:v>
                </c:pt>
                <c:pt idx="1133">
                  <c:v>903</c:v>
                </c:pt>
                <c:pt idx="1134" formatCode="#,##0">
                  <c:v>2023</c:v>
                </c:pt>
                <c:pt idx="1135" formatCode="#,##0">
                  <c:v>1676</c:v>
                </c:pt>
                <c:pt idx="1136" formatCode="#,##0">
                  <c:v>1963</c:v>
                </c:pt>
                <c:pt idx="1137" formatCode="#,##0">
                  <c:v>1781</c:v>
                </c:pt>
                <c:pt idx="1138" formatCode="#,##0">
                  <c:v>1719</c:v>
                </c:pt>
                <c:pt idx="1139" formatCode="#,##0">
                  <c:v>1424</c:v>
                </c:pt>
                <c:pt idx="1140" formatCode="#,##0">
                  <c:v>1210</c:v>
                </c:pt>
                <c:pt idx="1141" formatCode="#,##0">
                  <c:v>1348</c:v>
                </c:pt>
                <c:pt idx="1142" formatCode="#,##0">
                  <c:v>1834</c:v>
                </c:pt>
                <c:pt idx="1143" formatCode="#,##0">
                  <c:v>1835</c:v>
                </c:pt>
                <c:pt idx="1144" formatCode="#,##0">
                  <c:v>1500</c:v>
                </c:pt>
                <c:pt idx="1145" formatCode="#,##0">
                  <c:v>1871</c:v>
                </c:pt>
                <c:pt idx="1146" formatCode="#,##0">
                  <c:v>2162</c:v>
                </c:pt>
                <c:pt idx="1147" formatCode="#,##0">
                  <c:v>2495</c:v>
                </c:pt>
                <c:pt idx="1148" formatCode="#,##0">
                  <c:v>1709</c:v>
                </c:pt>
                <c:pt idx="1149" formatCode="#,##0">
                  <c:v>2186</c:v>
                </c:pt>
                <c:pt idx="1150" formatCode="#,##0">
                  <c:v>1633</c:v>
                </c:pt>
                <c:pt idx="1151" formatCode="#,##0">
                  <c:v>2772</c:v>
                </c:pt>
                <c:pt idx="1152" formatCode="#,##0">
                  <c:v>2418</c:v>
                </c:pt>
                <c:pt idx="1153" formatCode="#,##0">
                  <c:v>1021</c:v>
                </c:pt>
                <c:pt idx="1154" formatCode="#,##0">
                  <c:v>1428</c:v>
                </c:pt>
                <c:pt idx="1155" formatCode="#,##0">
                  <c:v>2452</c:v>
                </c:pt>
                <c:pt idx="1156" formatCode="#,##0">
                  <c:v>1397</c:v>
                </c:pt>
                <c:pt idx="1157">
                  <c:v>960</c:v>
                </c:pt>
                <c:pt idx="1158" formatCode="#,##0">
                  <c:v>1980</c:v>
                </c:pt>
                <c:pt idx="1159" formatCode="#,##0">
                  <c:v>1184</c:v>
                </c:pt>
                <c:pt idx="1160" formatCode="#,##0">
                  <c:v>1453</c:v>
                </c:pt>
                <c:pt idx="1161" formatCode="#,##0">
                  <c:v>1685</c:v>
                </c:pt>
                <c:pt idx="1162" formatCode="#,##0">
                  <c:v>1827</c:v>
                </c:pt>
                <c:pt idx="1163" formatCode="#,##0">
                  <c:v>1685</c:v>
                </c:pt>
                <c:pt idx="1164" formatCode="#,##0">
                  <c:v>1290</c:v>
                </c:pt>
                <c:pt idx="1165" formatCode="#,##0">
                  <c:v>1131</c:v>
                </c:pt>
                <c:pt idx="1166" formatCode="#,##0">
                  <c:v>1202</c:v>
                </c:pt>
                <c:pt idx="1167" formatCode="#,##0">
                  <c:v>1364</c:v>
                </c:pt>
                <c:pt idx="1168" formatCode="#,##0">
                  <c:v>1540</c:v>
                </c:pt>
                <c:pt idx="1169" formatCode="#,##0">
                  <c:v>1456</c:v>
                </c:pt>
                <c:pt idx="1170" formatCode="#,##0">
                  <c:v>2068</c:v>
                </c:pt>
                <c:pt idx="1171" formatCode="#,##0">
                  <c:v>1118</c:v>
                </c:pt>
                <c:pt idx="1172" formatCode="#,##0">
                  <c:v>1536</c:v>
                </c:pt>
                <c:pt idx="1173" formatCode="#,##0">
                  <c:v>1719</c:v>
                </c:pt>
                <c:pt idx="1174" formatCode="#,##0">
                  <c:v>2482</c:v>
                </c:pt>
                <c:pt idx="1175" formatCode="#,##0">
                  <c:v>1879</c:v>
                </c:pt>
                <c:pt idx="1176" formatCode="#,##0">
                  <c:v>1537</c:v>
                </c:pt>
                <c:pt idx="1177" formatCode="#,##0">
                  <c:v>1729</c:v>
                </c:pt>
                <c:pt idx="1178" formatCode="#,##0">
                  <c:v>2448</c:v>
                </c:pt>
                <c:pt idx="1179" formatCode="#,##0">
                  <c:v>1753</c:v>
                </c:pt>
                <c:pt idx="1180" formatCode="#,##0">
                  <c:v>2128</c:v>
                </c:pt>
                <c:pt idx="1181" formatCode="#,##0">
                  <c:v>1724</c:v>
                </c:pt>
                <c:pt idx="1182" formatCode="#,##0">
                  <c:v>1752</c:v>
                </c:pt>
                <c:pt idx="1183" formatCode="#,##0">
                  <c:v>1402</c:v>
                </c:pt>
                <c:pt idx="1184" formatCode="#,##0">
                  <c:v>1262</c:v>
                </c:pt>
                <c:pt idx="1185" formatCode="#,##0">
                  <c:v>2750</c:v>
                </c:pt>
                <c:pt idx="1186" formatCode="#,##0">
                  <c:v>2636</c:v>
                </c:pt>
                <c:pt idx="1187" formatCode="#,##0">
                  <c:v>2336</c:v>
                </c:pt>
                <c:pt idx="1188" formatCode="#,##0">
                  <c:v>2055</c:v>
                </c:pt>
                <c:pt idx="1189" formatCode="#,##0">
                  <c:v>2048</c:v>
                </c:pt>
                <c:pt idx="1190" formatCode="#,##0">
                  <c:v>1992</c:v>
                </c:pt>
                <c:pt idx="1191" formatCode="#,##0">
                  <c:v>1554</c:v>
                </c:pt>
                <c:pt idx="1192" formatCode="#,##0">
                  <c:v>2028</c:v>
                </c:pt>
                <c:pt idx="1193" formatCode="#,##0">
                  <c:v>1900</c:v>
                </c:pt>
                <c:pt idx="1194" formatCode="#,##0">
                  <c:v>1671</c:v>
                </c:pt>
                <c:pt idx="1195" formatCode="#,##0">
                  <c:v>2594</c:v>
                </c:pt>
                <c:pt idx="1196" formatCode="#,##0">
                  <c:v>1678</c:v>
                </c:pt>
                <c:pt idx="1197" formatCode="#,##0">
                  <c:v>2768</c:v>
                </c:pt>
                <c:pt idx="1198" formatCode="#,##0">
                  <c:v>1814</c:v>
                </c:pt>
                <c:pt idx="1199" formatCode="#,##0">
                  <c:v>2368</c:v>
                </c:pt>
                <c:pt idx="1200" formatCode="#,##0">
                  <c:v>1871</c:v>
                </c:pt>
                <c:pt idx="1201" formatCode="#,##0">
                  <c:v>1702</c:v>
                </c:pt>
                <c:pt idx="1202" formatCode="#,##0">
                  <c:v>2349</c:v>
                </c:pt>
                <c:pt idx="1203" formatCode="#,##0">
                  <c:v>1917</c:v>
                </c:pt>
                <c:pt idx="1204" formatCode="#,##0">
                  <c:v>1466</c:v>
                </c:pt>
                <c:pt idx="1205" formatCode="#,##0">
                  <c:v>2063</c:v>
                </c:pt>
                <c:pt idx="1206" formatCode="#,##0">
                  <c:v>1721</c:v>
                </c:pt>
                <c:pt idx="1207" formatCode="#,##0">
                  <c:v>2136</c:v>
                </c:pt>
                <c:pt idx="1208" formatCode="#,##0">
                  <c:v>2068</c:v>
                </c:pt>
                <c:pt idx="1209" formatCode="#,##0">
                  <c:v>1382</c:v>
                </c:pt>
                <c:pt idx="1210" formatCode="#,##0">
                  <c:v>1311</c:v>
                </c:pt>
                <c:pt idx="1211" formatCode="#,##0">
                  <c:v>1894</c:v>
                </c:pt>
                <c:pt idx="1212" formatCode="#,##0">
                  <c:v>1975</c:v>
                </c:pt>
                <c:pt idx="1213" formatCode="#,##0">
                  <c:v>2488</c:v>
                </c:pt>
                <c:pt idx="1214" formatCode="#,##0">
                  <c:v>1753</c:v>
                </c:pt>
                <c:pt idx="1215" formatCode="#,##0">
                  <c:v>1070</c:v>
                </c:pt>
                <c:pt idx="1216" formatCode="#,##0">
                  <c:v>1753</c:v>
                </c:pt>
                <c:pt idx="1217" formatCode="#,##0">
                  <c:v>2127</c:v>
                </c:pt>
                <c:pt idx="1218" formatCode="#,##0">
                  <c:v>2094</c:v>
                </c:pt>
                <c:pt idx="1219" formatCode="#,##0">
                  <c:v>1669</c:v>
                </c:pt>
                <c:pt idx="1220" formatCode="#,##0">
                  <c:v>2126</c:v>
                </c:pt>
                <c:pt idx="1221" formatCode="#,##0">
                  <c:v>1700</c:v>
                </c:pt>
                <c:pt idx="1222" formatCode="#,##0">
                  <c:v>1531</c:v>
                </c:pt>
                <c:pt idx="1223" formatCode="#,##0">
                  <c:v>2577</c:v>
                </c:pt>
                <c:pt idx="1224" formatCode="#,##0">
                  <c:v>1855</c:v>
                </c:pt>
                <c:pt idx="1225" formatCode="#,##0">
                  <c:v>1300</c:v>
                </c:pt>
                <c:pt idx="1226" formatCode="#,##0">
                  <c:v>3104</c:v>
                </c:pt>
                <c:pt idx="1227" formatCode="#,##0">
                  <c:v>1625</c:v>
                </c:pt>
                <c:pt idx="1228" formatCode="#,##0">
                  <c:v>2395</c:v>
                </c:pt>
                <c:pt idx="1229" formatCode="#,##0">
                  <c:v>1755</c:v>
                </c:pt>
                <c:pt idx="1230" formatCode="#,##0">
                  <c:v>1390</c:v>
                </c:pt>
                <c:pt idx="1231" formatCode="#,##0">
                  <c:v>2621</c:v>
                </c:pt>
                <c:pt idx="1232" formatCode="#,##0">
                  <c:v>2069</c:v>
                </c:pt>
                <c:pt idx="1233" formatCode="#,##0">
                  <c:v>1756</c:v>
                </c:pt>
                <c:pt idx="1234" formatCode="#,##0">
                  <c:v>1487</c:v>
                </c:pt>
                <c:pt idx="1235" formatCode="#,##0">
                  <c:v>2063</c:v>
                </c:pt>
                <c:pt idx="1236" formatCode="#,##0">
                  <c:v>1933</c:v>
                </c:pt>
                <c:pt idx="1237" formatCode="#,##0">
                  <c:v>2590</c:v>
                </c:pt>
                <c:pt idx="1238" formatCode="#,##0">
                  <c:v>1334</c:v>
                </c:pt>
                <c:pt idx="1239" formatCode="#,##0">
                  <c:v>1536</c:v>
                </c:pt>
                <c:pt idx="1240" formatCode="#,##0">
                  <c:v>2120</c:v>
                </c:pt>
                <c:pt idx="1241" formatCode="#,##0">
                  <c:v>2402</c:v>
                </c:pt>
                <c:pt idx="1242" formatCode="#,##0">
                  <c:v>1772</c:v>
                </c:pt>
                <c:pt idx="1243" formatCode="#,##0">
                  <c:v>3000</c:v>
                </c:pt>
                <c:pt idx="1244" formatCode="#,##0">
                  <c:v>1864</c:v>
                </c:pt>
                <c:pt idx="1245" formatCode="#,##0">
                  <c:v>1231</c:v>
                </c:pt>
                <c:pt idx="1246" formatCode="#,##0">
                  <c:v>2616</c:v>
                </c:pt>
                <c:pt idx="1247" formatCode="#,##0">
                  <c:v>2089</c:v>
                </c:pt>
                <c:pt idx="1248" formatCode="#,##0">
                  <c:v>2000</c:v>
                </c:pt>
                <c:pt idx="1249" formatCode="#,##0">
                  <c:v>2203</c:v>
                </c:pt>
                <c:pt idx="1250" formatCode="#,##0">
                  <c:v>1832</c:v>
                </c:pt>
                <c:pt idx="1251" formatCode="#,##0">
                  <c:v>2300</c:v>
                </c:pt>
                <c:pt idx="1252" formatCode="#,##0">
                  <c:v>2355</c:v>
                </c:pt>
                <c:pt idx="1253" formatCode="#,##0">
                  <c:v>2026</c:v>
                </c:pt>
                <c:pt idx="1254" formatCode="#,##0">
                  <c:v>1332</c:v>
                </c:pt>
                <c:pt idx="1255" formatCode="#,##0">
                  <c:v>1656</c:v>
                </c:pt>
                <c:pt idx="1256" formatCode="#,##0">
                  <c:v>1674</c:v>
                </c:pt>
                <c:pt idx="1257" formatCode="#,##0">
                  <c:v>1768</c:v>
                </c:pt>
                <c:pt idx="1258" formatCode="#,##0">
                  <c:v>1660</c:v>
                </c:pt>
                <c:pt idx="1259" formatCode="#,##0">
                  <c:v>1750</c:v>
                </c:pt>
                <c:pt idx="1260" formatCode="#,##0">
                  <c:v>1851</c:v>
                </c:pt>
                <c:pt idx="1261" formatCode="#,##0">
                  <c:v>1024</c:v>
                </c:pt>
                <c:pt idx="1262" formatCode="#,##0">
                  <c:v>1747</c:v>
                </c:pt>
                <c:pt idx="1263" formatCode="#,##0">
                  <c:v>2100</c:v>
                </c:pt>
                <c:pt idx="1264" formatCode="#,##0">
                  <c:v>1146</c:v>
                </c:pt>
                <c:pt idx="1265" formatCode="#,##0">
                  <c:v>1638</c:v>
                </c:pt>
                <c:pt idx="1266" formatCode="#,##0">
                  <c:v>1481</c:v>
                </c:pt>
                <c:pt idx="1267" formatCode="#,##0">
                  <c:v>2124</c:v>
                </c:pt>
                <c:pt idx="1268" formatCode="#,##0">
                  <c:v>1958</c:v>
                </c:pt>
                <c:pt idx="1269" formatCode="#,##0">
                  <c:v>2028</c:v>
                </c:pt>
                <c:pt idx="1270" formatCode="#,##0">
                  <c:v>2136</c:v>
                </c:pt>
                <c:pt idx="1271" formatCode="#,##0">
                  <c:v>1362</c:v>
                </c:pt>
                <c:pt idx="1272" formatCode="#,##0">
                  <c:v>1500</c:v>
                </c:pt>
                <c:pt idx="1273" formatCode="#,##0">
                  <c:v>2160</c:v>
                </c:pt>
                <c:pt idx="1274" formatCode="#,##0">
                  <c:v>2440</c:v>
                </c:pt>
                <c:pt idx="1275" formatCode="#,##0">
                  <c:v>2595</c:v>
                </c:pt>
                <c:pt idx="1276" formatCode="#,##0">
                  <c:v>2450</c:v>
                </c:pt>
                <c:pt idx="1277">
                  <c:v>1391</c:v>
                </c:pt>
                <c:pt idx="1278" formatCode="#,##0">
                  <c:v>1319</c:v>
                </c:pt>
                <c:pt idx="1279" formatCode="#,##0">
                  <c:v>1530</c:v>
                </c:pt>
                <c:pt idx="1280" formatCode="#,##0">
                  <c:v>1942</c:v>
                </c:pt>
                <c:pt idx="1281" formatCode="#,##0">
                  <c:v>1331</c:v>
                </c:pt>
                <c:pt idx="1282" formatCode="#,##0">
                  <c:v>1856</c:v>
                </c:pt>
                <c:pt idx="1283" formatCode="#,##0">
                  <c:v>1456</c:v>
                </c:pt>
                <c:pt idx="1284" formatCode="#,##0">
                  <c:v>2365</c:v>
                </c:pt>
                <c:pt idx="1285" formatCode="#,##0">
                  <c:v>2536</c:v>
                </c:pt>
                <c:pt idx="1286" formatCode="#,##0">
                  <c:v>2334</c:v>
                </c:pt>
                <c:pt idx="1287" formatCode="#,##0">
                  <c:v>2700</c:v>
                </c:pt>
                <c:pt idx="1288" formatCode="#,##0">
                  <c:v>1560</c:v>
                </c:pt>
                <c:pt idx="1289" formatCode="#,##0">
                  <c:v>2039</c:v>
                </c:pt>
                <c:pt idx="1290" formatCode="#,##0">
                  <c:v>2729</c:v>
                </c:pt>
                <c:pt idx="1291" formatCode="#,##0">
                  <c:v>2014</c:v>
                </c:pt>
                <c:pt idx="1292">
                  <c:v>955</c:v>
                </c:pt>
                <c:pt idx="1293" formatCode="#,##0">
                  <c:v>2545</c:v>
                </c:pt>
                <c:pt idx="1294" formatCode="#,##0">
                  <c:v>2313</c:v>
                </c:pt>
                <c:pt idx="1295" formatCode="#,##0">
                  <c:v>1456</c:v>
                </c:pt>
                <c:pt idx="1296" formatCode="#,##0">
                  <c:v>1128</c:v>
                </c:pt>
                <c:pt idx="1297" formatCode="#,##0">
                  <c:v>1422</c:v>
                </c:pt>
                <c:pt idx="1298" formatCode="#,##0">
                  <c:v>1572</c:v>
                </c:pt>
                <c:pt idx="1299" formatCode="#,##0">
                  <c:v>1747</c:v>
                </c:pt>
                <c:pt idx="1300">
                  <c:v>950</c:v>
                </c:pt>
                <c:pt idx="1301" formatCode="#,##0">
                  <c:v>2209</c:v>
                </c:pt>
                <c:pt idx="1302" formatCode="#,##0">
                  <c:v>2526</c:v>
                </c:pt>
                <c:pt idx="1303" formatCode="#,##0">
                  <c:v>1829</c:v>
                </c:pt>
                <c:pt idx="1304" formatCode="#,##0">
                  <c:v>2312</c:v>
                </c:pt>
                <c:pt idx="1305" formatCode="#,##0">
                  <c:v>2350</c:v>
                </c:pt>
                <c:pt idx="1306" formatCode="#,##0">
                  <c:v>2105</c:v>
                </c:pt>
                <c:pt idx="1307" formatCode="#,##0">
                  <c:v>2322</c:v>
                </c:pt>
                <c:pt idx="1308" formatCode="#,##0">
                  <c:v>1276</c:v>
                </c:pt>
                <c:pt idx="1309" formatCode="#,##0">
                  <c:v>2681</c:v>
                </c:pt>
                <c:pt idx="1310" formatCode="#,##0">
                  <c:v>2832</c:v>
                </c:pt>
                <c:pt idx="1311" formatCode="#,##0">
                  <c:v>1603</c:v>
                </c:pt>
                <c:pt idx="1312" formatCode="#,##0">
                  <c:v>2682</c:v>
                </c:pt>
                <c:pt idx="1313" formatCode="#,##0">
                  <c:v>1300</c:v>
                </c:pt>
                <c:pt idx="1314" formatCode="#,##0">
                  <c:v>2052</c:v>
                </c:pt>
                <c:pt idx="1315" formatCode="#,##0">
                  <c:v>1030</c:v>
                </c:pt>
                <c:pt idx="1316" formatCode="#,##0">
                  <c:v>2204</c:v>
                </c:pt>
                <c:pt idx="1317" formatCode="#,##0">
                  <c:v>2110</c:v>
                </c:pt>
                <c:pt idx="1318" formatCode="#,##0">
                  <c:v>1192</c:v>
                </c:pt>
                <c:pt idx="1319" formatCode="#,##0">
                  <c:v>1065</c:v>
                </c:pt>
                <c:pt idx="1320" formatCode="#,##0">
                  <c:v>2157</c:v>
                </c:pt>
                <c:pt idx="1321" formatCode="#,##0">
                  <c:v>2174</c:v>
                </c:pt>
                <c:pt idx="1322" formatCode="#,##0">
                  <c:v>2320</c:v>
                </c:pt>
                <c:pt idx="1323" formatCode="#,##0">
                  <c:v>1813</c:v>
                </c:pt>
                <c:pt idx="1324" formatCode="#,##0">
                  <c:v>1450</c:v>
                </c:pt>
                <c:pt idx="1325" formatCode="#,##0">
                  <c:v>2315</c:v>
                </c:pt>
                <c:pt idx="1326" formatCode="#,##0">
                  <c:v>1195</c:v>
                </c:pt>
                <c:pt idx="1327" formatCode="#,##0">
                  <c:v>3221</c:v>
                </c:pt>
                <c:pt idx="1328" formatCode="#,##0">
                  <c:v>2468</c:v>
                </c:pt>
                <c:pt idx="1329" formatCode="#,##0">
                  <c:v>2799</c:v>
                </c:pt>
                <c:pt idx="1330" formatCode="#,##0">
                  <c:v>2386</c:v>
                </c:pt>
                <c:pt idx="1331" formatCode="#,##0">
                  <c:v>2600</c:v>
                </c:pt>
                <c:pt idx="1332" formatCode="#,##0">
                  <c:v>2427</c:v>
                </c:pt>
                <c:pt idx="1333" formatCode="#,##0">
                  <c:v>1838</c:v>
                </c:pt>
                <c:pt idx="1334" formatCode="#,##0">
                  <c:v>1489</c:v>
                </c:pt>
                <c:pt idx="1335" formatCode="#,##0">
                  <c:v>1984</c:v>
                </c:pt>
                <c:pt idx="1336" formatCode="#,##0">
                  <c:v>2077</c:v>
                </c:pt>
                <c:pt idx="1337" formatCode="#,##0">
                  <c:v>1711</c:v>
                </c:pt>
                <c:pt idx="1338" formatCode="#,##0">
                  <c:v>1582</c:v>
                </c:pt>
                <c:pt idx="1339" formatCode="#,##0">
                  <c:v>1613</c:v>
                </c:pt>
                <c:pt idx="1340" formatCode="#,##0">
                  <c:v>2350</c:v>
                </c:pt>
                <c:pt idx="1341" formatCode="#,##0">
                  <c:v>2210</c:v>
                </c:pt>
                <c:pt idx="1342" formatCode="#,##0">
                  <c:v>1871</c:v>
                </c:pt>
                <c:pt idx="1343" formatCode="#,##0">
                  <c:v>1144</c:v>
                </c:pt>
                <c:pt idx="1344" formatCode="#,##0">
                  <c:v>1944</c:v>
                </c:pt>
                <c:pt idx="1345" formatCode="#,##0">
                  <c:v>2004</c:v>
                </c:pt>
                <c:pt idx="1346" formatCode="#,##0">
                  <c:v>2072</c:v>
                </c:pt>
                <c:pt idx="1347" formatCode="#,##0">
                  <c:v>2518</c:v>
                </c:pt>
                <c:pt idx="1348" formatCode="#,##0">
                  <c:v>2249</c:v>
                </c:pt>
                <c:pt idx="1349" formatCode="#,##0">
                  <c:v>1515</c:v>
                </c:pt>
                <c:pt idx="1350" formatCode="#,##0">
                  <c:v>1824</c:v>
                </c:pt>
                <c:pt idx="1351" formatCode="#,##0">
                  <c:v>2400</c:v>
                </c:pt>
                <c:pt idx="1352" formatCode="#,##0">
                  <c:v>2340</c:v>
                </c:pt>
                <c:pt idx="1353" formatCode="#,##0">
                  <c:v>1964</c:v>
                </c:pt>
                <c:pt idx="1354" formatCode="#,##0">
                  <c:v>1449</c:v>
                </c:pt>
                <c:pt idx="1355" formatCode="#,##0">
                  <c:v>2276</c:v>
                </c:pt>
                <c:pt idx="1356" formatCode="#,##0">
                  <c:v>1247</c:v>
                </c:pt>
                <c:pt idx="1357" formatCode="#,##0">
                  <c:v>2256</c:v>
                </c:pt>
                <c:pt idx="1358" formatCode="#,##0">
                  <c:v>2722</c:v>
                </c:pt>
                <c:pt idx="1359" formatCode="#,##0">
                  <c:v>2201</c:v>
                </c:pt>
                <c:pt idx="1360" formatCode="#,##0">
                  <c:v>1470</c:v>
                </c:pt>
                <c:pt idx="1361" formatCode="#,##0">
                  <c:v>1735</c:v>
                </c:pt>
                <c:pt idx="1362" formatCode="#,##0">
                  <c:v>2012</c:v>
                </c:pt>
                <c:pt idx="1363" formatCode="#,##0">
                  <c:v>2385</c:v>
                </c:pt>
                <c:pt idx="1364" formatCode="#,##0">
                  <c:v>1558</c:v>
                </c:pt>
                <c:pt idx="1365" formatCode="#,##0">
                  <c:v>1600</c:v>
                </c:pt>
                <c:pt idx="1366" formatCode="#,##0">
                  <c:v>1317</c:v>
                </c:pt>
                <c:pt idx="1367" formatCode="#,##0">
                  <c:v>3213</c:v>
                </c:pt>
                <c:pt idx="1368" formatCode="#,##0">
                  <c:v>2064</c:v>
                </c:pt>
                <c:pt idx="1369" formatCode="#,##0">
                  <c:v>2203</c:v>
                </c:pt>
                <c:pt idx="1370" formatCode="#,##0">
                  <c:v>1897</c:v>
                </c:pt>
                <c:pt idx="1371" formatCode="#,##0">
                  <c:v>2450</c:v>
                </c:pt>
                <c:pt idx="1372" formatCode="#,##0">
                  <c:v>1000</c:v>
                </c:pt>
                <c:pt idx="1373" formatCode="#,##0">
                  <c:v>2091</c:v>
                </c:pt>
                <c:pt idx="1374" formatCode="#,##0">
                  <c:v>2317</c:v>
                </c:pt>
                <c:pt idx="1375" formatCode="#,##0">
                  <c:v>1735</c:v>
                </c:pt>
                <c:pt idx="1376" formatCode="#,##0">
                  <c:v>2870</c:v>
                </c:pt>
                <c:pt idx="1377" formatCode="#,##0">
                  <c:v>1586</c:v>
                </c:pt>
                <c:pt idx="1378" formatCode="#,##0">
                  <c:v>1636</c:v>
                </c:pt>
                <c:pt idx="1379" formatCode="#,##0">
                  <c:v>2104</c:v>
                </c:pt>
                <c:pt idx="1380" formatCode="#,##0">
                  <c:v>3151</c:v>
                </c:pt>
                <c:pt idx="1381" formatCode="#,##0">
                  <c:v>2798</c:v>
                </c:pt>
                <c:pt idx="1382" formatCode="#,##0">
                  <c:v>2070</c:v>
                </c:pt>
                <c:pt idx="1383" formatCode="#,##0">
                  <c:v>1333</c:v>
                </c:pt>
                <c:pt idx="1384" formatCode="#,##0">
                  <c:v>2160</c:v>
                </c:pt>
                <c:pt idx="1385" formatCode="#,##0">
                  <c:v>2276</c:v>
                </c:pt>
                <c:pt idx="1386" formatCode="#,##0">
                  <c:v>1620</c:v>
                </c:pt>
                <c:pt idx="1387" formatCode="#,##0">
                  <c:v>2557</c:v>
                </c:pt>
                <c:pt idx="1388" formatCode="#,##0">
                  <c:v>2604</c:v>
                </c:pt>
                <c:pt idx="1389" formatCode="#,##0">
                  <c:v>2108</c:v>
                </c:pt>
                <c:pt idx="1390" formatCode="#,##0">
                  <c:v>2500</c:v>
                </c:pt>
                <c:pt idx="1391" formatCode="#,##0">
                  <c:v>2616</c:v>
                </c:pt>
                <c:pt idx="1392" formatCode="#,##0">
                  <c:v>1547</c:v>
                </c:pt>
                <c:pt idx="1393" formatCode="#,##0">
                  <c:v>2592</c:v>
                </c:pt>
                <c:pt idx="1394" formatCode="#,##0">
                  <c:v>1424</c:v>
                </c:pt>
                <c:pt idx="1395" formatCode="#,##0">
                  <c:v>1953</c:v>
                </c:pt>
                <c:pt idx="1396" formatCode="#,##0">
                  <c:v>1586</c:v>
                </c:pt>
                <c:pt idx="1397" formatCode="#,##0">
                  <c:v>1587</c:v>
                </c:pt>
                <c:pt idx="1398" formatCode="#,##0">
                  <c:v>1908</c:v>
                </c:pt>
                <c:pt idx="1399" formatCode="#,##0">
                  <c:v>1500</c:v>
                </c:pt>
                <c:pt idx="1400" formatCode="#,##0">
                  <c:v>2475</c:v>
                </c:pt>
                <c:pt idx="1401" formatCode="#,##0">
                  <c:v>1488</c:v>
                </c:pt>
                <c:pt idx="1402" formatCode="#,##0">
                  <c:v>1303</c:v>
                </c:pt>
                <c:pt idx="1403" formatCode="#,##0">
                  <c:v>2491</c:v>
                </c:pt>
                <c:pt idx="1404" formatCode="#,##0">
                  <c:v>2219</c:v>
                </c:pt>
                <c:pt idx="1405" formatCode="#,##0">
                  <c:v>1709</c:v>
                </c:pt>
                <c:pt idx="1406" formatCode="#,##0">
                  <c:v>2417</c:v>
                </c:pt>
                <c:pt idx="1407" formatCode="#,##0">
                  <c:v>1769</c:v>
                </c:pt>
                <c:pt idx="1408" formatCode="#,##0">
                  <c:v>1504</c:v>
                </c:pt>
                <c:pt idx="1409" formatCode="#,##0">
                  <c:v>1200</c:v>
                </c:pt>
                <c:pt idx="1410" formatCode="#,##0">
                  <c:v>2332</c:v>
                </c:pt>
                <c:pt idx="1411" formatCode="#,##0">
                  <c:v>1584</c:v>
                </c:pt>
                <c:pt idx="1412" formatCode="#,##0">
                  <c:v>2980</c:v>
                </c:pt>
                <c:pt idx="1413" formatCode="#,##0">
                  <c:v>1644</c:v>
                </c:pt>
                <c:pt idx="1414" formatCode="#,##0">
                  <c:v>1188</c:v>
                </c:pt>
                <c:pt idx="1415" formatCode="#,##0">
                  <c:v>1756</c:v>
                </c:pt>
                <c:pt idx="1416" formatCode="#,##0">
                  <c:v>2232</c:v>
                </c:pt>
                <c:pt idx="1417" formatCode="#,##0">
                  <c:v>1746</c:v>
                </c:pt>
                <c:pt idx="1418" formatCode="#,##0">
                  <c:v>1343</c:v>
                </c:pt>
                <c:pt idx="1419" formatCode="#,##0">
                  <c:v>1862</c:v>
                </c:pt>
                <c:pt idx="1420" formatCode="#,##0">
                  <c:v>2189</c:v>
                </c:pt>
                <c:pt idx="1421" formatCode="#,##0">
                  <c:v>1738</c:v>
                </c:pt>
                <c:pt idx="1422" formatCode="#,##0">
                  <c:v>2219</c:v>
                </c:pt>
                <c:pt idx="1423" formatCode="#,##0">
                  <c:v>1684</c:v>
                </c:pt>
                <c:pt idx="1424" formatCode="#,##0">
                  <c:v>2813</c:v>
                </c:pt>
                <c:pt idx="1425" formatCode="#,##0">
                  <c:v>3586</c:v>
                </c:pt>
                <c:pt idx="1426" formatCode="#,##0">
                  <c:v>2645</c:v>
                </c:pt>
                <c:pt idx="1427" formatCode="#,##0">
                  <c:v>3470</c:v>
                </c:pt>
                <c:pt idx="1428" formatCode="#,##0">
                  <c:v>1796</c:v>
                </c:pt>
                <c:pt idx="1429" formatCode="#,##0">
                  <c:v>2225</c:v>
                </c:pt>
                <c:pt idx="1430" formatCode="#,##0">
                  <c:v>2764</c:v>
                </c:pt>
                <c:pt idx="1431" formatCode="#,##0">
                  <c:v>1807</c:v>
                </c:pt>
                <c:pt idx="1432" formatCode="#,##0">
                  <c:v>2186</c:v>
                </c:pt>
                <c:pt idx="1433" formatCode="#,##0">
                  <c:v>2161</c:v>
                </c:pt>
                <c:pt idx="1434" formatCode="#,##0">
                  <c:v>2321</c:v>
                </c:pt>
                <c:pt idx="1435" formatCode="#,##0">
                  <c:v>1600</c:v>
                </c:pt>
                <c:pt idx="1436" formatCode="#,##0">
                  <c:v>1700</c:v>
                </c:pt>
                <c:pt idx="1437" formatCode="#,##0">
                  <c:v>1656</c:v>
                </c:pt>
                <c:pt idx="1438" formatCode="#,##0">
                  <c:v>2657</c:v>
                </c:pt>
                <c:pt idx="1439" formatCode="#,##0">
                  <c:v>2050</c:v>
                </c:pt>
                <c:pt idx="1440" formatCode="#,##0">
                  <c:v>2156</c:v>
                </c:pt>
                <c:pt idx="1441" formatCode="#,##0">
                  <c:v>1918</c:v>
                </c:pt>
                <c:pt idx="1442" formatCode="#,##0">
                  <c:v>1964</c:v>
                </c:pt>
                <c:pt idx="1443" formatCode="#,##0">
                  <c:v>2508</c:v>
                </c:pt>
                <c:pt idx="1444" formatCode="#,##0">
                  <c:v>1969</c:v>
                </c:pt>
                <c:pt idx="1445" formatCode="#,##0">
                  <c:v>2500</c:v>
                </c:pt>
                <c:pt idx="1446" formatCode="#,##0">
                  <c:v>2513</c:v>
                </c:pt>
                <c:pt idx="1447" formatCode="#,##0">
                  <c:v>2589</c:v>
                </c:pt>
                <c:pt idx="1448" formatCode="#,##0">
                  <c:v>2094</c:v>
                </c:pt>
                <c:pt idx="1449" formatCode="#,##0">
                  <c:v>2469</c:v>
                </c:pt>
                <c:pt idx="1450" formatCode="#,##0">
                  <c:v>3222</c:v>
                </c:pt>
                <c:pt idx="1451" formatCode="#,##0">
                  <c:v>1711</c:v>
                </c:pt>
                <c:pt idx="1452" formatCode="#,##0">
                  <c:v>2385</c:v>
                </c:pt>
                <c:pt idx="1453" formatCode="#,##0">
                  <c:v>1882</c:v>
                </c:pt>
                <c:pt idx="1454" formatCode="#,##0">
                  <c:v>2131</c:v>
                </c:pt>
                <c:pt idx="1455" formatCode="#,##0">
                  <c:v>2704</c:v>
                </c:pt>
                <c:pt idx="1456" formatCode="#,##0">
                  <c:v>2650</c:v>
                </c:pt>
                <c:pt idx="1457" formatCode="#,##0">
                  <c:v>3256</c:v>
                </c:pt>
                <c:pt idx="1458" formatCode="#,##0">
                  <c:v>2396</c:v>
                </c:pt>
                <c:pt idx="1459" formatCode="#,##0">
                  <c:v>1695</c:v>
                </c:pt>
                <c:pt idx="1460" formatCode="#,##0">
                  <c:v>2501</c:v>
                </c:pt>
                <c:pt idx="1461" formatCode="#,##0">
                  <c:v>1500</c:v>
                </c:pt>
                <c:pt idx="1462" formatCode="#,##0">
                  <c:v>1912</c:v>
                </c:pt>
                <c:pt idx="1463" formatCode="#,##0">
                  <c:v>2003</c:v>
                </c:pt>
                <c:pt idx="1464" formatCode="#,##0">
                  <c:v>2094</c:v>
                </c:pt>
                <c:pt idx="1465" formatCode="#,##0">
                  <c:v>3178</c:v>
                </c:pt>
                <c:pt idx="1466" formatCode="#,##0">
                  <c:v>2375</c:v>
                </c:pt>
                <c:pt idx="1467" formatCode="#,##0">
                  <c:v>1089</c:v>
                </c:pt>
                <c:pt idx="1468" formatCode="#,##0">
                  <c:v>1284</c:v>
                </c:pt>
                <c:pt idx="1469" formatCode="#,##0">
                  <c:v>2795</c:v>
                </c:pt>
                <c:pt idx="1470" formatCode="#,##0">
                  <c:v>1277</c:v>
                </c:pt>
                <c:pt idx="1471" formatCode="#,##0">
                  <c:v>2462</c:v>
                </c:pt>
                <c:pt idx="1472" formatCode="#,##0">
                  <c:v>2540</c:v>
                </c:pt>
                <c:pt idx="1473" formatCode="#,##0">
                  <c:v>2769</c:v>
                </c:pt>
                <c:pt idx="1474" formatCode="#,##0">
                  <c:v>1780</c:v>
                </c:pt>
                <c:pt idx="1475" formatCode="#,##0">
                  <c:v>2769</c:v>
                </c:pt>
                <c:pt idx="1476" formatCode="#,##0">
                  <c:v>2950</c:v>
                </c:pt>
                <c:pt idx="1477" formatCode="#,##0">
                  <c:v>2049</c:v>
                </c:pt>
                <c:pt idx="1478" formatCode="#,##0">
                  <c:v>2319</c:v>
                </c:pt>
                <c:pt idx="1479" formatCode="#,##0">
                  <c:v>2750</c:v>
                </c:pt>
                <c:pt idx="1480" formatCode="#,##0">
                  <c:v>1996</c:v>
                </c:pt>
                <c:pt idx="1481" formatCode="#,##0">
                  <c:v>1934</c:v>
                </c:pt>
                <c:pt idx="1482" formatCode="#,##0">
                  <c:v>1793</c:v>
                </c:pt>
                <c:pt idx="1483" formatCode="#,##0">
                  <c:v>1658</c:v>
                </c:pt>
                <c:pt idx="1484" formatCode="#,##0">
                  <c:v>2544</c:v>
                </c:pt>
                <c:pt idx="1485" formatCode="#,##0">
                  <c:v>3382</c:v>
                </c:pt>
                <c:pt idx="1486" formatCode="#,##0">
                  <c:v>2563</c:v>
                </c:pt>
                <c:pt idx="1487" formatCode="#,##0">
                  <c:v>1720</c:v>
                </c:pt>
                <c:pt idx="1488" formatCode="#,##0">
                  <c:v>1922</c:v>
                </c:pt>
                <c:pt idx="1489" formatCode="#,##0">
                  <c:v>2366</c:v>
                </c:pt>
                <c:pt idx="1490" formatCode="#,##0">
                  <c:v>2170</c:v>
                </c:pt>
                <c:pt idx="1491" formatCode="#,##0">
                  <c:v>2261</c:v>
                </c:pt>
                <c:pt idx="1492" formatCode="#,##0">
                  <c:v>1891</c:v>
                </c:pt>
                <c:pt idx="1493" formatCode="#,##0">
                  <c:v>1848</c:v>
                </c:pt>
                <c:pt idx="1494" formatCode="#,##0">
                  <c:v>2024</c:v>
                </c:pt>
                <c:pt idx="1495" formatCode="#,##0">
                  <c:v>1954</c:v>
                </c:pt>
                <c:pt idx="1496" formatCode="#,##0">
                  <c:v>2852</c:v>
                </c:pt>
                <c:pt idx="1497" formatCode="#,##0">
                  <c:v>2675</c:v>
                </c:pt>
                <c:pt idx="1498" formatCode="#,##0">
                  <c:v>1824</c:v>
                </c:pt>
                <c:pt idx="1499" formatCode="#,##0">
                  <c:v>2429</c:v>
                </c:pt>
                <c:pt idx="1500" formatCode="#,##0">
                  <c:v>2008</c:v>
                </c:pt>
                <c:pt idx="1501" formatCode="#,##0">
                  <c:v>1365</c:v>
                </c:pt>
                <c:pt idx="1502" formatCode="#,##0">
                  <c:v>1790</c:v>
                </c:pt>
                <c:pt idx="1503" formatCode="#,##0">
                  <c:v>1663</c:v>
                </c:pt>
                <c:pt idx="1504" formatCode="#,##0">
                  <c:v>2066</c:v>
                </c:pt>
                <c:pt idx="1505" formatCode="#,##0">
                  <c:v>1736</c:v>
                </c:pt>
                <c:pt idx="1506" formatCode="#,##0">
                  <c:v>1709</c:v>
                </c:pt>
                <c:pt idx="1507" formatCode="#,##0">
                  <c:v>3300</c:v>
                </c:pt>
                <c:pt idx="1508" formatCode="#,##0">
                  <c:v>2633</c:v>
                </c:pt>
                <c:pt idx="1509" formatCode="#,##0">
                  <c:v>1830</c:v>
                </c:pt>
                <c:pt idx="1510" formatCode="#,##0">
                  <c:v>2516</c:v>
                </c:pt>
                <c:pt idx="1511" formatCode="#,##0">
                  <c:v>1473</c:v>
                </c:pt>
                <c:pt idx="1512" formatCode="#,##0">
                  <c:v>2816</c:v>
                </c:pt>
                <c:pt idx="1513" formatCode="#,##0">
                  <c:v>2263</c:v>
                </c:pt>
                <c:pt idx="1514" formatCode="#,##0">
                  <c:v>2835</c:v>
                </c:pt>
                <c:pt idx="1515" formatCode="#,##0">
                  <c:v>2492</c:v>
                </c:pt>
                <c:pt idx="1516" formatCode="#,##0">
                  <c:v>2120</c:v>
                </c:pt>
                <c:pt idx="1517" formatCode="#,##0">
                  <c:v>2113</c:v>
                </c:pt>
                <c:pt idx="1518" formatCode="#,##0">
                  <c:v>2764</c:v>
                </c:pt>
                <c:pt idx="1519" formatCode="#,##0">
                  <c:v>2005</c:v>
                </c:pt>
                <c:pt idx="1520" formatCode="#,##0">
                  <c:v>1272</c:v>
                </c:pt>
                <c:pt idx="1521" formatCode="#,##0">
                  <c:v>2710</c:v>
                </c:pt>
                <c:pt idx="1522" formatCode="#,##0">
                  <c:v>2066</c:v>
                </c:pt>
                <c:pt idx="1523" formatCode="#,##0">
                  <c:v>1275</c:v>
                </c:pt>
                <c:pt idx="1524" formatCode="#,##0">
                  <c:v>3449</c:v>
                </c:pt>
                <c:pt idx="1525" formatCode="#,##0">
                  <c:v>1834</c:v>
                </c:pt>
                <c:pt idx="1526" formatCode="#,##0">
                  <c:v>2326</c:v>
                </c:pt>
                <c:pt idx="1527" formatCode="#,##0">
                  <c:v>2376</c:v>
                </c:pt>
                <c:pt idx="1528" formatCode="#,##0">
                  <c:v>2830</c:v>
                </c:pt>
                <c:pt idx="1529" formatCode="#,##0">
                  <c:v>1826</c:v>
                </c:pt>
                <c:pt idx="1530" formatCode="#,##0">
                  <c:v>2350</c:v>
                </c:pt>
                <c:pt idx="1531" formatCode="#,##0">
                  <c:v>2261</c:v>
                </c:pt>
                <c:pt idx="1532" formatCode="#,##0">
                  <c:v>1360</c:v>
                </c:pt>
                <c:pt idx="1533" formatCode="#,##0">
                  <c:v>1420</c:v>
                </c:pt>
                <c:pt idx="1534" formatCode="#,##0">
                  <c:v>2906</c:v>
                </c:pt>
                <c:pt idx="1535" formatCode="#,##0">
                  <c:v>2000</c:v>
                </c:pt>
                <c:pt idx="1536" formatCode="#,##0">
                  <c:v>2742</c:v>
                </c:pt>
                <c:pt idx="1537" formatCode="#,##0">
                  <c:v>2114</c:v>
                </c:pt>
                <c:pt idx="1538" formatCode="#,##0">
                  <c:v>1939</c:v>
                </c:pt>
                <c:pt idx="1539" formatCode="#,##0">
                  <c:v>1786</c:v>
                </c:pt>
                <c:pt idx="1540" formatCode="#,##0">
                  <c:v>2106</c:v>
                </c:pt>
                <c:pt idx="1541" formatCode="#,##0">
                  <c:v>1783</c:v>
                </c:pt>
                <c:pt idx="1542">
                  <c:v>690</c:v>
                </c:pt>
                <c:pt idx="1543" formatCode="#,##0">
                  <c:v>1939</c:v>
                </c:pt>
                <c:pt idx="1544" formatCode="#,##0">
                  <c:v>1928</c:v>
                </c:pt>
                <c:pt idx="1545" formatCode="#,##0">
                  <c:v>2629</c:v>
                </c:pt>
                <c:pt idx="1546" formatCode="#,##0">
                  <c:v>2492</c:v>
                </c:pt>
                <c:pt idx="1547" formatCode="#,##0">
                  <c:v>1939</c:v>
                </c:pt>
                <c:pt idx="1548" formatCode="#,##0">
                  <c:v>2855</c:v>
                </c:pt>
                <c:pt idx="1549" formatCode="#,##0">
                  <c:v>1654</c:v>
                </c:pt>
                <c:pt idx="1550" formatCode="#,##0">
                  <c:v>1125</c:v>
                </c:pt>
                <c:pt idx="1551" formatCode="#,##0">
                  <c:v>2039</c:v>
                </c:pt>
                <c:pt idx="1552" formatCode="#,##0">
                  <c:v>2776</c:v>
                </c:pt>
                <c:pt idx="1553" formatCode="#,##0">
                  <c:v>2958</c:v>
                </c:pt>
                <c:pt idx="1554" formatCode="#,##0">
                  <c:v>2242</c:v>
                </c:pt>
                <c:pt idx="1555" formatCode="#,##0">
                  <c:v>2141</c:v>
                </c:pt>
                <c:pt idx="1556" formatCode="#,##0">
                  <c:v>2206</c:v>
                </c:pt>
                <c:pt idx="1557" formatCode="#,##0">
                  <c:v>2649</c:v>
                </c:pt>
                <c:pt idx="1558" formatCode="#,##0">
                  <c:v>2689</c:v>
                </c:pt>
                <c:pt idx="1559" formatCode="#,##0">
                  <c:v>4156</c:v>
                </c:pt>
                <c:pt idx="1560" formatCode="#,##0">
                  <c:v>2698</c:v>
                </c:pt>
                <c:pt idx="1561" formatCode="#,##0">
                  <c:v>2698</c:v>
                </c:pt>
                <c:pt idx="1562" formatCode="#,##0">
                  <c:v>2865</c:v>
                </c:pt>
                <c:pt idx="1563" formatCode="#,##0">
                  <c:v>2431</c:v>
                </c:pt>
                <c:pt idx="1564" formatCode="#,##0">
                  <c:v>2425</c:v>
                </c:pt>
                <c:pt idx="1565" formatCode="#,##0">
                  <c:v>2726</c:v>
                </c:pt>
                <c:pt idx="1566" formatCode="#,##0">
                  <c:v>3034</c:v>
                </c:pt>
                <c:pt idx="1567" formatCode="#,##0">
                  <c:v>3316</c:v>
                </c:pt>
                <c:pt idx="1568" formatCode="#,##0">
                  <c:v>1514</c:v>
                </c:pt>
                <c:pt idx="1569" formatCode="#,##0">
                  <c:v>2744</c:v>
                </c:pt>
                <c:pt idx="1570" formatCode="#,##0">
                  <c:v>2607</c:v>
                </c:pt>
                <c:pt idx="1571" formatCode="#,##0">
                  <c:v>2651</c:v>
                </c:pt>
                <c:pt idx="1572" formatCode="#,##0">
                  <c:v>2635</c:v>
                </c:pt>
                <c:pt idx="1573" formatCode="#,##0">
                  <c:v>2304</c:v>
                </c:pt>
                <c:pt idx="1574" formatCode="#,##0">
                  <c:v>2636</c:v>
                </c:pt>
                <c:pt idx="1575" formatCode="#,##0">
                  <c:v>2397</c:v>
                </c:pt>
                <c:pt idx="1576" formatCode="#,##0">
                  <c:v>2200</c:v>
                </c:pt>
                <c:pt idx="1577" formatCode="#,##0">
                  <c:v>2152</c:v>
                </c:pt>
                <c:pt idx="1578" formatCode="#,##0">
                  <c:v>2042</c:v>
                </c:pt>
                <c:pt idx="1579" formatCode="#,##0">
                  <c:v>2082</c:v>
                </c:pt>
                <c:pt idx="1580" formatCode="#,##0">
                  <c:v>2156</c:v>
                </c:pt>
                <c:pt idx="1581" formatCode="#,##0">
                  <c:v>2100</c:v>
                </c:pt>
                <c:pt idx="1582" formatCode="#,##0">
                  <c:v>3050</c:v>
                </c:pt>
                <c:pt idx="1583" formatCode="#,##0">
                  <c:v>1863</c:v>
                </c:pt>
                <c:pt idx="1584" formatCode="#,##0">
                  <c:v>1416</c:v>
                </c:pt>
                <c:pt idx="1585" formatCode="#,##0">
                  <c:v>1513</c:v>
                </c:pt>
                <c:pt idx="1586" formatCode="#,##0">
                  <c:v>2264</c:v>
                </c:pt>
                <c:pt idx="1587" formatCode="#,##0">
                  <c:v>2377</c:v>
                </c:pt>
                <c:pt idx="1588" formatCode="#,##0">
                  <c:v>2800</c:v>
                </c:pt>
                <c:pt idx="1589" formatCode="#,##0">
                  <c:v>1432</c:v>
                </c:pt>
                <c:pt idx="1590" formatCode="#,##0">
                  <c:v>1500</c:v>
                </c:pt>
                <c:pt idx="1591" formatCode="#,##0">
                  <c:v>3143</c:v>
                </c:pt>
                <c:pt idx="1592" formatCode="#,##0">
                  <c:v>2355</c:v>
                </c:pt>
                <c:pt idx="1593" formatCode="#,##0">
                  <c:v>2700</c:v>
                </c:pt>
                <c:pt idx="1594" formatCode="#,##0">
                  <c:v>2180</c:v>
                </c:pt>
                <c:pt idx="1595" formatCode="#,##0">
                  <c:v>2735</c:v>
                </c:pt>
                <c:pt idx="1596" formatCode="#,##0">
                  <c:v>2748</c:v>
                </c:pt>
                <c:pt idx="1597" formatCode="#,##0">
                  <c:v>3055</c:v>
                </c:pt>
                <c:pt idx="1598" formatCode="#,##0">
                  <c:v>2920</c:v>
                </c:pt>
                <c:pt idx="1599" formatCode="#,##0">
                  <c:v>2820</c:v>
                </c:pt>
                <c:pt idx="1600" formatCode="#,##0">
                  <c:v>1625</c:v>
                </c:pt>
                <c:pt idx="1601" formatCode="#,##0">
                  <c:v>2515</c:v>
                </c:pt>
                <c:pt idx="1602" formatCode="#,##0">
                  <c:v>2744</c:v>
                </c:pt>
                <c:pt idx="1603" formatCode="#,##0">
                  <c:v>2492</c:v>
                </c:pt>
                <c:pt idx="1604" formatCode="#,##0">
                  <c:v>2145</c:v>
                </c:pt>
                <c:pt idx="1605" formatCode="#,##0">
                  <c:v>3346</c:v>
                </c:pt>
                <c:pt idx="1606" formatCode="#,##0">
                  <c:v>2492</c:v>
                </c:pt>
                <c:pt idx="1607" formatCode="#,##0">
                  <c:v>2920</c:v>
                </c:pt>
                <c:pt idx="1608" formatCode="#,##0">
                  <c:v>2960</c:v>
                </c:pt>
                <c:pt idx="1609" formatCode="#,##0">
                  <c:v>3169</c:v>
                </c:pt>
                <c:pt idx="1610" formatCode="#,##0">
                  <c:v>1668</c:v>
                </c:pt>
                <c:pt idx="1611" formatCode="#,##0">
                  <c:v>2110</c:v>
                </c:pt>
                <c:pt idx="1612" formatCode="#,##0">
                  <c:v>2295</c:v>
                </c:pt>
                <c:pt idx="1613" formatCode="#,##0">
                  <c:v>2159</c:v>
                </c:pt>
                <c:pt idx="1614" formatCode="#,##0">
                  <c:v>3130</c:v>
                </c:pt>
                <c:pt idx="1615" formatCode="#,##0">
                  <c:v>2528</c:v>
                </c:pt>
                <c:pt idx="1616" formatCode="#,##0">
                  <c:v>2160</c:v>
                </c:pt>
                <c:pt idx="1617">
                  <c:v>861</c:v>
                </c:pt>
                <c:pt idx="1618" formatCode="#,##0">
                  <c:v>3276</c:v>
                </c:pt>
                <c:pt idx="1619" formatCode="#,##0">
                  <c:v>2299</c:v>
                </c:pt>
                <c:pt idx="1620" formatCode="#,##0">
                  <c:v>2126</c:v>
                </c:pt>
                <c:pt idx="1621" formatCode="#,##0">
                  <c:v>2377</c:v>
                </c:pt>
                <c:pt idx="1622" formatCode="#,##0">
                  <c:v>2942</c:v>
                </c:pt>
                <c:pt idx="1623" formatCode="#,##0">
                  <c:v>2196</c:v>
                </c:pt>
                <c:pt idx="1624" formatCode="#,##0">
                  <c:v>2300</c:v>
                </c:pt>
                <c:pt idx="1625" formatCode="#,##0">
                  <c:v>3169</c:v>
                </c:pt>
                <c:pt idx="1626" formatCode="#,##0">
                  <c:v>2821</c:v>
                </c:pt>
                <c:pt idx="1627" formatCode="#,##0">
                  <c:v>1955</c:v>
                </c:pt>
                <c:pt idx="1628" formatCode="#,##0">
                  <c:v>2758</c:v>
                </c:pt>
                <c:pt idx="1629" formatCode="#,##0">
                  <c:v>2928</c:v>
                </c:pt>
                <c:pt idx="1630" formatCode="#,##0">
                  <c:v>1416</c:v>
                </c:pt>
                <c:pt idx="1631" formatCode="#,##0">
                  <c:v>2389</c:v>
                </c:pt>
                <c:pt idx="1632" formatCode="#,##0">
                  <c:v>2250</c:v>
                </c:pt>
                <c:pt idx="1633" formatCode="#,##0">
                  <c:v>2526</c:v>
                </c:pt>
                <c:pt idx="1634" formatCode="#,##0">
                  <c:v>2619</c:v>
                </c:pt>
                <c:pt idx="1635" formatCode="#,##0">
                  <c:v>2606</c:v>
                </c:pt>
                <c:pt idx="1636" formatCode="#,##0">
                  <c:v>3192</c:v>
                </c:pt>
                <c:pt idx="1637" formatCode="#,##0">
                  <c:v>2200</c:v>
                </c:pt>
                <c:pt idx="1638" formatCode="#,##0">
                  <c:v>2838</c:v>
                </c:pt>
                <c:pt idx="1639" formatCode="#,##0">
                  <c:v>1300</c:v>
                </c:pt>
                <c:pt idx="1640" formatCode="#,##0">
                  <c:v>1529</c:v>
                </c:pt>
                <c:pt idx="1641" formatCode="#,##0">
                  <c:v>2801</c:v>
                </c:pt>
                <c:pt idx="1642" formatCode="#,##0">
                  <c:v>1518</c:v>
                </c:pt>
                <c:pt idx="1643" formatCode="#,##0">
                  <c:v>2922</c:v>
                </c:pt>
                <c:pt idx="1644" formatCode="#,##0">
                  <c:v>3622</c:v>
                </c:pt>
                <c:pt idx="1645" formatCode="#,##0">
                  <c:v>2128</c:v>
                </c:pt>
                <c:pt idx="1646" formatCode="#,##0">
                  <c:v>2860</c:v>
                </c:pt>
                <c:pt idx="1647" formatCode="#,##0">
                  <c:v>2360</c:v>
                </c:pt>
                <c:pt idx="1648" formatCode="#,##0">
                  <c:v>2244</c:v>
                </c:pt>
                <c:pt idx="1649" formatCode="#,##0">
                  <c:v>2302</c:v>
                </c:pt>
                <c:pt idx="1650" formatCode="#,##0">
                  <c:v>2018</c:v>
                </c:pt>
                <c:pt idx="1651" formatCode="#,##0">
                  <c:v>2802</c:v>
                </c:pt>
                <c:pt idx="1652" formatCode="#,##0">
                  <c:v>2309</c:v>
                </c:pt>
                <c:pt idx="1653" formatCode="#,##0">
                  <c:v>1950</c:v>
                </c:pt>
                <c:pt idx="1654" formatCode="#,##0">
                  <c:v>2445</c:v>
                </c:pt>
                <c:pt idx="1655" formatCode="#,##0">
                  <c:v>2308</c:v>
                </c:pt>
                <c:pt idx="1656" formatCode="#,##0">
                  <c:v>3848</c:v>
                </c:pt>
                <c:pt idx="1657" formatCode="#,##0">
                  <c:v>2239</c:v>
                </c:pt>
                <c:pt idx="1658" formatCode="#,##0">
                  <c:v>2132</c:v>
                </c:pt>
                <c:pt idx="1659" formatCode="#,##0">
                  <c:v>2251</c:v>
                </c:pt>
                <c:pt idx="1660" formatCode="#,##0">
                  <c:v>1925</c:v>
                </c:pt>
                <c:pt idx="1661" formatCode="#,##0">
                  <c:v>2916</c:v>
                </c:pt>
                <c:pt idx="1662" formatCode="#,##0">
                  <c:v>2114</c:v>
                </c:pt>
                <c:pt idx="1663" formatCode="#,##0">
                  <c:v>2313</c:v>
                </c:pt>
                <c:pt idx="1664" formatCode="#,##0">
                  <c:v>2665</c:v>
                </c:pt>
                <c:pt idx="1665" formatCode="#,##0">
                  <c:v>2531</c:v>
                </c:pt>
                <c:pt idx="1666" formatCode="#,##0">
                  <c:v>2500</c:v>
                </c:pt>
                <c:pt idx="1667" formatCode="#,##0">
                  <c:v>2903</c:v>
                </c:pt>
                <c:pt idx="1668" formatCode="#,##0">
                  <c:v>1480</c:v>
                </c:pt>
                <c:pt idx="1669">
                  <c:v>2722</c:v>
                </c:pt>
                <c:pt idx="1670" formatCode="#,##0">
                  <c:v>2360</c:v>
                </c:pt>
                <c:pt idx="1671" formatCode="#,##0">
                  <c:v>1352</c:v>
                </c:pt>
                <c:pt idx="1672" formatCode="#,##0">
                  <c:v>2738</c:v>
                </c:pt>
                <c:pt idx="1673" formatCode="#,##0">
                  <c:v>2150</c:v>
                </c:pt>
                <c:pt idx="1674" formatCode="#,##0">
                  <c:v>3250</c:v>
                </c:pt>
                <c:pt idx="1675" formatCode="#,##0">
                  <c:v>2546</c:v>
                </c:pt>
                <c:pt idx="1676" formatCode="#,##0">
                  <c:v>2742</c:v>
                </c:pt>
                <c:pt idx="1677" formatCode="#,##0">
                  <c:v>2790</c:v>
                </c:pt>
                <c:pt idx="1678" formatCode="#,##0">
                  <c:v>2590</c:v>
                </c:pt>
                <c:pt idx="1679" formatCode="#,##0">
                  <c:v>3382</c:v>
                </c:pt>
                <c:pt idx="1680" formatCode="#,##0">
                  <c:v>2807</c:v>
                </c:pt>
                <c:pt idx="1681" formatCode="#,##0">
                  <c:v>3299</c:v>
                </c:pt>
                <c:pt idx="1682" formatCode="#,##0">
                  <c:v>2172</c:v>
                </c:pt>
                <c:pt idx="1683" formatCode="#,##0">
                  <c:v>2777</c:v>
                </c:pt>
                <c:pt idx="1684" formatCode="#,##0">
                  <c:v>2576</c:v>
                </c:pt>
                <c:pt idx="1685" formatCode="#,##0">
                  <c:v>3355</c:v>
                </c:pt>
                <c:pt idx="1686" formatCode="#,##0">
                  <c:v>3015</c:v>
                </c:pt>
                <c:pt idx="1687" formatCode="#,##0">
                  <c:v>3434</c:v>
                </c:pt>
                <c:pt idx="1688" formatCode="#,##0">
                  <c:v>2300</c:v>
                </c:pt>
                <c:pt idx="1689" formatCode="#,##0">
                  <c:v>2500</c:v>
                </c:pt>
                <c:pt idx="1690" formatCode="#,##0">
                  <c:v>1523</c:v>
                </c:pt>
                <c:pt idx="1691" formatCode="#,##0">
                  <c:v>2620</c:v>
                </c:pt>
                <c:pt idx="1692" formatCode="#,##0">
                  <c:v>2609</c:v>
                </c:pt>
                <c:pt idx="1693" formatCode="#,##0">
                  <c:v>2230</c:v>
                </c:pt>
                <c:pt idx="1694" formatCode="#,##0">
                  <c:v>2000</c:v>
                </c:pt>
                <c:pt idx="1695" formatCode="#,##0">
                  <c:v>2819</c:v>
                </c:pt>
                <c:pt idx="1696" formatCode="#,##0">
                  <c:v>1891</c:v>
                </c:pt>
                <c:pt idx="1697" formatCode="#,##0">
                  <c:v>2941</c:v>
                </c:pt>
                <c:pt idx="1698" formatCode="#,##0">
                  <c:v>1988</c:v>
                </c:pt>
                <c:pt idx="1699" formatCode="#,##0">
                  <c:v>2596</c:v>
                </c:pt>
                <c:pt idx="1700" formatCode="#,##0">
                  <c:v>2200</c:v>
                </c:pt>
                <c:pt idx="1701" formatCode="#,##0">
                  <c:v>2573</c:v>
                </c:pt>
                <c:pt idx="1702" formatCode="#,##0">
                  <c:v>2262</c:v>
                </c:pt>
                <c:pt idx="1703" formatCode="#,##0">
                  <c:v>2722</c:v>
                </c:pt>
                <c:pt idx="1704" formatCode="#,##0">
                  <c:v>3100</c:v>
                </c:pt>
                <c:pt idx="1705" formatCode="#,##0">
                  <c:v>2692</c:v>
                </c:pt>
                <c:pt idx="1706" formatCode="#,##0">
                  <c:v>2896</c:v>
                </c:pt>
                <c:pt idx="1707" formatCode="#,##0">
                  <c:v>3235</c:v>
                </c:pt>
                <c:pt idx="1708" formatCode="#,##0">
                  <c:v>1928</c:v>
                </c:pt>
                <c:pt idx="1709" formatCode="#,##0">
                  <c:v>2838</c:v>
                </c:pt>
                <c:pt idx="1710" formatCode="#,##0">
                  <c:v>2144</c:v>
                </c:pt>
                <c:pt idx="1711" formatCode="#,##0">
                  <c:v>2757</c:v>
                </c:pt>
                <c:pt idx="1712" formatCode="#,##0">
                  <c:v>2196</c:v>
                </c:pt>
                <c:pt idx="1713" formatCode="#,##0">
                  <c:v>2000</c:v>
                </c:pt>
                <c:pt idx="1714" formatCode="#,##0">
                  <c:v>2700</c:v>
                </c:pt>
                <c:pt idx="1715" formatCode="#,##0">
                  <c:v>2700</c:v>
                </c:pt>
                <c:pt idx="1716" formatCode="#,##0">
                  <c:v>3512</c:v>
                </c:pt>
                <c:pt idx="1717" formatCode="#,##0">
                  <c:v>3485</c:v>
                </c:pt>
                <c:pt idx="1718" formatCode="#,##0">
                  <c:v>2605</c:v>
                </c:pt>
                <c:pt idx="1719" formatCode="#,##0">
                  <c:v>3110</c:v>
                </c:pt>
                <c:pt idx="1720" formatCode="#,##0">
                  <c:v>2938</c:v>
                </c:pt>
                <c:pt idx="1721" formatCode="#,##0">
                  <c:v>2824</c:v>
                </c:pt>
                <c:pt idx="1722" formatCode="#,##0">
                  <c:v>3570</c:v>
                </c:pt>
                <c:pt idx="1723" formatCode="#,##0">
                  <c:v>2745</c:v>
                </c:pt>
                <c:pt idx="1724" formatCode="#,##0">
                  <c:v>2585</c:v>
                </c:pt>
                <c:pt idx="1725" formatCode="#,##0">
                  <c:v>1156</c:v>
                </c:pt>
                <c:pt idx="1726" formatCode="#,##0">
                  <c:v>3422</c:v>
                </c:pt>
                <c:pt idx="1727" formatCode="#,##0">
                  <c:v>2903</c:v>
                </c:pt>
                <c:pt idx="1728" formatCode="#,##0">
                  <c:v>3477</c:v>
                </c:pt>
                <c:pt idx="1729" formatCode="#,##0">
                  <c:v>3560</c:v>
                </c:pt>
                <c:pt idx="1730" formatCode="#,##0">
                  <c:v>1906</c:v>
                </c:pt>
                <c:pt idx="1731" formatCode="#,##0">
                  <c:v>2977</c:v>
                </c:pt>
                <c:pt idx="1732" formatCode="#,##0">
                  <c:v>2000</c:v>
                </c:pt>
                <c:pt idx="1733" formatCode="#,##0">
                  <c:v>2023</c:v>
                </c:pt>
                <c:pt idx="1734" formatCode="#,##0">
                  <c:v>2284</c:v>
                </c:pt>
                <c:pt idx="1735" formatCode="#,##0">
                  <c:v>2936</c:v>
                </c:pt>
                <c:pt idx="1736" formatCode="#,##0">
                  <c:v>2214</c:v>
                </c:pt>
                <c:pt idx="1737" formatCode="#,##0">
                  <c:v>1757</c:v>
                </c:pt>
                <c:pt idx="1738" formatCode="#,##0">
                  <c:v>3086</c:v>
                </c:pt>
                <c:pt idx="1739" formatCode="#,##0">
                  <c:v>2246</c:v>
                </c:pt>
                <c:pt idx="1740" formatCode="#,##0">
                  <c:v>2777</c:v>
                </c:pt>
                <c:pt idx="1741" formatCode="#,##0">
                  <c:v>2457</c:v>
                </c:pt>
                <c:pt idx="1742" formatCode="#,##0">
                  <c:v>2900</c:v>
                </c:pt>
                <c:pt idx="1743" formatCode="#,##0">
                  <c:v>2628</c:v>
                </c:pt>
                <c:pt idx="1744" formatCode="#,##0">
                  <c:v>2861</c:v>
                </c:pt>
                <c:pt idx="1745" formatCode="#,##0">
                  <c:v>3000</c:v>
                </c:pt>
                <c:pt idx="1746" formatCode="#,##0">
                  <c:v>2262</c:v>
                </c:pt>
                <c:pt idx="1747" formatCode="#,##0">
                  <c:v>2705</c:v>
                </c:pt>
                <c:pt idx="1748" formatCode="#,##0">
                  <c:v>2892</c:v>
                </c:pt>
                <c:pt idx="1749" formatCode="#,##0">
                  <c:v>2308</c:v>
                </c:pt>
                <c:pt idx="1750" formatCode="#,##0">
                  <c:v>3147</c:v>
                </c:pt>
                <c:pt idx="1751" formatCode="#,##0">
                  <c:v>2279</c:v>
                </c:pt>
                <c:pt idx="1752" formatCode="#,##0">
                  <c:v>1076</c:v>
                </c:pt>
                <c:pt idx="1753" formatCode="#,##0">
                  <c:v>2579</c:v>
                </c:pt>
                <c:pt idx="1754" formatCode="#,##0">
                  <c:v>3110</c:v>
                </c:pt>
                <c:pt idx="1755" formatCode="#,##0">
                  <c:v>2365</c:v>
                </c:pt>
                <c:pt idx="1756" formatCode="#,##0">
                  <c:v>1610</c:v>
                </c:pt>
                <c:pt idx="1757" formatCode="#,##0">
                  <c:v>2706</c:v>
                </c:pt>
                <c:pt idx="1758" formatCode="#,##0">
                  <c:v>2677</c:v>
                </c:pt>
                <c:pt idx="1759" formatCode="#,##0">
                  <c:v>2585</c:v>
                </c:pt>
                <c:pt idx="1760" formatCode="#,##0">
                  <c:v>2249</c:v>
                </c:pt>
                <c:pt idx="1761" formatCode="#,##0">
                  <c:v>3827</c:v>
                </c:pt>
                <c:pt idx="1762" formatCode="#,##0">
                  <c:v>1940</c:v>
                </c:pt>
                <c:pt idx="1763" formatCode="#,##0">
                  <c:v>3477</c:v>
                </c:pt>
                <c:pt idx="1764" formatCode="#,##0">
                  <c:v>2380</c:v>
                </c:pt>
                <c:pt idx="1765" formatCode="#,##0">
                  <c:v>3257</c:v>
                </c:pt>
                <c:pt idx="1766" formatCode="#,##0">
                  <c:v>2844</c:v>
                </c:pt>
                <c:pt idx="1767" formatCode="#,##0">
                  <c:v>2076</c:v>
                </c:pt>
                <c:pt idx="1768" formatCode="#,##0">
                  <c:v>2494</c:v>
                </c:pt>
                <c:pt idx="1769" formatCode="#,##0">
                  <c:v>2592</c:v>
                </c:pt>
                <c:pt idx="1770" formatCode="#,##0">
                  <c:v>2605</c:v>
                </c:pt>
                <c:pt idx="1771" formatCode="#,##0">
                  <c:v>2426</c:v>
                </c:pt>
                <c:pt idx="1772" formatCode="#,##0">
                  <c:v>2784</c:v>
                </c:pt>
                <c:pt idx="1773" formatCode="#,##0">
                  <c:v>3025</c:v>
                </c:pt>
                <c:pt idx="1774" formatCode="#,##0">
                  <c:v>3180</c:v>
                </c:pt>
                <c:pt idx="1775" formatCode="#,##0">
                  <c:v>2663</c:v>
                </c:pt>
                <c:pt idx="1776" formatCode="#,##0">
                  <c:v>7264</c:v>
                </c:pt>
                <c:pt idx="1777" formatCode="#,##0">
                  <c:v>3391</c:v>
                </c:pt>
                <c:pt idx="1778" formatCode="#,##0">
                  <c:v>2184</c:v>
                </c:pt>
                <c:pt idx="1779" formatCode="#,##0">
                  <c:v>3132</c:v>
                </c:pt>
                <c:pt idx="1780" formatCode="#,##0">
                  <c:v>2958</c:v>
                </c:pt>
                <c:pt idx="1781" formatCode="#,##0">
                  <c:v>1835</c:v>
                </c:pt>
                <c:pt idx="1782" formatCode="#,##0">
                  <c:v>3600</c:v>
                </c:pt>
                <c:pt idx="1783" formatCode="#,##0">
                  <c:v>2584</c:v>
                </c:pt>
                <c:pt idx="1784" formatCode="#,##0">
                  <c:v>2445</c:v>
                </c:pt>
                <c:pt idx="1785" formatCode="#,##0">
                  <c:v>2052</c:v>
                </c:pt>
                <c:pt idx="1786" formatCode="#,##0">
                  <c:v>2391</c:v>
                </c:pt>
                <c:pt idx="1787" formatCode="#,##0">
                  <c:v>3300</c:v>
                </c:pt>
                <c:pt idx="1788" formatCode="#,##0">
                  <c:v>1505</c:v>
                </c:pt>
                <c:pt idx="1789" formatCode="#,##0">
                  <c:v>2400</c:v>
                </c:pt>
                <c:pt idx="1790" formatCode="#,##0">
                  <c:v>2700</c:v>
                </c:pt>
                <c:pt idx="1791" formatCode="#,##0">
                  <c:v>2168</c:v>
                </c:pt>
                <c:pt idx="1792" formatCode="#,##0">
                  <c:v>2274</c:v>
                </c:pt>
                <c:pt idx="1793" formatCode="#,##0">
                  <c:v>2690</c:v>
                </c:pt>
                <c:pt idx="1794" formatCode="#,##0">
                  <c:v>3107</c:v>
                </c:pt>
                <c:pt idx="1795" formatCode="#,##0">
                  <c:v>2116</c:v>
                </c:pt>
                <c:pt idx="1796" formatCode="#,##0">
                  <c:v>3641</c:v>
                </c:pt>
                <c:pt idx="1797" formatCode="#,##0">
                  <c:v>3000</c:v>
                </c:pt>
                <c:pt idx="1798" formatCode="#,##0">
                  <c:v>2741</c:v>
                </c:pt>
                <c:pt idx="1799" formatCode="#,##0">
                  <c:v>2491</c:v>
                </c:pt>
                <c:pt idx="1800" formatCode="#,##0">
                  <c:v>3308</c:v>
                </c:pt>
                <c:pt idx="1801" formatCode="#,##0">
                  <c:v>2500</c:v>
                </c:pt>
                <c:pt idx="1802" formatCode="#,##0">
                  <c:v>3482</c:v>
                </c:pt>
                <c:pt idx="1803" formatCode="#,##0">
                  <c:v>2959</c:v>
                </c:pt>
                <c:pt idx="1804" formatCode="#,##0">
                  <c:v>3709</c:v>
                </c:pt>
                <c:pt idx="1805" formatCode="#,##0">
                  <c:v>3027</c:v>
                </c:pt>
                <c:pt idx="1806" formatCode="#,##0">
                  <c:v>1952</c:v>
                </c:pt>
                <c:pt idx="1807" formatCode="#,##0">
                  <c:v>3175</c:v>
                </c:pt>
                <c:pt idx="1808" formatCode="#,##0">
                  <c:v>2614</c:v>
                </c:pt>
                <c:pt idx="1809" formatCode="#,##0">
                  <c:v>2410</c:v>
                </c:pt>
                <c:pt idx="1810" formatCode="#,##0">
                  <c:v>2456</c:v>
                </c:pt>
                <c:pt idx="1811" formatCode="#,##0">
                  <c:v>2989</c:v>
                </c:pt>
                <c:pt idx="1812" formatCode="#,##0">
                  <c:v>3109</c:v>
                </c:pt>
                <c:pt idx="1813" formatCode="#,##0">
                  <c:v>2328</c:v>
                </c:pt>
                <c:pt idx="1814" formatCode="#,##0">
                  <c:v>2022</c:v>
                </c:pt>
                <c:pt idx="1815" formatCode="#,##0">
                  <c:v>4141</c:v>
                </c:pt>
                <c:pt idx="1816" formatCode="#,##0">
                  <c:v>2521</c:v>
                </c:pt>
                <c:pt idx="1817" formatCode="#,##0">
                  <c:v>3100</c:v>
                </c:pt>
                <c:pt idx="1818" formatCode="#,##0">
                  <c:v>3378</c:v>
                </c:pt>
                <c:pt idx="1819" formatCode="#,##0">
                  <c:v>2657</c:v>
                </c:pt>
                <c:pt idx="1820" formatCode="#,##0">
                  <c:v>3003</c:v>
                </c:pt>
                <c:pt idx="1821" formatCode="#,##0">
                  <c:v>2500</c:v>
                </c:pt>
                <c:pt idx="1822" formatCode="#,##0">
                  <c:v>1906</c:v>
                </c:pt>
                <c:pt idx="1823" formatCode="#,##0">
                  <c:v>2653</c:v>
                </c:pt>
                <c:pt idx="1824" formatCode="#,##0">
                  <c:v>3014</c:v>
                </c:pt>
                <c:pt idx="1825" formatCode="#,##0">
                  <c:v>2212</c:v>
                </c:pt>
                <c:pt idx="1826" formatCode="#,##0">
                  <c:v>2446</c:v>
                </c:pt>
                <c:pt idx="1827" formatCode="#,##0">
                  <c:v>3384</c:v>
                </c:pt>
                <c:pt idx="1828" formatCode="#,##0">
                  <c:v>2918</c:v>
                </c:pt>
                <c:pt idx="1829" formatCode="#,##0">
                  <c:v>1466</c:v>
                </c:pt>
                <c:pt idx="1830" formatCode="#,##0">
                  <c:v>3355</c:v>
                </c:pt>
                <c:pt idx="1831" formatCode="#,##0">
                  <c:v>2540</c:v>
                </c:pt>
                <c:pt idx="1832" formatCode="#,##0">
                  <c:v>2988</c:v>
                </c:pt>
                <c:pt idx="1833" formatCode="#,##0">
                  <c:v>3505</c:v>
                </c:pt>
                <c:pt idx="1834" formatCode="#,##0">
                  <c:v>2653</c:v>
                </c:pt>
                <c:pt idx="1835" formatCode="#,##0">
                  <c:v>2309</c:v>
                </c:pt>
                <c:pt idx="1836" formatCode="#,##0">
                  <c:v>2917</c:v>
                </c:pt>
                <c:pt idx="1837" formatCode="#,##0">
                  <c:v>2760</c:v>
                </c:pt>
                <c:pt idx="1838" formatCode="#,##0">
                  <c:v>2917</c:v>
                </c:pt>
                <c:pt idx="1839" formatCode="#,##0">
                  <c:v>3000</c:v>
                </c:pt>
                <c:pt idx="1840" formatCode="#,##0">
                  <c:v>2725</c:v>
                </c:pt>
                <c:pt idx="1841" formatCode="#,##0">
                  <c:v>2910</c:v>
                </c:pt>
                <c:pt idx="1842" formatCode="#,##0">
                  <c:v>2390</c:v>
                </c:pt>
                <c:pt idx="1843" formatCode="#,##0">
                  <c:v>2757</c:v>
                </c:pt>
                <c:pt idx="1844" formatCode="#,##0">
                  <c:v>2411</c:v>
                </c:pt>
                <c:pt idx="1845" formatCode="#,##0">
                  <c:v>3175</c:v>
                </c:pt>
                <c:pt idx="1846" formatCode="#,##0">
                  <c:v>2863</c:v>
                </c:pt>
                <c:pt idx="1847" formatCode="#,##0">
                  <c:v>2311</c:v>
                </c:pt>
                <c:pt idx="1848" formatCode="#,##0">
                  <c:v>2350</c:v>
                </c:pt>
                <c:pt idx="1849" formatCode="#,##0">
                  <c:v>3233</c:v>
                </c:pt>
                <c:pt idx="1850" formatCode="#,##0">
                  <c:v>2980</c:v>
                </c:pt>
                <c:pt idx="1851" formatCode="#,##0">
                  <c:v>3257</c:v>
                </c:pt>
                <c:pt idx="1852" formatCode="#,##0">
                  <c:v>3479</c:v>
                </c:pt>
                <c:pt idx="1853" formatCode="#,##0">
                  <c:v>2497</c:v>
                </c:pt>
                <c:pt idx="1854" formatCode="#,##0">
                  <c:v>2677</c:v>
                </c:pt>
                <c:pt idx="1855" formatCode="#,##0">
                  <c:v>2726</c:v>
                </c:pt>
                <c:pt idx="1856" formatCode="#,##0">
                  <c:v>2866</c:v>
                </c:pt>
                <c:pt idx="1857" formatCode="#,##0">
                  <c:v>3175</c:v>
                </c:pt>
                <c:pt idx="1858" formatCode="#,##0">
                  <c:v>3234</c:v>
                </c:pt>
                <c:pt idx="1859" formatCode="#,##0">
                  <c:v>3648</c:v>
                </c:pt>
                <c:pt idx="1860" formatCode="#,##0">
                  <c:v>3710</c:v>
                </c:pt>
                <c:pt idx="1861" formatCode="#,##0">
                  <c:v>2986</c:v>
                </c:pt>
                <c:pt idx="1862" formatCode="#,##0">
                  <c:v>3850</c:v>
                </c:pt>
                <c:pt idx="1863" formatCode="#,##0">
                  <c:v>2100</c:v>
                </c:pt>
                <c:pt idx="1864" formatCode="#,##0">
                  <c:v>2673</c:v>
                </c:pt>
                <c:pt idx="1865" formatCode="#,##0">
                  <c:v>3362</c:v>
                </c:pt>
                <c:pt idx="1866" formatCode="#,##0">
                  <c:v>2284</c:v>
                </c:pt>
                <c:pt idx="1867" formatCode="#,##0">
                  <c:v>3644</c:v>
                </c:pt>
                <c:pt idx="1868" formatCode="#,##0">
                  <c:v>3572</c:v>
                </c:pt>
                <c:pt idx="1869" formatCode="#,##0">
                  <c:v>3100</c:v>
                </c:pt>
                <c:pt idx="1870" formatCode="#,##0">
                  <c:v>3364</c:v>
                </c:pt>
                <c:pt idx="1871" formatCode="#,##0">
                  <c:v>2500</c:v>
                </c:pt>
                <c:pt idx="1872" formatCode="#,##0">
                  <c:v>3641</c:v>
                </c:pt>
                <c:pt idx="1873" formatCode="#,##0">
                  <c:v>3350</c:v>
                </c:pt>
                <c:pt idx="1874" formatCode="#,##0">
                  <c:v>2393</c:v>
                </c:pt>
                <c:pt idx="1875" formatCode="#,##0">
                  <c:v>2045</c:v>
                </c:pt>
                <c:pt idx="1876" formatCode="#,##0">
                  <c:v>2994</c:v>
                </c:pt>
                <c:pt idx="1877" formatCode="#,##0">
                  <c:v>3741</c:v>
                </c:pt>
                <c:pt idx="1878" formatCode="#,##0">
                  <c:v>2756</c:v>
                </c:pt>
                <c:pt idx="1879" formatCode="#,##0">
                  <c:v>3739</c:v>
                </c:pt>
                <c:pt idx="1880" formatCode="#,##0">
                  <c:v>3278</c:v>
                </c:pt>
                <c:pt idx="1881" formatCode="#,##0">
                  <c:v>3283</c:v>
                </c:pt>
                <c:pt idx="1882" formatCode="#,##0">
                  <c:v>2224</c:v>
                </c:pt>
                <c:pt idx="1883" formatCode="#,##0">
                  <c:v>2618</c:v>
                </c:pt>
                <c:pt idx="1884" formatCode="#,##0">
                  <c:v>2507</c:v>
                </c:pt>
                <c:pt idx="1885" formatCode="#,##0">
                  <c:v>3262</c:v>
                </c:pt>
                <c:pt idx="1886" formatCode="#,##0">
                  <c:v>2166</c:v>
                </c:pt>
                <c:pt idx="1887" formatCode="#,##0">
                  <c:v>2839</c:v>
                </c:pt>
                <c:pt idx="1888" formatCode="#,##0">
                  <c:v>2878</c:v>
                </c:pt>
                <c:pt idx="1889" formatCode="#,##0">
                  <c:v>2245</c:v>
                </c:pt>
                <c:pt idx="1890" formatCode="#,##0">
                  <c:v>3384</c:v>
                </c:pt>
                <c:pt idx="1891" formatCode="#,##0">
                  <c:v>2219</c:v>
                </c:pt>
                <c:pt idx="1892" formatCode="#,##0">
                  <c:v>2909</c:v>
                </c:pt>
                <c:pt idx="1893" formatCode="#,##0">
                  <c:v>3132</c:v>
                </c:pt>
                <c:pt idx="1894" formatCode="#,##0">
                  <c:v>2000</c:v>
                </c:pt>
                <c:pt idx="1895" formatCode="#,##0">
                  <c:v>3180</c:v>
                </c:pt>
                <c:pt idx="1896" formatCode="#,##0">
                  <c:v>2446</c:v>
                </c:pt>
                <c:pt idx="1897" formatCode="#,##0">
                  <c:v>2400</c:v>
                </c:pt>
                <c:pt idx="1898" formatCode="#,##0">
                  <c:v>2800</c:v>
                </c:pt>
                <c:pt idx="1899" formatCode="#,##0">
                  <c:v>3163</c:v>
                </c:pt>
                <c:pt idx="1900" formatCode="#,##0">
                  <c:v>3000</c:v>
                </c:pt>
                <c:pt idx="1901" formatCode="#,##0">
                  <c:v>2574</c:v>
                </c:pt>
                <c:pt idx="1902" formatCode="#,##0">
                  <c:v>3517</c:v>
                </c:pt>
                <c:pt idx="1903" formatCode="#,##0">
                  <c:v>2806</c:v>
                </c:pt>
                <c:pt idx="1904" formatCode="#,##0">
                  <c:v>2767</c:v>
                </c:pt>
                <c:pt idx="1905" formatCode="#,##0">
                  <c:v>2556</c:v>
                </c:pt>
                <c:pt idx="1906" formatCode="#,##0">
                  <c:v>3447</c:v>
                </c:pt>
                <c:pt idx="1907" formatCode="#,##0">
                  <c:v>3419</c:v>
                </c:pt>
                <c:pt idx="1908" formatCode="#,##0">
                  <c:v>2780</c:v>
                </c:pt>
                <c:pt idx="1909" formatCode="#,##0">
                  <c:v>3517</c:v>
                </c:pt>
                <c:pt idx="1910" formatCode="#,##0">
                  <c:v>3391</c:v>
                </c:pt>
                <c:pt idx="1911" formatCode="#,##0">
                  <c:v>4126</c:v>
                </c:pt>
                <c:pt idx="1912" formatCode="#,##0">
                  <c:v>4004</c:v>
                </c:pt>
                <c:pt idx="1913" formatCode="#,##0">
                  <c:v>3104</c:v>
                </c:pt>
                <c:pt idx="1914" formatCode="#,##0">
                  <c:v>3021</c:v>
                </c:pt>
                <c:pt idx="1915" formatCode="#,##0">
                  <c:v>3200</c:v>
                </c:pt>
                <c:pt idx="1916" formatCode="#,##0">
                  <c:v>3180</c:v>
                </c:pt>
                <c:pt idx="1917" formatCode="#,##0">
                  <c:v>3425</c:v>
                </c:pt>
                <c:pt idx="1918" formatCode="#,##0">
                  <c:v>2854</c:v>
                </c:pt>
                <c:pt idx="1919" formatCode="#,##0">
                  <c:v>3520</c:v>
                </c:pt>
                <c:pt idx="1920" formatCode="#,##0">
                  <c:v>2606</c:v>
                </c:pt>
                <c:pt idx="1921" formatCode="#,##0">
                  <c:v>3274</c:v>
                </c:pt>
                <c:pt idx="1922" formatCode="#,##0">
                  <c:v>3657</c:v>
                </c:pt>
                <c:pt idx="1923" formatCode="#,##0">
                  <c:v>2129</c:v>
                </c:pt>
                <c:pt idx="1924" formatCode="#,##0">
                  <c:v>3722</c:v>
                </c:pt>
                <c:pt idx="1925" formatCode="#,##0">
                  <c:v>2925</c:v>
                </c:pt>
                <c:pt idx="1926" formatCode="#,##0">
                  <c:v>2925</c:v>
                </c:pt>
                <c:pt idx="1927" formatCode="#,##0">
                  <c:v>2737</c:v>
                </c:pt>
                <c:pt idx="1928" formatCode="#,##0">
                  <c:v>3529</c:v>
                </c:pt>
                <c:pt idx="1929" formatCode="#,##0">
                  <c:v>3026</c:v>
                </c:pt>
                <c:pt idx="1930" formatCode="#,##0">
                  <c:v>3583</c:v>
                </c:pt>
                <c:pt idx="1931" formatCode="#,##0">
                  <c:v>4031</c:v>
                </c:pt>
                <c:pt idx="1932" formatCode="#,##0">
                  <c:v>3126</c:v>
                </c:pt>
                <c:pt idx="1933" formatCode="#,##0">
                  <c:v>3219</c:v>
                </c:pt>
                <c:pt idx="1934" formatCode="#,##0">
                  <c:v>3824</c:v>
                </c:pt>
                <c:pt idx="1935" formatCode="#,##0">
                  <c:v>3040</c:v>
                </c:pt>
                <c:pt idx="1936" formatCode="#,##0">
                  <c:v>3473</c:v>
                </c:pt>
                <c:pt idx="1937" formatCode="#,##0">
                  <c:v>4828</c:v>
                </c:pt>
                <c:pt idx="1938" formatCode="#,##0">
                  <c:v>3510</c:v>
                </c:pt>
                <c:pt idx="1939" formatCode="#,##0">
                  <c:v>3626</c:v>
                </c:pt>
                <c:pt idx="1940" formatCode="#,##0">
                  <c:v>3141</c:v>
                </c:pt>
                <c:pt idx="1941" formatCode="#,##0">
                  <c:v>1887</c:v>
                </c:pt>
                <c:pt idx="1942" formatCode="#,##0">
                  <c:v>5283</c:v>
                </c:pt>
                <c:pt idx="1943" formatCode="#,##0">
                  <c:v>3425</c:v>
                </c:pt>
                <c:pt idx="1944" formatCode="#,##0">
                  <c:v>2874</c:v>
                </c:pt>
                <c:pt idx="1945" formatCode="#,##0">
                  <c:v>3650</c:v>
                </c:pt>
                <c:pt idx="1946" formatCode="#,##0">
                  <c:v>3264</c:v>
                </c:pt>
                <c:pt idx="1947" formatCode="#,##0">
                  <c:v>2717</c:v>
                </c:pt>
                <c:pt idx="1948" formatCode="#,##0">
                  <c:v>3538</c:v>
                </c:pt>
                <c:pt idx="1949" formatCode="#,##0">
                  <c:v>5185</c:v>
                </c:pt>
                <c:pt idx="1950" formatCode="#,##0">
                  <c:v>3322</c:v>
                </c:pt>
                <c:pt idx="1951" formatCode="#,##0">
                  <c:v>4415</c:v>
                </c:pt>
                <c:pt idx="1952" formatCode="#,##0">
                  <c:v>4304</c:v>
                </c:pt>
                <c:pt idx="1953" formatCode="#,##0">
                  <c:v>3300</c:v>
                </c:pt>
                <c:pt idx="1954" formatCode="#,##0">
                  <c:v>3240</c:v>
                </c:pt>
                <c:pt idx="1955" formatCode="#,##0">
                  <c:v>4154</c:v>
                </c:pt>
                <c:pt idx="1956" formatCode="#,##0">
                  <c:v>2448</c:v>
                </c:pt>
                <c:pt idx="1957" formatCode="#,##0">
                  <c:v>3293</c:v>
                </c:pt>
                <c:pt idx="1958" formatCode="#,##0">
                  <c:v>4262</c:v>
                </c:pt>
                <c:pt idx="1959" formatCode="#,##0">
                  <c:v>4827</c:v>
                </c:pt>
                <c:pt idx="1960" formatCode="#,##0">
                  <c:v>3277</c:v>
                </c:pt>
                <c:pt idx="1961" formatCode="#,##0">
                  <c:v>3877</c:v>
                </c:pt>
                <c:pt idx="1962" formatCode="#,##0">
                  <c:v>4148</c:v>
                </c:pt>
                <c:pt idx="1963" formatCode="#,##0">
                  <c:v>3572</c:v>
                </c:pt>
                <c:pt idx="1964" formatCode="#,##0">
                  <c:v>4849</c:v>
                </c:pt>
                <c:pt idx="1965" formatCode="#,##0">
                  <c:v>3213</c:v>
                </c:pt>
                <c:pt idx="1966" formatCode="#,##0">
                  <c:v>2500</c:v>
                </c:pt>
                <c:pt idx="1967" formatCode="#,##0">
                  <c:v>3175</c:v>
                </c:pt>
                <c:pt idx="1968" formatCode="#,##0">
                  <c:v>2424</c:v>
                </c:pt>
                <c:pt idx="1969" formatCode="#,##0">
                  <c:v>2500</c:v>
                </c:pt>
                <c:pt idx="1970" formatCode="#,##0">
                  <c:v>3200</c:v>
                </c:pt>
                <c:pt idx="1971" formatCode="#,##0">
                  <c:v>2122</c:v>
                </c:pt>
                <c:pt idx="1972" formatCode="#,##0">
                  <c:v>2620</c:v>
                </c:pt>
                <c:pt idx="1973" formatCode="#,##0">
                  <c:v>3698</c:v>
                </c:pt>
                <c:pt idx="1974" formatCode="#,##0">
                  <c:v>1595</c:v>
                </c:pt>
                <c:pt idx="1975" formatCode="#,##0">
                  <c:v>1990</c:v>
                </c:pt>
                <c:pt idx="1976" formatCode="#,##0">
                  <c:v>4611</c:v>
                </c:pt>
                <c:pt idx="1977" formatCode="#,##0">
                  <c:v>4423</c:v>
                </c:pt>
                <c:pt idx="1978" formatCode="#,##0">
                  <c:v>3172</c:v>
                </c:pt>
                <c:pt idx="1979" formatCode="#,##0">
                  <c:v>2722</c:v>
                </c:pt>
                <c:pt idx="1980" formatCode="#,##0">
                  <c:v>3006</c:v>
                </c:pt>
                <c:pt idx="1981" formatCode="#,##0">
                  <c:v>4664</c:v>
                </c:pt>
                <c:pt idx="1982" formatCode="#,##0">
                  <c:v>3788</c:v>
                </c:pt>
                <c:pt idx="1983" formatCode="#,##0">
                  <c:v>3277</c:v>
                </c:pt>
                <c:pt idx="1984" formatCode="#,##0">
                  <c:v>2536</c:v>
                </c:pt>
                <c:pt idx="1985" formatCode="#,##0">
                  <c:v>3900</c:v>
                </c:pt>
                <c:pt idx="1986" formatCode="#,##0">
                  <c:v>2963</c:v>
                </c:pt>
                <c:pt idx="1987" formatCode="#,##0">
                  <c:v>3600</c:v>
                </c:pt>
                <c:pt idx="1988" formatCode="#,##0">
                  <c:v>2798</c:v>
                </c:pt>
                <c:pt idx="1989" formatCode="#,##0">
                  <c:v>3408</c:v>
                </c:pt>
                <c:pt idx="1990" formatCode="#,##0">
                  <c:v>4118</c:v>
                </c:pt>
                <c:pt idx="1991" formatCode="#,##0">
                  <c:v>3002</c:v>
                </c:pt>
                <c:pt idx="1992" formatCode="#,##0">
                  <c:v>2850</c:v>
                </c:pt>
                <c:pt idx="1993" formatCode="#,##0">
                  <c:v>3239</c:v>
                </c:pt>
                <c:pt idx="1994" formatCode="#,##0">
                  <c:v>4186</c:v>
                </c:pt>
                <c:pt idx="1995" formatCode="#,##0">
                  <c:v>2602</c:v>
                </c:pt>
                <c:pt idx="1996" formatCode="#,##0">
                  <c:v>2086</c:v>
                </c:pt>
                <c:pt idx="1997" formatCode="#,##0">
                  <c:v>3321</c:v>
                </c:pt>
                <c:pt idx="1998" formatCode="#,##0">
                  <c:v>3054</c:v>
                </c:pt>
                <c:pt idx="1999" formatCode="#,##0">
                  <c:v>2716</c:v>
                </c:pt>
                <c:pt idx="2000" formatCode="#,##0">
                  <c:v>4044</c:v>
                </c:pt>
                <c:pt idx="2001" formatCode="#,##0">
                  <c:v>1635</c:v>
                </c:pt>
                <c:pt idx="2002" formatCode="#,##0">
                  <c:v>2363</c:v>
                </c:pt>
                <c:pt idx="2003" formatCode="#,##0">
                  <c:v>4442</c:v>
                </c:pt>
                <c:pt idx="2004" formatCode="#,##0">
                  <c:v>4757</c:v>
                </c:pt>
                <c:pt idx="2005" formatCode="#,##0">
                  <c:v>2630</c:v>
                </c:pt>
                <c:pt idx="2006" formatCode="#,##0">
                  <c:v>3434</c:v>
                </c:pt>
                <c:pt idx="2007" formatCode="#,##0">
                  <c:v>3049</c:v>
                </c:pt>
                <c:pt idx="2008" formatCode="#,##0">
                  <c:v>3125</c:v>
                </c:pt>
                <c:pt idx="2009" formatCode="#,##0">
                  <c:v>1480</c:v>
                </c:pt>
                <c:pt idx="2010" formatCode="#,##0">
                  <c:v>3995</c:v>
                </c:pt>
                <c:pt idx="2011" formatCode="#,##0">
                  <c:v>3552</c:v>
                </c:pt>
                <c:pt idx="2012" formatCode="#,##0">
                  <c:v>3023</c:v>
                </c:pt>
                <c:pt idx="2013" formatCode="#,##0">
                  <c:v>3282</c:v>
                </c:pt>
                <c:pt idx="2014" formatCode="#,##0">
                  <c:v>2380</c:v>
                </c:pt>
                <c:pt idx="2015" formatCode="#,##0">
                  <c:v>3050</c:v>
                </c:pt>
                <c:pt idx="2016" formatCode="#,##0">
                  <c:v>2227</c:v>
                </c:pt>
                <c:pt idx="2017" formatCode="#,##0">
                  <c:v>3988</c:v>
                </c:pt>
                <c:pt idx="2018" formatCode="#,##0">
                  <c:v>3079</c:v>
                </c:pt>
                <c:pt idx="2019" formatCode="#,##0">
                  <c:v>3025</c:v>
                </c:pt>
                <c:pt idx="2020" formatCode="#,##0">
                  <c:v>3496</c:v>
                </c:pt>
                <c:pt idx="2021" formatCode="#,##0">
                  <c:v>3200</c:v>
                </c:pt>
                <c:pt idx="2022" formatCode="#,##0">
                  <c:v>3778</c:v>
                </c:pt>
                <c:pt idx="2023" formatCode="#,##0">
                  <c:v>3200</c:v>
                </c:pt>
                <c:pt idx="2024" formatCode="#,##0">
                  <c:v>3200</c:v>
                </c:pt>
                <c:pt idx="2025" formatCode="#,##0">
                  <c:v>3188</c:v>
                </c:pt>
                <c:pt idx="2026" formatCode="#,##0">
                  <c:v>3189</c:v>
                </c:pt>
                <c:pt idx="2027" formatCode="#,##0">
                  <c:v>3068</c:v>
                </c:pt>
                <c:pt idx="2028" formatCode="#,##0">
                  <c:v>3543</c:v>
                </c:pt>
                <c:pt idx="2029" formatCode="#,##0">
                  <c:v>4535</c:v>
                </c:pt>
                <c:pt idx="2030" formatCode="#,##0">
                  <c:v>3200</c:v>
                </c:pt>
                <c:pt idx="2031" formatCode="#,##0">
                  <c:v>3373</c:v>
                </c:pt>
                <c:pt idx="2032" formatCode="#,##0">
                  <c:v>3700</c:v>
                </c:pt>
                <c:pt idx="2033" formatCode="#,##0">
                  <c:v>4383</c:v>
                </c:pt>
                <c:pt idx="2034" formatCode="#,##0">
                  <c:v>4660</c:v>
                </c:pt>
                <c:pt idx="2035" formatCode="#,##0">
                  <c:v>2547</c:v>
                </c:pt>
                <c:pt idx="2036" formatCode="#,##0">
                  <c:v>4128</c:v>
                </c:pt>
                <c:pt idx="2037" formatCode="#,##0">
                  <c:v>2514</c:v>
                </c:pt>
                <c:pt idx="2038" formatCode="#,##0">
                  <c:v>4180</c:v>
                </c:pt>
                <c:pt idx="2039" formatCode="#,##0">
                  <c:v>3200</c:v>
                </c:pt>
                <c:pt idx="2040" formatCode="#,##0">
                  <c:v>6227</c:v>
                </c:pt>
                <c:pt idx="2041" formatCode="#,##0">
                  <c:v>2729</c:v>
                </c:pt>
                <c:pt idx="2042" formatCode="#,##0">
                  <c:v>3676</c:v>
                </c:pt>
                <c:pt idx="2043" formatCode="#,##0">
                  <c:v>3973</c:v>
                </c:pt>
                <c:pt idx="2044" formatCode="#,##0">
                  <c:v>4000</c:v>
                </c:pt>
                <c:pt idx="2045" formatCode="#,##0">
                  <c:v>5231</c:v>
                </c:pt>
                <c:pt idx="2046" formatCode="#,##0">
                  <c:v>3406</c:v>
                </c:pt>
                <c:pt idx="2047" formatCode="#,##0">
                  <c:v>5033</c:v>
                </c:pt>
                <c:pt idx="2048" formatCode="#,##0">
                  <c:v>3973</c:v>
                </c:pt>
                <c:pt idx="2049" formatCode="#,##0">
                  <c:v>3500</c:v>
                </c:pt>
                <c:pt idx="2050" formatCode="#,##0">
                  <c:v>3921</c:v>
                </c:pt>
                <c:pt idx="2051" formatCode="#,##0">
                  <c:v>4959</c:v>
                </c:pt>
                <c:pt idx="2052" formatCode="#,##0">
                  <c:v>4393</c:v>
                </c:pt>
                <c:pt idx="2053" formatCode="#,##0">
                  <c:v>5334</c:v>
                </c:pt>
                <c:pt idx="2054" formatCode="#,##0">
                  <c:v>4478</c:v>
                </c:pt>
                <c:pt idx="2055" formatCode="#,##0">
                  <c:v>2975</c:v>
                </c:pt>
                <c:pt idx="2056" formatCode="#,##0">
                  <c:v>4800</c:v>
                </c:pt>
                <c:pt idx="2057" formatCode="#,##0">
                  <c:v>6942</c:v>
                </c:pt>
                <c:pt idx="2058" formatCode="#,##0">
                  <c:v>4879</c:v>
                </c:pt>
                <c:pt idx="2059" formatCode="#,##0">
                  <c:v>4395</c:v>
                </c:pt>
                <c:pt idx="2060" formatCode="#,##0">
                  <c:v>4771</c:v>
                </c:pt>
                <c:pt idx="2061" formatCode="#,##0">
                  <c:v>5117</c:v>
                </c:pt>
                <c:pt idx="2062" formatCode="#,##0">
                  <c:v>4095</c:v>
                </c:pt>
                <c:pt idx="2063" formatCode="#,##0">
                  <c:v>3633</c:v>
                </c:pt>
                <c:pt idx="2064" formatCode="#,##0">
                  <c:v>5133</c:v>
                </c:pt>
                <c:pt idx="2065" formatCode="#,##0">
                  <c:v>3123</c:v>
                </c:pt>
                <c:pt idx="2066" formatCode="#,##0">
                  <c:v>3687</c:v>
                </c:pt>
                <c:pt idx="2067" formatCode="#,##0">
                  <c:v>3843</c:v>
                </c:pt>
                <c:pt idx="2068" formatCode="#,##0">
                  <c:v>4668</c:v>
                </c:pt>
                <c:pt idx="2069" formatCode="#,##0">
                  <c:v>6493</c:v>
                </c:pt>
                <c:pt idx="2070" formatCode="#,##0">
                  <c:v>5272</c:v>
                </c:pt>
                <c:pt idx="2071" formatCode="#,##0">
                  <c:v>3910</c:v>
                </c:pt>
                <c:pt idx="2072" formatCode="#,##0">
                  <c:v>4553</c:v>
                </c:pt>
                <c:pt idx="2073" formatCode="#,##0">
                  <c:v>5176</c:v>
                </c:pt>
                <c:pt idx="2074" formatCode="#,##0">
                  <c:v>4200</c:v>
                </c:pt>
                <c:pt idx="2075" formatCode="#,##0">
                  <c:v>3700</c:v>
                </c:pt>
                <c:pt idx="2076" formatCode="#,##0">
                  <c:v>6459</c:v>
                </c:pt>
                <c:pt idx="2077" formatCode="#,##0">
                  <c:v>4749</c:v>
                </c:pt>
                <c:pt idx="2078" formatCode="#,##0">
                  <c:v>3760</c:v>
                </c:pt>
                <c:pt idx="2079" formatCode="#,##0">
                  <c:v>3849</c:v>
                </c:pt>
                <c:pt idx="2080" formatCode="#,##0">
                  <c:v>4500</c:v>
                </c:pt>
                <c:pt idx="2081" formatCode="#,##0">
                  <c:v>5500</c:v>
                </c:pt>
                <c:pt idx="2082" formatCode="#,##0">
                  <c:v>4360</c:v>
                </c:pt>
                <c:pt idx="2083" formatCode="#,##0">
                  <c:v>6464</c:v>
                </c:pt>
                <c:pt idx="2084" formatCode="#,##0">
                  <c:v>4423</c:v>
                </c:pt>
                <c:pt idx="2085" formatCode="#,##0">
                  <c:v>6400</c:v>
                </c:pt>
                <c:pt idx="2086" formatCode="#,##0">
                  <c:v>7200</c:v>
                </c:pt>
                <c:pt idx="2087" formatCode="#,##0">
                  <c:v>4890</c:v>
                </c:pt>
                <c:pt idx="2088" formatCode="#,##0">
                  <c:v>6864</c:v>
                </c:pt>
                <c:pt idx="2089" formatCode="#,##0">
                  <c:v>5020</c:v>
                </c:pt>
                <c:pt idx="2090" formatCode="#,##0">
                  <c:v>9800</c:v>
                </c:pt>
                <c:pt idx="2091" formatCode="#,##0">
                  <c:v>7429</c:v>
                </c:pt>
                <c:pt idx="2092" formatCode="#,##0">
                  <c:v>9800</c:v>
                </c:pt>
                <c:pt idx="2093" formatCode="#,##0">
                  <c:v>4970</c:v>
                </c:pt>
                <c:pt idx="2094" formatCode="#,##0">
                  <c:v>6121</c:v>
                </c:pt>
                <c:pt idx="2095" formatCode="#,##0">
                  <c:v>7515</c:v>
                </c:pt>
                <c:pt idx="2096" formatCode="#,##0">
                  <c:v>8738</c:v>
                </c:pt>
                <c:pt idx="2097">
                  <c:v>640</c:v>
                </c:pt>
                <c:pt idx="2098">
                  <c:v>901</c:v>
                </c:pt>
                <c:pt idx="2099">
                  <c:v>725</c:v>
                </c:pt>
                <c:pt idx="2100">
                  <c:v>816</c:v>
                </c:pt>
                <c:pt idx="2101" formatCode="#,##0">
                  <c:v>1050</c:v>
                </c:pt>
                <c:pt idx="2102">
                  <c:v>928</c:v>
                </c:pt>
                <c:pt idx="2103">
                  <c:v>720</c:v>
                </c:pt>
                <c:pt idx="2104" formatCode="#,##0">
                  <c:v>1032</c:v>
                </c:pt>
                <c:pt idx="2105" formatCode="#,##0">
                  <c:v>1060</c:v>
                </c:pt>
                <c:pt idx="2106" formatCode="#,##0">
                  <c:v>1792</c:v>
                </c:pt>
                <c:pt idx="2107">
                  <c:v>596</c:v>
                </c:pt>
                <c:pt idx="2108">
                  <c:v>725</c:v>
                </c:pt>
                <c:pt idx="2109" formatCode="#,##0">
                  <c:v>1524</c:v>
                </c:pt>
                <c:pt idx="2110" formatCode="#,##0">
                  <c:v>2016</c:v>
                </c:pt>
                <c:pt idx="2111">
                  <c:v>850</c:v>
                </c:pt>
                <c:pt idx="2112">
                  <c:v>645</c:v>
                </c:pt>
                <c:pt idx="2113">
                  <c:v>924</c:v>
                </c:pt>
                <c:pt idx="2114">
                  <c:v>916</c:v>
                </c:pt>
                <c:pt idx="2115" formatCode="#,##0">
                  <c:v>1057</c:v>
                </c:pt>
                <c:pt idx="2116">
                  <c:v>696</c:v>
                </c:pt>
                <c:pt idx="2117">
                  <c:v>852</c:v>
                </c:pt>
                <c:pt idx="2118">
                  <c:v>980</c:v>
                </c:pt>
                <c:pt idx="2119">
                  <c:v>696</c:v>
                </c:pt>
                <c:pt idx="2120">
                  <c:v>856</c:v>
                </c:pt>
                <c:pt idx="2121" formatCode="#,##0">
                  <c:v>1078</c:v>
                </c:pt>
                <c:pt idx="2122">
                  <c:v>696</c:v>
                </c:pt>
                <c:pt idx="2123" formatCode="#,##0">
                  <c:v>1058</c:v>
                </c:pt>
                <c:pt idx="2124" formatCode="#,##0">
                  <c:v>1040</c:v>
                </c:pt>
                <c:pt idx="2125" formatCode="#,##0">
                  <c:v>1596</c:v>
                </c:pt>
                <c:pt idx="2126">
                  <c:v>910</c:v>
                </c:pt>
                <c:pt idx="2127" formatCode="#,##0">
                  <c:v>1012</c:v>
                </c:pt>
                <c:pt idx="2128">
                  <c:v>866</c:v>
                </c:pt>
                <c:pt idx="2129">
                  <c:v>975</c:v>
                </c:pt>
                <c:pt idx="2130">
                  <c:v>704</c:v>
                </c:pt>
                <c:pt idx="2131">
                  <c:v>776</c:v>
                </c:pt>
                <c:pt idx="2132">
                  <c:v>891</c:v>
                </c:pt>
                <c:pt idx="2133">
                  <c:v>792</c:v>
                </c:pt>
                <c:pt idx="2134" formatCode="#,##0">
                  <c:v>1429</c:v>
                </c:pt>
                <c:pt idx="2135" formatCode="#,##0">
                  <c:v>1124</c:v>
                </c:pt>
                <c:pt idx="2136" formatCode="#,##0">
                  <c:v>1080</c:v>
                </c:pt>
                <c:pt idx="2137">
                  <c:v>781</c:v>
                </c:pt>
                <c:pt idx="2138">
                  <c:v>907</c:v>
                </c:pt>
                <c:pt idx="2139">
                  <c:v>770</c:v>
                </c:pt>
                <c:pt idx="2140">
                  <c:v>960</c:v>
                </c:pt>
                <c:pt idx="2141">
                  <c:v>727</c:v>
                </c:pt>
                <c:pt idx="2142" formatCode="#,##0">
                  <c:v>1092</c:v>
                </c:pt>
                <c:pt idx="2143">
                  <c:v>750</c:v>
                </c:pt>
                <c:pt idx="2144">
                  <c:v>984</c:v>
                </c:pt>
                <c:pt idx="2145">
                  <c:v>924</c:v>
                </c:pt>
                <c:pt idx="2146">
                  <c:v>696</c:v>
                </c:pt>
                <c:pt idx="2147">
                  <c:v>700</c:v>
                </c:pt>
                <c:pt idx="2148">
                  <c:v>700</c:v>
                </c:pt>
                <c:pt idx="2149" formatCode="#,##0">
                  <c:v>1265</c:v>
                </c:pt>
                <c:pt idx="2150">
                  <c:v>935</c:v>
                </c:pt>
                <c:pt idx="2151" formatCode="#,##0">
                  <c:v>1100</c:v>
                </c:pt>
                <c:pt idx="2152" formatCode="#,##0">
                  <c:v>1050</c:v>
                </c:pt>
                <c:pt idx="2153">
                  <c:v>806</c:v>
                </c:pt>
                <c:pt idx="2154">
                  <c:v>704</c:v>
                </c:pt>
                <c:pt idx="2155">
                  <c:v>998</c:v>
                </c:pt>
                <c:pt idx="2156">
                  <c:v>720</c:v>
                </c:pt>
                <c:pt idx="2157">
                  <c:v>810</c:v>
                </c:pt>
                <c:pt idx="2158">
                  <c:v>981</c:v>
                </c:pt>
                <c:pt idx="2159" formatCode="#,##0">
                  <c:v>1023</c:v>
                </c:pt>
                <c:pt idx="2160">
                  <c:v>824</c:v>
                </c:pt>
                <c:pt idx="2161">
                  <c:v>807</c:v>
                </c:pt>
                <c:pt idx="2162">
                  <c:v>900</c:v>
                </c:pt>
                <c:pt idx="2163" formatCode="#,##0">
                  <c:v>1036</c:v>
                </c:pt>
                <c:pt idx="2164" formatCode="#,##0">
                  <c:v>1250</c:v>
                </c:pt>
                <c:pt idx="2165">
                  <c:v>900</c:v>
                </c:pt>
                <c:pt idx="2166">
                  <c:v>851</c:v>
                </c:pt>
                <c:pt idx="2167" formatCode="#,##0">
                  <c:v>1200</c:v>
                </c:pt>
                <c:pt idx="2168" formatCode="#,##0">
                  <c:v>1038</c:v>
                </c:pt>
                <c:pt idx="2169" formatCode="#,##0">
                  <c:v>1202</c:v>
                </c:pt>
                <c:pt idx="2170" formatCode="#,##0">
                  <c:v>1080</c:v>
                </c:pt>
                <c:pt idx="2171" formatCode="#,##0">
                  <c:v>1000</c:v>
                </c:pt>
                <c:pt idx="2172">
                  <c:v>888</c:v>
                </c:pt>
                <c:pt idx="2173">
                  <c:v>916</c:v>
                </c:pt>
                <c:pt idx="2174">
                  <c:v>720</c:v>
                </c:pt>
                <c:pt idx="2175">
                  <c:v>920</c:v>
                </c:pt>
                <c:pt idx="2176">
                  <c:v>916</c:v>
                </c:pt>
                <c:pt idx="2177">
                  <c:v>930</c:v>
                </c:pt>
                <c:pt idx="2178">
                  <c:v>968</c:v>
                </c:pt>
                <c:pt idx="2179" formatCode="#,##0">
                  <c:v>1026</c:v>
                </c:pt>
                <c:pt idx="2180">
                  <c:v>700</c:v>
                </c:pt>
                <c:pt idx="2181">
                  <c:v>896</c:v>
                </c:pt>
                <c:pt idx="2182">
                  <c:v>681</c:v>
                </c:pt>
                <c:pt idx="2183">
                  <c:v>633</c:v>
                </c:pt>
                <c:pt idx="2184" formatCode="#,##0">
                  <c:v>1000</c:v>
                </c:pt>
                <c:pt idx="2185">
                  <c:v>700</c:v>
                </c:pt>
                <c:pt idx="2186">
                  <c:v>675</c:v>
                </c:pt>
                <c:pt idx="2187">
                  <c:v>810</c:v>
                </c:pt>
                <c:pt idx="2188">
                  <c:v>911</c:v>
                </c:pt>
                <c:pt idx="2189">
                  <c:v>944</c:v>
                </c:pt>
                <c:pt idx="2190">
                  <c:v>943</c:v>
                </c:pt>
                <c:pt idx="2191" formatCode="#,##0">
                  <c:v>1210</c:v>
                </c:pt>
                <c:pt idx="2192">
                  <c:v>971</c:v>
                </c:pt>
                <c:pt idx="2193">
                  <c:v>910</c:v>
                </c:pt>
                <c:pt idx="2194" formatCode="#,##0">
                  <c:v>1013</c:v>
                </c:pt>
                <c:pt idx="2195">
                  <c:v>697</c:v>
                </c:pt>
                <c:pt idx="2196">
                  <c:v>960</c:v>
                </c:pt>
                <c:pt idx="2197">
                  <c:v>696</c:v>
                </c:pt>
                <c:pt idx="2198" formatCode="#,##0">
                  <c:v>1341</c:v>
                </c:pt>
                <c:pt idx="2199">
                  <c:v>720</c:v>
                </c:pt>
                <c:pt idx="2200">
                  <c:v>720</c:v>
                </c:pt>
                <c:pt idx="2201">
                  <c:v>984</c:v>
                </c:pt>
                <c:pt idx="2202">
                  <c:v>724</c:v>
                </c:pt>
                <c:pt idx="2203">
                  <c:v>754</c:v>
                </c:pt>
                <c:pt idx="2204">
                  <c:v>700</c:v>
                </c:pt>
                <c:pt idx="2205" formatCode="#,##0">
                  <c:v>1658</c:v>
                </c:pt>
                <c:pt idx="2206" formatCode="#,##0">
                  <c:v>1000</c:v>
                </c:pt>
                <c:pt idx="2207" formatCode="#,##0">
                  <c:v>1323</c:v>
                </c:pt>
                <c:pt idx="2208">
                  <c:v>808</c:v>
                </c:pt>
                <c:pt idx="2209">
                  <c:v>910</c:v>
                </c:pt>
                <c:pt idx="2210">
                  <c:v>770</c:v>
                </c:pt>
                <c:pt idx="2211">
                  <c:v>775</c:v>
                </c:pt>
                <c:pt idx="2212">
                  <c:v>936</c:v>
                </c:pt>
                <c:pt idx="2213" formatCode="#,##0">
                  <c:v>1206</c:v>
                </c:pt>
                <c:pt idx="2214" formatCode="#,##0">
                  <c:v>1518</c:v>
                </c:pt>
                <c:pt idx="2215" formatCode="#,##0">
                  <c:v>1020</c:v>
                </c:pt>
                <c:pt idx="2216" formatCode="#,##0">
                  <c:v>1012</c:v>
                </c:pt>
                <c:pt idx="2217">
                  <c:v>988</c:v>
                </c:pt>
                <c:pt idx="2218">
                  <c:v>950</c:v>
                </c:pt>
                <c:pt idx="2219" formatCode="#,##0">
                  <c:v>1091</c:v>
                </c:pt>
                <c:pt idx="2220">
                  <c:v>696</c:v>
                </c:pt>
                <c:pt idx="2221">
                  <c:v>740</c:v>
                </c:pt>
                <c:pt idx="2222">
                  <c:v>806</c:v>
                </c:pt>
                <c:pt idx="2223" formatCode="#,##0">
                  <c:v>1103</c:v>
                </c:pt>
                <c:pt idx="2224">
                  <c:v>944</c:v>
                </c:pt>
                <c:pt idx="2225" formatCode="#,##0">
                  <c:v>1033</c:v>
                </c:pt>
                <c:pt idx="2226" formatCode="#,##0">
                  <c:v>1487</c:v>
                </c:pt>
                <c:pt idx="2227" formatCode="#,##0">
                  <c:v>1556</c:v>
                </c:pt>
                <c:pt idx="2228">
                  <c:v>944</c:v>
                </c:pt>
                <c:pt idx="2229" formatCode="#,##0">
                  <c:v>1004</c:v>
                </c:pt>
                <c:pt idx="2230">
                  <c:v>986</c:v>
                </c:pt>
                <c:pt idx="2231">
                  <c:v>725</c:v>
                </c:pt>
                <c:pt idx="2232">
                  <c:v>960</c:v>
                </c:pt>
                <c:pt idx="2233" formatCode="#,##0">
                  <c:v>1257</c:v>
                </c:pt>
                <c:pt idx="2234" formatCode="#,##0">
                  <c:v>1488</c:v>
                </c:pt>
                <c:pt idx="2235" formatCode="#,##0">
                  <c:v>1455</c:v>
                </c:pt>
                <c:pt idx="2236" formatCode="#,##0">
                  <c:v>1005</c:v>
                </c:pt>
                <c:pt idx="2237" formatCode="#,##0">
                  <c:v>1050</c:v>
                </c:pt>
                <c:pt idx="2238">
                  <c:v>835</c:v>
                </c:pt>
                <c:pt idx="2239" formatCode="#,##0">
                  <c:v>2424</c:v>
                </c:pt>
                <c:pt idx="2240" formatCode="#,##0">
                  <c:v>1086</c:v>
                </c:pt>
                <c:pt idx="2241">
                  <c:v>750</c:v>
                </c:pt>
                <c:pt idx="2242">
                  <c:v>965</c:v>
                </c:pt>
                <c:pt idx="2243">
                  <c:v>950</c:v>
                </c:pt>
                <c:pt idx="2244" formatCode="#,##0">
                  <c:v>1084</c:v>
                </c:pt>
                <c:pt idx="2245">
                  <c:v>950</c:v>
                </c:pt>
                <c:pt idx="2246">
                  <c:v>936</c:v>
                </c:pt>
                <c:pt idx="2247">
                  <c:v>986</c:v>
                </c:pt>
                <c:pt idx="2248">
                  <c:v>800</c:v>
                </c:pt>
                <c:pt idx="2249">
                  <c:v>875</c:v>
                </c:pt>
                <c:pt idx="2250">
                  <c:v>966</c:v>
                </c:pt>
                <c:pt idx="2251">
                  <c:v>924</c:v>
                </c:pt>
                <c:pt idx="2252">
                  <c:v>942</c:v>
                </c:pt>
                <c:pt idx="2253" formatCode="#,##0">
                  <c:v>1556</c:v>
                </c:pt>
                <c:pt idx="2254">
                  <c:v>891</c:v>
                </c:pt>
                <c:pt idx="2255" formatCode="#,##0">
                  <c:v>1696</c:v>
                </c:pt>
                <c:pt idx="2256">
                  <c:v>985</c:v>
                </c:pt>
                <c:pt idx="2257" formatCode="#,##0">
                  <c:v>1255</c:v>
                </c:pt>
                <c:pt idx="2258">
                  <c:v>910</c:v>
                </c:pt>
                <c:pt idx="2259" formatCode="#,##0">
                  <c:v>1044</c:v>
                </c:pt>
                <c:pt idx="2260" formatCode="#,##0">
                  <c:v>1090</c:v>
                </c:pt>
                <c:pt idx="2261" formatCode="#,##0">
                  <c:v>1284</c:v>
                </c:pt>
                <c:pt idx="2262">
                  <c:v>853</c:v>
                </c:pt>
                <c:pt idx="2263">
                  <c:v>908</c:v>
                </c:pt>
                <c:pt idx="2264" formatCode="#,##0">
                  <c:v>1284</c:v>
                </c:pt>
                <c:pt idx="2265" formatCode="#,##0">
                  <c:v>1398</c:v>
                </c:pt>
                <c:pt idx="2266" formatCode="#,##0">
                  <c:v>1041</c:v>
                </c:pt>
                <c:pt idx="2267" formatCode="#,##0">
                  <c:v>1360</c:v>
                </c:pt>
                <c:pt idx="2268">
                  <c:v>728</c:v>
                </c:pt>
                <c:pt idx="2269">
                  <c:v>924</c:v>
                </c:pt>
                <c:pt idx="2270">
                  <c:v>902</c:v>
                </c:pt>
                <c:pt idx="2271" formatCode="#,##0">
                  <c:v>1014</c:v>
                </c:pt>
                <c:pt idx="2272">
                  <c:v>900</c:v>
                </c:pt>
                <c:pt idx="2273" formatCode="#,##0">
                  <c:v>1251</c:v>
                </c:pt>
                <c:pt idx="2274" formatCode="#,##0">
                  <c:v>1085</c:v>
                </c:pt>
                <c:pt idx="2275" formatCode="#,##0">
                  <c:v>1102</c:v>
                </c:pt>
                <c:pt idx="2276">
                  <c:v>900</c:v>
                </c:pt>
                <c:pt idx="2277" formatCode="#,##0">
                  <c:v>1122</c:v>
                </c:pt>
                <c:pt idx="2278" formatCode="#,##0">
                  <c:v>1125</c:v>
                </c:pt>
                <c:pt idx="2279">
                  <c:v>888</c:v>
                </c:pt>
                <c:pt idx="2280" formatCode="#,##0">
                  <c:v>1192</c:v>
                </c:pt>
                <c:pt idx="2281">
                  <c:v>936</c:v>
                </c:pt>
                <c:pt idx="2282" formatCode="#,##0">
                  <c:v>1181</c:v>
                </c:pt>
                <c:pt idx="2283" formatCode="#,##0">
                  <c:v>1192</c:v>
                </c:pt>
                <c:pt idx="2284" formatCode="#,##0">
                  <c:v>1037</c:v>
                </c:pt>
                <c:pt idx="2285">
                  <c:v>864</c:v>
                </c:pt>
                <c:pt idx="2286">
                  <c:v>955</c:v>
                </c:pt>
                <c:pt idx="2287" formatCode="#,##0">
                  <c:v>1339</c:v>
                </c:pt>
                <c:pt idx="2288" formatCode="#,##0">
                  <c:v>1135</c:v>
                </c:pt>
                <c:pt idx="2289">
                  <c:v>905</c:v>
                </c:pt>
                <c:pt idx="2290">
                  <c:v>960</c:v>
                </c:pt>
                <c:pt idx="2291">
                  <c:v>864</c:v>
                </c:pt>
                <c:pt idx="2292">
                  <c:v>960</c:v>
                </c:pt>
                <c:pt idx="2293" formatCode="#,##0">
                  <c:v>1150</c:v>
                </c:pt>
                <c:pt idx="2294" formatCode="#,##0">
                  <c:v>1953</c:v>
                </c:pt>
                <c:pt idx="2295" formatCode="#,##0">
                  <c:v>1000</c:v>
                </c:pt>
                <c:pt idx="2296" formatCode="#,##0">
                  <c:v>1564</c:v>
                </c:pt>
                <c:pt idx="2297">
                  <c:v>972</c:v>
                </c:pt>
                <c:pt idx="2298">
                  <c:v>720</c:v>
                </c:pt>
                <c:pt idx="2299" formatCode="#,##0">
                  <c:v>1275</c:v>
                </c:pt>
                <c:pt idx="2300">
                  <c:v>960</c:v>
                </c:pt>
                <c:pt idx="2301" formatCode="#,##0">
                  <c:v>1107</c:v>
                </c:pt>
                <c:pt idx="2302" formatCode="#,##0">
                  <c:v>1224</c:v>
                </c:pt>
                <c:pt idx="2303">
                  <c:v>936</c:v>
                </c:pt>
                <c:pt idx="2304" formatCode="#,##0">
                  <c:v>1087</c:v>
                </c:pt>
                <c:pt idx="2305">
                  <c:v>718</c:v>
                </c:pt>
                <c:pt idx="2306">
                  <c:v>859</c:v>
                </c:pt>
                <c:pt idx="2307" formatCode="#,##0">
                  <c:v>1089</c:v>
                </c:pt>
                <c:pt idx="2308" formatCode="#,##0">
                  <c:v>1008</c:v>
                </c:pt>
                <c:pt idx="2309" formatCode="#,##0">
                  <c:v>1014</c:v>
                </c:pt>
                <c:pt idx="2310" formatCode="#,##0">
                  <c:v>1103</c:v>
                </c:pt>
                <c:pt idx="2311" formatCode="#,##0">
                  <c:v>1025</c:v>
                </c:pt>
                <c:pt idx="2312">
                  <c:v>960</c:v>
                </c:pt>
                <c:pt idx="2313" formatCode="#,##0">
                  <c:v>1290</c:v>
                </c:pt>
                <c:pt idx="2314">
                  <c:v>600</c:v>
                </c:pt>
                <c:pt idx="2315" formatCode="#,##0">
                  <c:v>1300</c:v>
                </c:pt>
                <c:pt idx="2316" formatCode="#,##0">
                  <c:v>1082</c:v>
                </c:pt>
                <c:pt idx="2317" formatCode="#,##0">
                  <c:v>1000</c:v>
                </c:pt>
                <c:pt idx="2318" formatCode="#,##0">
                  <c:v>1015</c:v>
                </c:pt>
                <c:pt idx="2319" formatCode="#,##0">
                  <c:v>1000</c:v>
                </c:pt>
                <c:pt idx="2320" formatCode="#,##0">
                  <c:v>1301</c:v>
                </c:pt>
                <c:pt idx="2321">
                  <c:v>984</c:v>
                </c:pt>
                <c:pt idx="2322" formatCode="#,##0">
                  <c:v>1320</c:v>
                </c:pt>
                <c:pt idx="2323" formatCode="#,##0">
                  <c:v>1000</c:v>
                </c:pt>
                <c:pt idx="2324" formatCode="#,##0">
                  <c:v>1000</c:v>
                </c:pt>
                <c:pt idx="2325" formatCode="#,##0">
                  <c:v>1000</c:v>
                </c:pt>
                <c:pt idx="2326">
                  <c:v>900</c:v>
                </c:pt>
                <c:pt idx="2327" formatCode="#,##0">
                  <c:v>1172</c:v>
                </c:pt>
                <c:pt idx="2328" formatCode="#,##0">
                  <c:v>1358</c:v>
                </c:pt>
                <c:pt idx="2329">
                  <c:v>956</c:v>
                </c:pt>
                <c:pt idx="2330">
                  <c:v>944</c:v>
                </c:pt>
                <c:pt idx="2331" formatCode="#,##0">
                  <c:v>1026</c:v>
                </c:pt>
                <c:pt idx="2332" formatCode="#,##0">
                  <c:v>1000</c:v>
                </c:pt>
                <c:pt idx="2333" formatCode="#,##0">
                  <c:v>1106</c:v>
                </c:pt>
                <c:pt idx="2334" formatCode="#,##0">
                  <c:v>1120</c:v>
                </c:pt>
                <c:pt idx="2335" formatCode="#,##0">
                  <c:v>1824</c:v>
                </c:pt>
                <c:pt idx="2336" formatCode="#,##0">
                  <c:v>1000</c:v>
                </c:pt>
                <c:pt idx="2337" formatCode="#,##0">
                  <c:v>1000</c:v>
                </c:pt>
                <c:pt idx="2338" formatCode="#,##0">
                  <c:v>1040</c:v>
                </c:pt>
                <c:pt idx="2339" formatCode="#,##0">
                  <c:v>1330</c:v>
                </c:pt>
                <c:pt idx="2340">
                  <c:v>936</c:v>
                </c:pt>
                <c:pt idx="2341">
                  <c:v>976</c:v>
                </c:pt>
                <c:pt idx="2342" formatCode="#,##0">
                  <c:v>1700</c:v>
                </c:pt>
                <c:pt idx="2343">
                  <c:v>859</c:v>
                </c:pt>
                <c:pt idx="2344">
                  <c:v>912</c:v>
                </c:pt>
                <c:pt idx="2345" formatCode="#,##0">
                  <c:v>1052</c:v>
                </c:pt>
                <c:pt idx="2346" formatCode="#,##0">
                  <c:v>1000</c:v>
                </c:pt>
                <c:pt idx="2347">
                  <c:v>957</c:v>
                </c:pt>
                <c:pt idx="2348" formatCode="#,##0">
                  <c:v>1092</c:v>
                </c:pt>
                <c:pt idx="2349" formatCode="#,##0">
                  <c:v>1496</c:v>
                </c:pt>
                <c:pt idx="2350" formatCode="#,##0">
                  <c:v>1050</c:v>
                </c:pt>
                <c:pt idx="2351" formatCode="#,##0">
                  <c:v>1085</c:v>
                </c:pt>
                <c:pt idx="2352" formatCode="#,##0">
                  <c:v>1285</c:v>
                </c:pt>
                <c:pt idx="2353" formatCode="#,##0">
                  <c:v>1002</c:v>
                </c:pt>
                <c:pt idx="2354">
                  <c:v>948</c:v>
                </c:pt>
                <c:pt idx="2355" formatCode="#,##0">
                  <c:v>1043</c:v>
                </c:pt>
                <c:pt idx="2356">
                  <c:v>999</c:v>
                </c:pt>
                <c:pt idx="2357">
                  <c:v>960</c:v>
                </c:pt>
                <c:pt idx="2358">
                  <c:v>705</c:v>
                </c:pt>
                <c:pt idx="2359">
                  <c:v>960</c:v>
                </c:pt>
                <c:pt idx="2360" formatCode="#,##0">
                  <c:v>1032</c:v>
                </c:pt>
                <c:pt idx="2361">
                  <c:v>890</c:v>
                </c:pt>
                <c:pt idx="2362" formatCode="#,##0">
                  <c:v>1000</c:v>
                </c:pt>
                <c:pt idx="2363" formatCode="#,##0">
                  <c:v>1112</c:v>
                </c:pt>
                <c:pt idx="2364" formatCode="#,##0">
                  <c:v>1104</c:v>
                </c:pt>
                <c:pt idx="2365">
                  <c:v>917</c:v>
                </c:pt>
                <c:pt idx="2366" formatCode="#,##0">
                  <c:v>1000</c:v>
                </c:pt>
                <c:pt idx="2367" formatCode="#,##0">
                  <c:v>1234</c:v>
                </c:pt>
                <c:pt idx="2368" formatCode="#,##0">
                  <c:v>1133</c:v>
                </c:pt>
                <c:pt idx="2369">
                  <c:v>906</c:v>
                </c:pt>
                <c:pt idx="2370">
                  <c:v>888</c:v>
                </c:pt>
                <c:pt idx="2371" formatCode="#,##0">
                  <c:v>1214</c:v>
                </c:pt>
                <c:pt idx="2372" formatCode="#,##0">
                  <c:v>1214</c:v>
                </c:pt>
                <c:pt idx="2373">
                  <c:v>938</c:v>
                </c:pt>
                <c:pt idx="2374" formatCode="#,##0">
                  <c:v>1042</c:v>
                </c:pt>
                <c:pt idx="2375" formatCode="#,##0">
                  <c:v>1100</c:v>
                </c:pt>
                <c:pt idx="2376">
                  <c:v>949</c:v>
                </c:pt>
                <c:pt idx="2377" formatCode="#,##0">
                  <c:v>1420</c:v>
                </c:pt>
                <c:pt idx="2378">
                  <c:v>912</c:v>
                </c:pt>
                <c:pt idx="2379" formatCode="#,##0">
                  <c:v>1000</c:v>
                </c:pt>
                <c:pt idx="2380" formatCode="#,##0">
                  <c:v>1208</c:v>
                </c:pt>
                <c:pt idx="2381" formatCode="#,##0">
                  <c:v>1701</c:v>
                </c:pt>
                <c:pt idx="2382" formatCode="#,##0">
                  <c:v>1800</c:v>
                </c:pt>
                <c:pt idx="2383" formatCode="#,##0">
                  <c:v>1498</c:v>
                </c:pt>
                <c:pt idx="2384">
                  <c:v>988</c:v>
                </c:pt>
                <c:pt idx="2385" formatCode="#,##0">
                  <c:v>2337</c:v>
                </c:pt>
                <c:pt idx="2386" formatCode="#,##0">
                  <c:v>1120</c:v>
                </c:pt>
                <c:pt idx="2387" formatCode="#,##0">
                  <c:v>1205</c:v>
                </c:pt>
                <c:pt idx="2388" formatCode="#,##0">
                  <c:v>1248</c:v>
                </c:pt>
                <c:pt idx="2389">
                  <c:v>912</c:v>
                </c:pt>
                <c:pt idx="2390">
                  <c:v>960</c:v>
                </c:pt>
                <c:pt idx="2391">
                  <c:v>994</c:v>
                </c:pt>
                <c:pt idx="2392" formatCode="#,##0">
                  <c:v>1128</c:v>
                </c:pt>
                <c:pt idx="2393" formatCode="#,##0">
                  <c:v>1119</c:v>
                </c:pt>
                <c:pt idx="2394" formatCode="#,##0">
                  <c:v>1078</c:v>
                </c:pt>
                <c:pt idx="2395" formatCode="#,##0">
                  <c:v>1238</c:v>
                </c:pt>
                <c:pt idx="2396" formatCode="#,##0">
                  <c:v>1040</c:v>
                </c:pt>
                <c:pt idx="2397" formatCode="#,##0">
                  <c:v>1224</c:v>
                </c:pt>
                <c:pt idx="2398">
                  <c:v>918</c:v>
                </c:pt>
                <c:pt idx="2399">
                  <c:v>900</c:v>
                </c:pt>
                <c:pt idx="2400">
                  <c:v>930</c:v>
                </c:pt>
                <c:pt idx="2401" formatCode="#,##0">
                  <c:v>1795</c:v>
                </c:pt>
                <c:pt idx="2402">
                  <c:v>959</c:v>
                </c:pt>
                <c:pt idx="2403" formatCode="#,##0">
                  <c:v>1049</c:v>
                </c:pt>
                <c:pt idx="2404" formatCode="#,##0">
                  <c:v>1184</c:v>
                </c:pt>
                <c:pt idx="2405" formatCode="#,##0">
                  <c:v>1714</c:v>
                </c:pt>
                <c:pt idx="2406">
                  <c:v>945</c:v>
                </c:pt>
                <c:pt idx="2407" formatCode="#,##0">
                  <c:v>1094</c:v>
                </c:pt>
                <c:pt idx="2408" formatCode="#,##0">
                  <c:v>1755</c:v>
                </c:pt>
                <c:pt idx="2409">
                  <c:v>920</c:v>
                </c:pt>
                <c:pt idx="2410" formatCode="#,##0">
                  <c:v>1455</c:v>
                </c:pt>
                <c:pt idx="2411">
                  <c:v>922</c:v>
                </c:pt>
                <c:pt idx="2412">
                  <c:v>988</c:v>
                </c:pt>
                <c:pt idx="2413" formatCode="#,##0">
                  <c:v>1285</c:v>
                </c:pt>
                <c:pt idx="2414" formatCode="#,##0">
                  <c:v>1007</c:v>
                </c:pt>
                <c:pt idx="2415" formatCode="#,##0">
                  <c:v>1176</c:v>
                </c:pt>
                <c:pt idx="2416">
                  <c:v>962</c:v>
                </c:pt>
                <c:pt idx="2417">
                  <c:v>900</c:v>
                </c:pt>
                <c:pt idx="2418" formatCode="#,##0">
                  <c:v>1092</c:v>
                </c:pt>
                <c:pt idx="2419">
                  <c:v>900</c:v>
                </c:pt>
                <c:pt idx="2420" formatCode="#,##0">
                  <c:v>1600</c:v>
                </c:pt>
                <c:pt idx="2421" formatCode="#,##0">
                  <c:v>1190</c:v>
                </c:pt>
                <c:pt idx="2422" formatCode="#,##0">
                  <c:v>1080</c:v>
                </c:pt>
                <c:pt idx="2423" formatCode="#,##0">
                  <c:v>1094</c:v>
                </c:pt>
                <c:pt idx="2424" formatCode="#,##0">
                  <c:v>1338</c:v>
                </c:pt>
                <c:pt idx="2425" formatCode="#,##0">
                  <c:v>1000</c:v>
                </c:pt>
                <c:pt idx="2426" formatCode="#,##0">
                  <c:v>1218</c:v>
                </c:pt>
                <c:pt idx="2427">
                  <c:v>945</c:v>
                </c:pt>
                <c:pt idx="2428" formatCode="#,##0">
                  <c:v>1010</c:v>
                </c:pt>
                <c:pt idx="2429" formatCode="#,##0">
                  <c:v>1040</c:v>
                </c:pt>
                <c:pt idx="2430" formatCode="#,##0">
                  <c:v>1308</c:v>
                </c:pt>
                <c:pt idx="2431" formatCode="#,##0">
                  <c:v>1026</c:v>
                </c:pt>
                <c:pt idx="2432" formatCode="#,##0">
                  <c:v>1596</c:v>
                </c:pt>
                <c:pt idx="2433" formatCode="#,##0">
                  <c:v>1074</c:v>
                </c:pt>
                <c:pt idx="2434">
                  <c:v>912</c:v>
                </c:pt>
                <c:pt idx="2435">
                  <c:v>945</c:v>
                </c:pt>
                <c:pt idx="2436" formatCode="#,##0">
                  <c:v>1250</c:v>
                </c:pt>
                <c:pt idx="2437" formatCode="#,##0">
                  <c:v>1359</c:v>
                </c:pt>
                <c:pt idx="2438" formatCode="#,##0">
                  <c:v>1522</c:v>
                </c:pt>
                <c:pt idx="2439" formatCode="#,##0">
                  <c:v>1459</c:v>
                </c:pt>
                <c:pt idx="2440" formatCode="#,##0">
                  <c:v>1092</c:v>
                </c:pt>
                <c:pt idx="2441" formatCode="#,##0">
                  <c:v>1116</c:v>
                </c:pt>
                <c:pt idx="2442" formatCode="#,##0">
                  <c:v>1263</c:v>
                </c:pt>
                <c:pt idx="2443" formatCode="#,##0">
                  <c:v>1068</c:v>
                </c:pt>
                <c:pt idx="2444">
                  <c:v>939</c:v>
                </c:pt>
                <c:pt idx="2445" formatCode="#,##0">
                  <c:v>1130</c:v>
                </c:pt>
                <c:pt idx="2446" formatCode="#,##0">
                  <c:v>1400</c:v>
                </c:pt>
                <c:pt idx="2447" formatCode="#,##0">
                  <c:v>1200</c:v>
                </c:pt>
                <c:pt idx="2448" formatCode="#,##0">
                  <c:v>1047</c:v>
                </c:pt>
                <c:pt idx="2449" formatCode="#,##0">
                  <c:v>1225</c:v>
                </c:pt>
                <c:pt idx="2450" formatCode="#,##0">
                  <c:v>1317</c:v>
                </c:pt>
                <c:pt idx="2451">
                  <c:v>916</c:v>
                </c:pt>
                <c:pt idx="2452" formatCode="#,##0">
                  <c:v>1000</c:v>
                </c:pt>
                <c:pt idx="2453" formatCode="#,##0">
                  <c:v>2036</c:v>
                </c:pt>
                <c:pt idx="2454">
                  <c:v>906</c:v>
                </c:pt>
                <c:pt idx="2455" formatCode="#,##0">
                  <c:v>1050</c:v>
                </c:pt>
                <c:pt idx="2456" formatCode="#,##0">
                  <c:v>1000</c:v>
                </c:pt>
                <c:pt idx="2457" formatCode="#,##0">
                  <c:v>1496</c:v>
                </c:pt>
                <c:pt idx="2458" formatCode="#,##0">
                  <c:v>1013</c:v>
                </c:pt>
                <c:pt idx="2459">
                  <c:v>840</c:v>
                </c:pt>
                <c:pt idx="2460" formatCode="#,##0">
                  <c:v>1117</c:v>
                </c:pt>
                <c:pt idx="2461" formatCode="#,##0">
                  <c:v>1080</c:v>
                </c:pt>
                <c:pt idx="2462" formatCode="#,##0">
                  <c:v>1000</c:v>
                </c:pt>
                <c:pt idx="2463" formatCode="#,##0">
                  <c:v>1201</c:v>
                </c:pt>
                <c:pt idx="2464" formatCode="#,##0">
                  <c:v>2847</c:v>
                </c:pt>
                <c:pt idx="2465" formatCode="#,##0">
                  <c:v>1162</c:v>
                </c:pt>
                <c:pt idx="2466" formatCode="#,##0">
                  <c:v>1150</c:v>
                </c:pt>
                <c:pt idx="2467" formatCode="#,##0">
                  <c:v>1000</c:v>
                </c:pt>
                <c:pt idx="2468">
                  <c:v>912</c:v>
                </c:pt>
                <c:pt idx="2469" formatCode="#,##0">
                  <c:v>1000</c:v>
                </c:pt>
                <c:pt idx="2470">
                  <c:v>915</c:v>
                </c:pt>
                <c:pt idx="2471">
                  <c:v>960</c:v>
                </c:pt>
                <c:pt idx="2472">
                  <c:v>908</c:v>
                </c:pt>
                <c:pt idx="2473" formatCode="#,##0">
                  <c:v>1260</c:v>
                </c:pt>
                <c:pt idx="2474" formatCode="#,##0">
                  <c:v>1068</c:v>
                </c:pt>
                <c:pt idx="2475" formatCode="#,##0">
                  <c:v>1379</c:v>
                </c:pt>
                <c:pt idx="2476" formatCode="#,##0">
                  <c:v>1108</c:v>
                </c:pt>
                <c:pt idx="2477" formatCode="#,##0">
                  <c:v>1282</c:v>
                </c:pt>
                <c:pt idx="2478" formatCode="#,##0">
                  <c:v>1219</c:v>
                </c:pt>
                <c:pt idx="2479" formatCode="#,##0">
                  <c:v>2008</c:v>
                </c:pt>
                <c:pt idx="2480" formatCode="#,##0">
                  <c:v>1354</c:v>
                </c:pt>
                <c:pt idx="2481">
                  <c:v>865</c:v>
                </c:pt>
                <c:pt idx="2482" formatCode="#,##0">
                  <c:v>1456</c:v>
                </c:pt>
                <c:pt idx="2483" formatCode="#,##0">
                  <c:v>1133</c:v>
                </c:pt>
                <c:pt idx="2484">
                  <c:v>967</c:v>
                </c:pt>
                <c:pt idx="2485" formatCode="#,##0">
                  <c:v>1049</c:v>
                </c:pt>
                <c:pt idx="2486" formatCode="#,##0">
                  <c:v>1275</c:v>
                </c:pt>
                <c:pt idx="2487" formatCode="#,##0">
                  <c:v>1032</c:v>
                </c:pt>
                <c:pt idx="2488" formatCode="#,##0">
                  <c:v>1264</c:v>
                </c:pt>
                <c:pt idx="2489" formatCode="#,##0">
                  <c:v>1189</c:v>
                </c:pt>
                <c:pt idx="2490" formatCode="#,##0">
                  <c:v>1344</c:v>
                </c:pt>
                <c:pt idx="2491">
                  <c:v>964</c:v>
                </c:pt>
                <c:pt idx="2492" formatCode="#,##0">
                  <c:v>1000</c:v>
                </c:pt>
                <c:pt idx="2493" formatCode="#,##0">
                  <c:v>1411</c:v>
                </c:pt>
                <c:pt idx="2494">
                  <c:v>946</c:v>
                </c:pt>
                <c:pt idx="2495" formatCode="#,##0">
                  <c:v>1542</c:v>
                </c:pt>
                <c:pt idx="2496" formatCode="#,##0">
                  <c:v>1071</c:v>
                </c:pt>
                <c:pt idx="2497" formatCode="#,##0">
                  <c:v>1064</c:v>
                </c:pt>
                <c:pt idx="2498" formatCode="#,##0">
                  <c:v>1000</c:v>
                </c:pt>
                <c:pt idx="2499" formatCode="#,##0">
                  <c:v>1133</c:v>
                </c:pt>
                <c:pt idx="2500" formatCode="#,##0">
                  <c:v>1026</c:v>
                </c:pt>
                <c:pt idx="2501" formatCode="#,##0">
                  <c:v>1013</c:v>
                </c:pt>
                <c:pt idx="2502" formatCode="#,##0">
                  <c:v>1466</c:v>
                </c:pt>
                <c:pt idx="2503" formatCode="#,##0">
                  <c:v>1404</c:v>
                </c:pt>
                <c:pt idx="2504" formatCode="#,##0">
                  <c:v>1200</c:v>
                </c:pt>
                <c:pt idx="2505" formatCode="#,##0">
                  <c:v>1007</c:v>
                </c:pt>
                <c:pt idx="2506">
                  <c:v>914</c:v>
                </c:pt>
                <c:pt idx="2507" formatCode="#,##0">
                  <c:v>1350</c:v>
                </c:pt>
                <c:pt idx="2508" formatCode="#,##0">
                  <c:v>1000</c:v>
                </c:pt>
                <c:pt idx="2509" formatCode="#,##0">
                  <c:v>1089</c:v>
                </c:pt>
                <c:pt idx="2510" formatCode="#,##0">
                  <c:v>1480</c:v>
                </c:pt>
                <c:pt idx="2511" formatCode="#,##0">
                  <c:v>1140</c:v>
                </c:pt>
                <c:pt idx="2512">
                  <c:v>930</c:v>
                </c:pt>
                <c:pt idx="2513" formatCode="#,##0">
                  <c:v>1782</c:v>
                </c:pt>
                <c:pt idx="2514" formatCode="#,##0">
                  <c:v>1050</c:v>
                </c:pt>
                <c:pt idx="2515" formatCode="#,##0">
                  <c:v>1495</c:v>
                </c:pt>
                <c:pt idx="2516" formatCode="#,##0">
                  <c:v>1000</c:v>
                </c:pt>
                <c:pt idx="2517">
                  <c:v>910</c:v>
                </c:pt>
                <c:pt idx="2518" formatCode="#,##0">
                  <c:v>1048</c:v>
                </c:pt>
                <c:pt idx="2519" formatCode="#,##0">
                  <c:v>1000</c:v>
                </c:pt>
                <c:pt idx="2520">
                  <c:v>960</c:v>
                </c:pt>
                <c:pt idx="2521">
                  <c:v>960</c:v>
                </c:pt>
                <c:pt idx="2522" formatCode="#,##0">
                  <c:v>1107</c:v>
                </c:pt>
                <c:pt idx="2523" formatCode="#,##0">
                  <c:v>1548</c:v>
                </c:pt>
                <c:pt idx="2524" formatCode="#,##0">
                  <c:v>1100</c:v>
                </c:pt>
                <c:pt idx="2525" formatCode="#,##0">
                  <c:v>1549</c:v>
                </c:pt>
                <c:pt idx="2526" formatCode="#,##0">
                  <c:v>1000</c:v>
                </c:pt>
                <c:pt idx="2527" formatCode="#,##0">
                  <c:v>1505</c:v>
                </c:pt>
                <c:pt idx="2528">
                  <c:v>925</c:v>
                </c:pt>
                <c:pt idx="2529">
                  <c:v>953</c:v>
                </c:pt>
                <c:pt idx="2530" formatCode="#,##0">
                  <c:v>1021</c:v>
                </c:pt>
                <c:pt idx="2531" formatCode="#,##0">
                  <c:v>1050</c:v>
                </c:pt>
                <c:pt idx="2532" formatCode="#,##0">
                  <c:v>1171</c:v>
                </c:pt>
                <c:pt idx="2533" formatCode="#,##0">
                  <c:v>1129</c:v>
                </c:pt>
                <c:pt idx="2534" formatCode="#,##0">
                  <c:v>1050</c:v>
                </c:pt>
                <c:pt idx="2535" formatCode="#,##0">
                  <c:v>1344</c:v>
                </c:pt>
                <c:pt idx="2536" formatCode="#,##0">
                  <c:v>1000</c:v>
                </c:pt>
                <c:pt idx="2537" formatCode="#,##0">
                  <c:v>1248</c:v>
                </c:pt>
                <c:pt idx="2538" formatCode="#,##0">
                  <c:v>1175</c:v>
                </c:pt>
                <c:pt idx="2539">
                  <c:v>925</c:v>
                </c:pt>
                <c:pt idx="2540" formatCode="#,##0">
                  <c:v>1045</c:v>
                </c:pt>
                <c:pt idx="2541" formatCode="#,##0">
                  <c:v>1804</c:v>
                </c:pt>
                <c:pt idx="2542" formatCode="#,##0">
                  <c:v>1076</c:v>
                </c:pt>
                <c:pt idx="2543" formatCode="#,##0">
                  <c:v>1355</c:v>
                </c:pt>
                <c:pt idx="2544" formatCode="#,##0">
                  <c:v>1045</c:v>
                </c:pt>
                <c:pt idx="2545" formatCode="#,##0">
                  <c:v>1602</c:v>
                </c:pt>
                <c:pt idx="2546">
                  <c:v>963</c:v>
                </c:pt>
                <c:pt idx="2547" formatCode="#,##0">
                  <c:v>1014</c:v>
                </c:pt>
                <c:pt idx="2548" formatCode="#,##0">
                  <c:v>1052</c:v>
                </c:pt>
                <c:pt idx="2549" formatCode="#,##0">
                  <c:v>1072</c:v>
                </c:pt>
                <c:pt idx="2550">
                  <c:v>912</c:v>
                </c:pt>
                <c:pt idx="2551">
                  <c:v>980</c:v>
                </c:pt>
                <c:pt idx="2552" formatCode="#,##0">
                  <c:v>1428</c:v>
                </c:pt>
                <c:pt idx="2553" formatCode="#,##0">
                  <c:v>1000</c:v>
                </c:pt>
                <c:pt idx="2554" formatCode="#,##0">
                  <c:v>1482</c:v>
                </c:pt>
                <c:pt idx="2555">
                  <c:v>960</c:v>
                </c:pt>
                <c:pt idx="2556" formatCode="#,##0">
                  <c:v>1392</c:v>
                </c:pt>
                <c:pt idx="2557">
                  <c:v>906</c:v>
                </c:pt>
                <c:pt idx="2558" formatCode="#,##0">
                  <c:v>1684</c:v>
                </c:pt>
                <c:pt idx="2559">
                  <c:v>925</c:v>
                </c:pt>
                <c:pt idx="2560" formatCode="#,##0">
                  <c:v>1332</c:v>
                </c:pt>
                <c:pt idx="2561" formatCode="#,##0">
                  <c:v>1602</c:v>
                </c:pt>
                <c:pt idx="2562" formatCode="#,##0">
                  <c:v>1089</c:v>
                </c:pt>
                <c:pt idx="2563" formatCode="#,##0">
                  <c:v>1077</c:v>
                </c:pt>
                <c:pt idx="2564" formatCode="#,##0">
                  <c:v>1080</c:v>
                </c:pt>
                <c:pt idx="2565" formatCode="#,##0">
                  <c:v>1080</c:v>
                </c:pt>
                <c:pt idx="2566" formatCode="#,##0">
                  <c:v>1062</c:v>
                </c:pt>
                <c:pt idx="2567" formatCode="#,##0">
                  <c:v>1147</c:v>
                </c:pt>
                <c:pt idx="2568" formatCode="#,##0">
                  <c:v>1050</c:v>
                </c:pt>
                <c:pt idx="2569">
                  <c:v>816</c:v>
                </c:pt>
                <c:pt idx="2570" formatCode="#,##0">
                  <c:v>1248</c:v>
                </c:pt>
                <c:pt idx="2571" formatCode="#,##0">
                  <c:v>1540</c:v>
                </c:pt>
                <c:pt idx="2572" formatCode="#,##0">
                  <c:v>1074</c:v>
                </c:pt>
                <c:pt idx="2573">
                  <c:v>956</c:v>
                </c:pt>
                <c:pt idx="2574">
                  <c:v>960</c:v>
                </c:pt>
                <c:pt idx="2575">
                  <c:v>989</c:v>
                </c:pt>
                <c:pt idx="2576" formatCode="#,##0">
                  <c:v>1166</c:v>
                </c:pt>
                <c:pt idx="2577" formatCode="#,##0">
                  <c:v>1155</c:v>
                </c:pt>
                <c:pt idx="2578">
                  <c:v>932</c:v>
                </c:pt>
                <c:pt idx="2579" formatCode="#,##0">
                  <c:v>1600</c:v>
                </c:pt>
                <c:pt idx="2580">
                  <c:v>983</c:v>
                </c:pt>
                <c:pt idx="2581" formatCode="#,##0">
                  <c:v>1042</c:v>
                </c:pt>
                <c:pt idx="2582" formatCode="#,##0">
                  <c:v>1000</c:v>
                </c:pt>
                <c:pt idx="2583" formatCode="#,##0">
                  <c:v>1268</c:v>
                </c:pt>
                <c:pt idx="2584" formatCode="#,##0">
                  <c:v>1107</c:v>
                </c:pt>
                <c:pt idx="2585" formatCode="#,##0">
                  <c:v>1000</c:v>
                </c:pt>
                <c:pt idx="2586" formatCode="#,##0">
                  <c:v>1019</c:v>
                </c:pt>
                <c:pt idx="2587">
                  <c:v>900</c:v>
                </c:pt>
                <c:pt idx="2588" formatCode="#,##0">
                  <c:v>1008</c:v>
                </c:pt>
                <c:pt idx="2589">
                  <c:v>972</c:v>
                </c:pt>
                <c:pt idx="2590" formatCode="#,##0">
                  <c:v>3347</c:v>
                </c:pt>
                <c:pt idx="2591" formatCode="#,##0">
                  <c:v>1092</c:v>
                </c:pt>
                <c:pt idx="2592" formatCode="#,##0">
                  <c:v>1026</c:v>
                </c:pt>
                <c:pt idx="2593" formatCode="#,##0">
                  <c:v>1448</c:v>
                </c:pt>
                <c:pt idx="2594" formatCode="#,##0">
                  <c:v>1066</c:v>
                </c:pt>
                <c:pt idx="2595" formatCode="#,##0">
                  <c:v>1446</c:v>
                </c:pt>
                <c:pt idx="2596" formatCode="#,##0">
                  <c:v>1161</c:v>
                </c:pt>
                <c:pt idx="2597" formatCode="#,##0">
                  <c:v>1300</c:v>
                </c:pt>
                <c:pt idx="2598" formatCode="#,##0">
                  <c:v>1100</c:v>
                </c:pt>
                <c:pt idx="2599" formatCode="#,##0">
                  <c:v>1620</c:v>
                </c:pt>
                <c:pt idx="2600" formatCode="#,##0">
                  <c:v>1832</c:v>
                </c:pt>
                <c:pt idx="2601" formatCode="#,##0">
                  <c:v>1461</c:v>
                </c:pt>
                <c:pt idx="2602" formatCode="#,##0">
                  <c:v>1230</c:v>
                </c:pt>
                <c:pt idx="2603" formatCode="#,##0">
                  <c:v>1408</c:v>
                </c:pt>
                <c:pt idx="2604" formatCode="#,##0">
                  <c:v>1189</c:v>
                </c:pt>
                <c:pt idx="2605" formatCode="#,##0">
                  <c:v>1929</c:v>
                </c:pt>
                <c:pt idx="2606" formatCode="#,##0">
                  <c:v>1302</c:v>
                </c:pt>
                <c:pt idx="2607" formatCode="#,##0">
                  <c:v>1555</c:v>
                </c:pt>
                <c:pt idx="2608" formatCode="#,##0">
                  <c:v>1026</c:v>
                </c:pt>
                <c:pt idx="2609" formatCode="#,##0">
                  <c:v>1200</c:v>
                </c:pt>
                <c:pt idx="2610" formatCode="#,##0">
                  <c:v>1121</c:v>
                </c:pt>
                <c:pt idx="2611" formatCode="#,##0">
                  <c:v>1177</c:v>
                </c:pt>
                <c:pt idx="2612" formatCode="#,##0">
                  <c:v>1290</c:v>
                </c:pt>
                <c:pt idx="2613" formatCode="#,##0">
                  <c:v>1033</c:v>
                </c:pt>
                <c:pt idx="2614">
                  <c:v>930</c:v>
                </c:pt>
                <c:pt idx="2615" formatCode="#,##0">
                  <c:v>1700</c:v>
                </c:pt>
                <c:pt idx="2616" formatCode="#,##0">
                  <c:v>2226</c:v>
                </c:pt>
                <c:pt idx="2617" formatCode="#,##0">
                  <c:v>1326</c:v>
                </c:pt>
                <c:pt idx="2618" formatCode="#,##0">
                  <c:v>1095</c:v>
                </c:pt>
                <c:pt idx="2619" formatCode="#,##0">
                  <c:v>1328</c:v>
                </c:pt>
                <c:pt idx="2620" formatCode="#,##0">
                  <c:v>1102</c:v>
                </c:pt>
                <c:pt idx="2621" formatCode="#,##0">
                  <c:v>1000</c:v>
                </c:pt>
                <c:pt idx="2622" formatCode="#,##0">
                  <c:v>1338</c:v>
                </c:pt>
                <c:pt idx="2623" formatCode="#,##0">
                  <c:v>1503</c:v>
                </c:pt>
                <c:pt idx="2624" formatCode="#,##0">
                  <c:v>1462</c:v>
                </c:pt>
                <c:pt idx="2625" formatCode="#,##0">
                  <c:v>1405</c:v>
                </c:pt>
                <c:pt idx="2626" formatCode="#,##0">
                  <c:v>1186</c:v>
                </c:pt>
                <c:pt idx="2627" formatCode="#,##0">
                  <c:v>1049</c:v>
                </c:pt>
                <c:pt idx="2628" formatCode="#,##0">
                  <c:v>1448</c:v>
                </c:pt>
                <c:pt idx="2629" formatCode="#,##0">
                  <c:v>1752</c:v>
                </c:pt>
                <c:pt idx="2630" formatCode="#,##0">
                  <c:v>1144</c:v>
                </c:pt>
                <c:pt idx="2631" formatCode="#,##0">
                  <c:v>1017</c:v>
                </c:pt>
                <c:pt idx="2632" formatCode="#,##0">
                  <c:v>1000</c:v>
                </c:pt>
                <c:pt idx="2633" formatCode="#,##0">
                  <c:v>1580</c:v>
                </c:pt>
                <c:pt idx="2634">
                  <c:v>956</c:v>
                </c:pt>
                <c:pt idx="2635" formatCode="#,##0">
                  <c:v>1182</c:v>
                </c:pt>
                <c:pt idx="2636" formatCode="#,##0">
                  <c:v>1143</c:v>
                </c:pt>
                <c:pt idx="2637" formatCode="#,##0">
                  <c:v>1109</c:v>
                </c:pt>
                <c:pt idx="2638" formatCode="#,##0">
                  <c:v>1106</c:v>
                </c:pt>
                <c:pt idx="2639" formatCode="#,##0">
                  <c:v>1620</c:v>
                </c:pt>
                <c:pt idx="2640" formatCode="#,##0">
                  <c:v>1514</c:v>
                </c:pt>
                <c:pt idx="2641" formatCode="#,##0">
                  <c:v>1116</c:v>
                </c:pt>
                <c:pt idx="2642" formatCode="#,##0">
                  <c:v>1750</c:v>
                </c:pt>
                <c:pt idx="2643" formatCode="#,##0">
                  <c:v>1150</c:v>
                </c:pt>
                <c:pt idx="2644" formatCode="#,##0">
                  <c:v>1304</c:v>
                </c:pt>
                <c:pt idx="2645" formatCode="#,##0">
                  <c:v>1000</c:v>
                </c:pt>
                <c:pt idx="2646" formatCode="#,##0">
                  <c:v>1542</c:v>
                </c:pt>
                <c:pt idx="2647" formatCode="#,##0">
                  <c:v>1148</c:v>
                </c:pt>
                <c:pt idx="2648" formatCode="#,##0">
                  <c:v>1075</c:v>
                </c:pt>
                <c:pt idx="2649" formatCode="#,##0">
                  <c:v>1505</c:v>
                </c:pt>
                <c:pt idx="2650" formatCode="#,##0">
                  <c:v>1300</c:v>
                </c:pt>
                <c:pt idx="2651" formatCode="#,##0">
                  <c:v>1218</c:v>
                </c:pt>
                <c:pt idx="2652" formatCode="#,##0">
                  <c:v>1100</c:v>
                </c:pt>
                <c:pt idx="2653" formatCode="#,##0">
                  <c:v>2458</c:v>
                </c:pt>
                <c:pt idx="2654">
                  <c:v>945</c:v>
                </c:pt>
                <c:pt idx="2655" formatCode="#,##0">
                  <c:v>1151</c:v>
                </c:pt>
                <c:pt idx="2656">
                  <c:v>973</c:v>
                </c:pt>
                <c:pt idx="2657" formatCode="#,##0">
                  <c:v>1150</c:v>
                </c:pt>
                <c:pt idx="2658" formatCode="#,##0">
                  <c:v>1128</c:v>
                </c:pt>
                <c:pt idx="2659">
                  <c:v>864</c:v>
                </c:pt>
                <c:pt idx="2660" formatCode="#,##0">
                  <c:v>1254</c:v>
                </c:pt>
                <c:pt idx="2661" formatCode="#,##0">
                  <c:v>1120</c:v>
                </c:pt>
                <c:pt idx="2662" formatCode="#,##0">
                  <c:v>1440</c:v>
                </c:pt>
                <c:pt idx="2663" formatCode="#,##0">
                  <c:v>1022</c:v>
                </c:pt>
                <c:pt idx="2664" formatCode="#,##0">
                  <c:v>1288</c:v>
                </c:pt>
                <c:pt idx="2665" formatCode="#,##0">
                  <c:v>1282</c:v>
                </c:pt>
                <c:pt idx="2666" formatCode="#,##0">
                  <c:v>1638</c:v>
                </c:pt>
                <c:pt idx="2667" formatCode="#,##0">
                  <c:v>1300</c:v>
                </c:pt>
                <c:pt idx="2668">
                  <c:v>936</c:v>
                </c:pt>
                <c:pt idx="2669" formatCode="#,##0">
                  <c:v>1000</c:v>
                </c:pt>
                <c:pt idx="2670">
                  <c:v>950</c:v>
                </c:pt>
                <c:pt idx="2671" formatCode="#,##0">
                  <c:v>1065</c:v>
                </c:pt>
                <c:pt idx="2672" formatCode="#,##0">
                  <c:v>2208</c:v>
                </c:pt>
                <c:pt idx="2673" formatCode="#,##0">
                  <c:v>1729</c:v>
                </c:pt>
                <c:pt idx="2674" formatCode="#,##0">
                  <c:v>1386</c:v>
                </c:pt>
                <c:pt idx="2675">
                  <c:v>987</c:v>
                </c:pt>
                <c:pt idx="2676" formatCode="#,##0">
                  <c:v>1040</c:v>
                </c:pt>
                <c:pt idx="2677" formatCode="#,##0">
                  <c:v>1000</c:v>
                </c:pt>
                <c:pt idx="2678" formatCode="#,##0">
                  <c:v>1000</c:v>
                </c:pt>
                <c:pt idx="2679" formatCode="#,##0">
                  <c:v>2101</c:v>
                </c:pt>
                <c:pt idx="2680" formatCode="#,##0">
                  <c:v>1240</c:v>
                </c:pt>
                <c:pt idx="2681" formatCode="#,##0">
                  <c:v>1480</c:v>
                </c:pt>
                <c:pt idx="2682" formatCode="#,##0">
                  <c:v>1299</c:v>
                </c:pt>
                <c:pt idx="2683">
                  <c:v>954</c:v>
                </c:pt>
                <c:pt idx="2684" formatCode="#,##0">
                  <c:v>1040</c:v>
                </c:pt>
                <c:pt idx="2685" formatCode="#,##0">
                  <c:v>1091</c:v>
                </c:pt>
                <c:pt idx="2686" formatCode="#,##0">
                  <c:v>1115</c:v>
                </c:pt>
                <c:pt idx="2687" formatCode="#,##0">
                  <c:v>1298</c:v>
                </c:pt>
                <c:pt idx="2688" formatCode="#,##0">
                  <c:v>1052</c:v>
                </c:pt>
                <c:pt idx="2689" formatCode="#,##0">
                  <c:v>1836</c:v>
                </c:pt>
                <c:pt idx="2690">
                  <c:v>925</c:v>
                </c:pt>
                <c:pt idx="2691" formatCode="#,##0">
                  <c:v>1074</c:v>
                </c:pt>
                <c:pt idx="2692" formatCode="#,##0">
                  <c:v>1280</c:v>
                </c:pt>
                <c:pt idx="2693" formatCode="#,##0">
                  <c:v>1008</c:v>
                </c:pt>
                <c:pt idx="2694" formatCode="#,##0">
                  <c:v>1111</c:v>
                </c:pt>
                <c:pt idx="2695" formatCode="#,##0">
                  <c:v>1520</c:v>
                </c:pt>
                <c:pt idx="2696" formatCode="#,##0">
                  <c:v>1005</c:v>
                </c:pt>
                <c:pt idx="2697" formatCode="#,##0">
                  <c:v>1191</c:v>
                </c:pt>
                <c:pt idx="2698" formatCode="#,##0">
                  <c:v>1204</c:v>
                </c:pt>
                <c:pt idx="2699" formatCode="#,##0">
                  <c:v>1354</c:v>
                </c:pt>
                <c:pt idx="2700" formatCode="#,##0">
                  <c:v>1299</c:v>
                </c:pt>
                <c:pt idx="2701" formatCode="#,##0">
                  <c:v>1000</c:v>
                </c:pt>
                <c:pt idx="2702" formatCode="#,##0">
                  <c:v>1000</c:v>
                </c:pt>
                <c:pt idx="2703" formatCode="#,##0">
                  <c:v>1166</c:v>
                </c:pt>
                <c:pt idx="2704" formatCode="#,##0">
                  <c:v>1223</c:v>
                </c:pt>
                <c:pt idx="2705" formatCode="#,##0">
                  <c:v>1055</c:v>
                </c:pt>
                <c:pt idx="2706" formatCode="#,##0">
                  <c:v>1347</c:v>
                </c:pt>
                <c:pt idx="2707" formatCode="#,##0">
                  <c:v>1396</c:v>
                </c:pt>
                <c:pt idx="2708">
                  <c:v>960</c:v>
                </c:pt>
                <c:pt idx="2709" formatCode="#,##0">
                  <c:v>1694</c:v>
                </c:pt>
                <c:pt idx="2710" formatCode="#,##0">
                  <c:v>1834</c:v>
                </c:pt>
                <c:pt idx="2711" formatCode="#,##0">
                  <c:v>1160</c:v>
                </c:pt>
                <c:pt idx="2712" formatCode="#,##0">
                  <c:v>1478</c:v>
                </c:pt>
                <c:pt idx="2713" formatCode="#,##0">
                  <c:v>1132</c:v>
                </c:pt>
                <c:pt idx="2714" formatCode="#,##0">
                  <c:v>1089</c:v>
                </c:pt>
                <c:pt idx="2715">
                  <c:v>925</c:v>
                </c:pt>
                <c:pt idx="2716" formatCode="#,##0">
                  <c:v>1478</c:v>
                </c:pt>
                <c:pt idx="2717" formatCode="#,##0">
                  <c:v>1781</c:v>
                </c:pt>
                <c:pt idx="2718" formatCode="#,##0">
                  <c:v>1404</c:v>
                </c:pt>
                <c:pt idx="2719" formatCode="#,##0">
                  <c:v>1014</c:v>
                </c:pt>
                <c:pt idx="2720" formatCode="#,##0">
                  <c:v>1556</c:v>
                </c:pt>
                <c:pt idx="2721" formatCode="#,##0">
                  <c:v>1396</c:v>
                </c:pt>
                <c:pt idx="2722" formatCode="#,##0">
                  <c:v>1258</c:v>
                </c:pt>
                <c:pt idx="2723" formatCode="#,##0">
                  <c:v>1100</c:v>
                </c:pt>
                <c:pt idx="2724" formatCode="#,##0">
                  <c:v>1055</c:v>
                </c:pt>
                <c:pt idx="2725">
                  <c:v>931</c:v>
                </c:pt>
                <c:pt idx="2726" formatCode="#,##0">
                  <c:v>1100</c:v>
                </c:pt>
                <c:pt idx="2727" formatCode="#,##0">
                  <c:v>1774</c:v>
                </c:pt>
                <c:pt idx="2728" formatCode="#,##0">
                  <c:v>1289</c:v>
                </c:pt>
                <c:pt idx="2729" formatCode="#,##0">
                  <c:v>1332</c:v>
                </c:pt>
                <c:pt idx="2730" formatCode="#,##0">
                  <c:v>1223</c:v>
                </c:pt>
                <c:pt idx="2731" formatCode="#,##0">
                  <c:v>1075</c:v>
                </c:pt>
                <c:pt idx="2732" formatCode="#,##0">
                  <c:v>1060</c:v>
                </c:pt>
                <c:pt idx="2733" formatCode="#,##0">
                  <c:v>1057</c:v>
                </c:pt>
                <c:pt idx="2734" formatCode="#,##0">
                  <c:v>1069</c:v>
                </c:pt>
                <c:pt idx="2735">
                  <c:v>937</c:v>
                </c:pt>
                <c:pt idx="2736" formatCode="#,##0">
                  <c:v>1353</c:v>
                </c:pt>
                <c:pt idx="2737" formatCode="#,##0">
                  <c:v>1370</c:v>
                </c:pt>
                <c:pt idx="2738" formatCode="#,##0">
                  <c:v>1000</c:v>
                </c:pt>
                <c:pt idx="2739" formatCode="#,##0">
                  <c:v>1347</c:v>
                </c:pt>
                <c:pt idx="2740" formatCode="#,##0">
                  <c:v>1109</c:v>
                </c:pt>
                <c:pt idx="2741" formatCode="#,##0">
                  <c:v>1732</c:v>
                </c:pt>
                <c:pt idx="2742" formatCode="#,##0">
                  <c:v>1452</c:v>
                </c:pt>
                <c:pt idx="2743" formatCode="#,##0">
                  <c:v>1475</c:v>
                </c:pt>
                <c:pt idx="2744" formatCode="#,##0">
                  <c:v>1287</c:v>
                </c:pt>
                <c:pt idx="2745">
                  <c:v>919</c:v>
                </c:pt>
                <c:pt idx="2746" formatCode="#,##0">
                  <c:v>1500</c:v>
                </c:pt>
                <c:pt idx="2747" formatCode="#,##0">
                  <c:v>1545</c:v>
                </c:pt>
                <c:pt idx="2748" formatCode="#,##0">
                  <c:v>1000</c:v>
                </c:pt>
                <c:pt idx="2749" formatCode="#,##0">
                  <c:v>1160</c:v>
                </c:pt>
                <c:pt idx="2750" formatCode="#,##0">
                  <c:v>1036</c:v>
                </c:pt>
                <c:pt idx="2751" formatCode="#,##0">
                  <c:v>1145</c:v>
                </c:pt>
                <c:pt idx="2752" formatCode="#,##0">
                  <c:v>1505</c:v>
                </c:pt>
                <c:pt idx="2753" formatCode="#,##0">
                  <c:v>1308</c:v>
                </c:pt>
                <c:pt idx="2754" formatCode="#,##0">
                  <c:v>1527</c:v>
                </c:pt>
                <c:pt idx="2755" formatCode="#,##0">
                  <c:v>1249</c:v>
                </c:pt>
                <c:pt idx="2756">
                  <c:v>906</c:v>
                </c:pt>
                <c:pt idx="2757" formatCode="#,##0">
                  <c:v>1505</c:v>
                </c:pt>
                <c:pt idx="2758" formatCode="#,##0">
                  <c:v>1340</c:v>
                </c:pt>
                <c:pt idx="2759" formatCode="#,##0">
                  <c:v>1026</c:v>
                </c:pt>
                <c:pt idx="2760" formatCode="#,##0">
                  <c:v>1737</c:v>
                </c:pt>
                <c:pt idx="2761" formatCode="#,##0">
                  <c:v>1500</c:v>
                </c:pt>
                <c:pt idx="2762" formatCode="#,##0">
                  <c:v>1453</c:v>
                </c:pt>
                <c:pt idx="2763" formatCode="#,##0">
                  <c:v>1026</c:v>
                </c:pt>
                <c:pt idx="2764" formatCode="#,##0">
                  <c:v>1471</c:v>
                </c:pt>
                <c:pt idx="2765" formatCode="#,##0">
                  <c:v>1143</c:v>
                </c:pt>
                <c:pt idx="2766" formatCode="#,##0">
                  <c:v>1610</c:v>
                </c:pt>
                <c:pt idx="2767" formatCode="#,##0">
                  <c:v>1571</c:v>
                </c:pt>
                <c:pt idx="2768" formatCode="#,##0">
                  <c:v>2189</c:v>
                </c:pt>
                <c:pt idx="2769" formatCode="#,##0">
                  <c:v>1136</c:v>
                </c:pt>
                <c:pt idx="2770" formatCode="#,##0">
                  <c:v>1366</c:v>
                </c:pt>
                <c:pt idx="2771" formatCode="#,##0">
                  <c:v>1686</c:v>
                </c:pt>
                <c:pt idx="2772" formatCode="#,##0">
                  <c:v>1020</c:v>
                </c:pt>
                <c:pt idx="2773" formatCode="#,##0">
                  <c:v>1015</c:v>
                </c:pt>
                <c:pt idx="2774" formatCode="#,##0">
                  <c:v>1350</c:v>
                </c:pt>
                <c:pt idx="2775" formatCode="#,##0">
                  <c:v>1000</c:v>
                </c:pt>
                <c:pt idx="2776" formatCode="#,##0">
                  <c:v>1197</c:v>
                </c:pt>
                <c:pt idx="2777" formatCode="#,##0">
                  <c:v>1189</c:v>
                </c:pt>
                <c:pt idx="2778" formatCode="#,##0">
                  <c:v>1255</c:v>
                </c:pt>
                <c:pt idx="2779" formatCode="#,##0">
                  <c:v>1852</c:v>
                </c:pt>
                <c:pt idx="2780" formatCode="#,##0">
                  <c:v>1205</c:v>
                </c:pt>
                <c:pt idx="2781" formatCode="#,##0">
                  <c:v>1218</c:v>
                </c:pt>
                <c:pt idx="2782" formatCode="#,##0">
                  <c:v>1194</c:v>
                </c:pt>
                <c:pt idx="2783">
                  <c:v>988</c:v>
                </c:pt>
                <c:pt idx="2784" formatCode="#,##0">
                  <c:v>1252</c:v>
                </c:pt>
                <c:pt idx="2785" formatCode="#,##0">
                  <c:v>1291</c:v>
                </c:pt>
                <c:pt idx="2786">
                  <c:v>968</c:v>
                </c:pt>
                <c:pt idx="2787" formatCode="#,##0">
                  <c:v>1008</c:v>
                </c:pt>
                <c:pt idx="2788" formatCode="#,##0">
                  <c:v>1210</c:v>
                </c:pt>
                <c:pt idx="2789">
                  <c:v>972</c:v>
                </c:pt>
                <c:pt idx="2790" formatCode="#,##0">
                  <c:v>2071</c:v>
                </c:pt>
                <c:pt idx="2791" formatCode="#,##0">
                  <c:v>1276</c:v>
                </c:pt>
                <c:pt idx="2792" formatCode="#,##0">
                  <c:v>1858</c:v>
                </c:pt>
                <c:pt idx="2793" formatCode="#,##0">
                  <c:v>1066</c:v>
                </c:pt>
                <c:pt idx="2794" formatCode="#,##0">
                  <c:v>1055</c:v>
                </c:pt>
                <c:pt idx="2795" formatCode="#,##0">
                  <c:v>1080</c:v>
                </c:pt>
                <c:pt idx="2796">
                  <c:v>950</c:v>
                </c:pt>
                <c:pt idx="2797" formatCode="#,##0">
                  <c:v>2316</c:v>
                </c:pt>
                <c:pt idx="2798" formatCode="#,##0">
                  <c:v>1091</c:v>
                </c:pt>
                <c:pt idx="2799" formatCode="#,##0">
                  <c:v>1555</c:v>
                </c:pt>
                <c:pt idx="2800" formatCode="#,##0">
                  <c:v>1533</c:v>
                </c:pt>
                <c:pt idx="2801" formatCode="#,##0">
                  <c:v>1117</c:v>
                </c:pt>
                <c:pt idx="2802" formatCode="#,##0">
                  <c:v>1157</c:v>
                </c:pt>
                <c:pt idx="2803" formatCode="#,##0">
                  <c:v>1231</c:v>
                </c:pt>
                <c:pt idx="2804">
                  <c:v>912</c:v>
                </c:pt>
                <c:pt idx="2805" formatCode="#,##0">
                  <c:v>1476</c:v>
                </c:pt>
                <c:pt idx="2806">
                  <c:v>926</c:v>
                </c:pt>
                <c:pt idx="2807" formatCode="#,##0">
                  <c:v>1428</c:v>
                </c:pt>
                <c:pt idx="2808">
                  <c:v>950</c:v>
                </c:pt>
                <c:pt idx="2809" formatCode="#,##0">
                  <c:v>1436</c:v>
                </c:pt>
                <c:pt idx="2810" formatCode="#,##0">
                  <c:v>1268</c:v>
                </c:pt>
                <c:pt idx="2811" formatCode="#,##0">
                  <c:v>1504</c:v>
                </c:pt>
                <c:pt idx="2812" formatCode="#,##0">
                  <c:v>1381</c:v>
                </c:pt>
                <c:pt idx="2813">
                  <c:v>979</c:v>
                </c:pt>
                <c:pt idx="2814" formatCode="#,##0">
                  <c:v>1200</c:v>
                </c:pt>
                <c:pt idx="2815" formatCode="#,##0">
                  <c:v>1142</c:v>
                </c:pt>
                <c:pt idx="2816" formatCode="#,##0">
                  <c:v>1390</c:v>
                </c:pt>
                <c:pt idx="2817" formatCode="#,##0">
                  <c:v>1100</c:v>
                </c:pt>
                <c:pt idx="2818" formatCode="#,##0">
                  <c:v>1270</c:v>
                </c:pt>
                <c:pt idx="2819" formatCode="#,##0">
                  <c:v>1312</c:v>
                </c:pt>
                <c:pt idx="2820" formatCode="#,##0">
                  <c:v>1487</c:v>
                </c:pt>
                <c:pt idx="2821" formatCode="#,##0">
                  <c:v>1003</c:v>
                </c:pt>
                <c:pt idx="2822" formatCode="#,##0">
                  <c:v>1450</c:v>
                </c:pt>
                <c:pt idx="2823" formatCode="#,##0">
                  <c:v>1184</c:v>
                </c:pt>
                <c:pt idx="2824">
                  <c:v>794</c:v>
                </c:pt>
                <c:pt idx="2825" formatCode="#,##0">
                  <c:v>1000</c:v>
                </c:pt>
                <c:pt idx="2826" formatCode="#,##0">
                  <c:v>1035</c:v>
                </c:pt>
                <c:pt idx="2827">
                  <c:v>900</c:v>
                </c:pt>
                <c:pt idx="2828" formatCode="#,##0">
                  <c:v>1498</c:v>
                </c:pt>
                <c:pt idx="2829" formatCode="#,##0">
                  <c:v>1416</c:v>
                </c:pt>
                <c:pt idx="2830" formatCode="#,##0">
                  <c:v>1768</c:v>
                </c:pt>
                <c:pt idx="2831" formatCode="#,##0">
                  <c:v>1424</c:v>
                </c:pt>
                <c:pt idx="2832" formatCode="#,##0">
                  <c:v>1007</c:v>
                </c:pt>
                <c:pt idx="2833">
                  <c:v>992</c:v>
                </c:pt>
                <c:pt idx="2834" formatCode="#,##0">
                  <c:v>1215</c:v>
                </c:pt>
                <c:pt idx="2835" formatCode="#,##0">
                  <c:v>1638</c:v>
                </c:pt>
                <c:pt idx="2836" formatCode="#,##0">
                  <c:v>1226</c:v>
                </c:pt>
                <c:pt idx="2837" formatCode="#,##0">
                  <c:v>1250</c:v>
                </c:pt>
                <c:pt idx="2838" formatCode="#,##0">
                  <c:v>2544</c:v>
                </c:pt>
                <c:pt idx="2839" formatCode="#,##0">
                  <c:v>2376</c:v>
                </c:pt>
                <c:pt idx="2840" formatCode="#,##0">
                  <c:v>1160</c:v>
                </c:pt>
                <c:pt idx="2841" formatCode="#,##0">
                  <c:v>1200</c:v>
                </c:pt>
                <c:pt idx="2842" formatCode="#,##0">
                  <c:v>1122</c:v>
                </c:pt>
                <c:pt idx="2843" formatCode="#,##0">
                  <c:v>1490</c:v>
                </c:pt>
                <c:pt idx="2844">
                  <c:v>961</c:v>
                </c:pt>
                <c:pt idx="2845" formatCode="#,##0">
                  <c:v>1342</c:v>
                </c:pt>
                <c:pt idx="2846" formatCode="#,##0">
                  <c:v>1185</c:v>
                </c:pt>
                <c:pt idx="2847" formatCode="#,##0">
                  <c:v>1308</c:v>
                </c:pt>
                <c:pt idx="2848" formatCode="#,##0">
                  <c:v>1570</c:v>
                </c:pt>
                <c:pt idx="2849" formatCode="#,##0">
                  <c:v>1100</c:v>
                </c:pt>
                <c:pt idx="2850" formatCode="#,##0">
                  <c:v>1218</c:v>
                </c:pt>
                <c:pt idx="2851" formatCode="#,##0">
                  <c:v>1450</c:v>
                </c:pt>
                <c:pt idx="2852" formatCode="#,##0">
                  <c:v>1890</c:v>
                </c:pt>
                <c:pt idx="2853">
                  <c:v>957</c:v>
                </c:pt>
                <c:pt idx="2854" formatCode="#,##0">
                  <c:v>1256</c:v>
                </c:pt>
                <c:pt idx="2855" formatCode="#,##0">
                  <c:v>1630</c:v>
                </c:pt>
                <c:pt idx="2856" formatCode="#,##0">
                  <c:v>1394</c:v>
                </c:pt>
                <c:pt idx="2857" formatCode="#,##0">
                  <c:v>1208</c:v>
                </c:pt>
                <c:pt idx="2858" formatCode="#,##0">
                  <c:v>1253</c:v>
                </c:pt>
                <c:pt idx="2859" formatCode="#,##0">
                  <c:v>1517</c:v>
                </c:pt>
                <c:pt idx="2860" formatCode="#,##0">
                  <c:v>1382</c:v>
                </c:pt>
                <c:pt idx="2861" formatCode="#,##0">
                  <c:v>1107</c:v>
                </c:pt>
                <c:pt idx="2862" formatCode="#,##0">
                  <c:v>1189</c:v>
                </c:pt>
                <c:pt idx="2863" formatCode="#,##0">
                  <c:v>1356</c:v>
                </c:pt>
                <c:pt idx="2864" formatCode="#,##0">
                  <c:v>1281</c:v>
                </c:pt>
                <c:pt idx="2865" formatCode="#,##0">
                  <c:v>1400</c:v>
                </c:pt>
                <c:pt idx="2866" formatCode="#,##0">
                  <c:v>1371</c:v>
                </c:pt>
                <c:pt idx="2867" formatCode="#,##0">
                  <c:v>2016</c:v>
                </c:pt>
                <c:pt idx="2868" formatCode="#,##0">
                  <c:v>1464</c:v>
                </c:pt>
                <c:pt idx="2869" formatCode="#,##0">
                  <c:v>1464</c:v>
                </c:pt>
                <c:pt idx="2870" formatCode="#,##0">
                  <c:v>1505</c:v>
                </c:pt>
                <c:pt idx="2871" formatCode="#,##0">
                  <c:v>1071</c:v>
                </c:pt>
                <c:pt idx="2872" formatCode="#,##0">
                  <c:v>1571</c:v>
                </c:pt>
                <c:pt idx="2873" formatCode="#,##0">
                  <c:v>1520</c:v>
                </c:pt>
                <c:pt idx="2874" formatCode="#,##0">
                  <c:v>1008</c:v>
                </c:pt>
                <c:pt idx="2875" formatCode="#,##0">
                  <c:v>1437</c:v>
                </c:pt>
                <c:pt idx="2876" formatCode="#,##0">
                  <c:v>1216</c:v>
                </c:pt>
                <c:pt idx="2877" formatCode="#,##0">
                  <c:v>1090</c:v>
                </c:pt>
                <c:pt idx="2878" formatCode="#,##0">
                  <c:v>1583</c:v>
                </c:pt>
                <c:pt idx="2879" formatCode="#,##0">
                  <c:v>1436</c:v>
                </c:pt>
                <c:pt idx="2880" formatCode="#,##0">
                  <c:v>1519</c:v>
                </c:pt>
                <c:pt idx="2881" formatCode="#,##0">
                  <c:v>1200</c:v>
                </c:pt>
                <c:pt idx="2882" formatCode="#,##0">
                  <c:v>1059</c:v>
                </c:pt>
                <c:pt idx="2883" formatCode="#,##0">
                  <c:v>1511</c:v>
                </c:pt>
                <c:pt idx="2884" formatCode="#,##0">
                  <c:v>1215</c:v>
                </c:pt>
                <c:pt idx="2885" formatCode="#,##0">
                  <c:v>1386</c:v>
                </c:pt>
                <c:pt idx="2886" formatCode="#,##0">
                  <c:v>1000</c:v>
                </c:pt>
                <c:pt idx="2887">
                  <c:v>944</c:v>
                </c:pt>
                <c:pt idx="2888" formatCode="#,##0">
                  <c:v>1478</c:v>
                </c:pt>
                <c:pt idx="2889" formatCode="#,##0">
                  <c:v>1572</c:v>
                </c:pt>
                <c:pt idx="2890" formatCode="#,##0">
                  <c:v>1647</c:v>
                </c:pt>
                <c:pt idx="2891" formatCode="#,##0">
                  <c:v>1032</c:v>
                </c:pt>
                <c:pt idx="2892" formatCode="#,##0">
                  <c:v>1240</c:v>
                </c:pt>
                <c:pt idx="2893" formatCode="#,##0">
                  <c:v>1295</c:v>
                </c:pt>
                <c:pt idx="2894" formatCode="#,##0">
                  <c:v>1365</c:v>
                </c:pt>
                <c:pt idx="2895" formatCode="#,##0">
                  <c:v>1449</c:v>
                </c:pt>
                <c:pt idx="2896" formatCode="#,##0">
                  <c:v>1400</c:v>
                </c:pt>
                <c:pt idx="2897" formatCode="#,##0">
                  <c:v>1495</c:v>
                </c:pt>
                <c:pt idx="2898" formatCode="#,##0">
                  <c:v>2052</c:v>
                </c:pt>
                <c:pt idx="2899" formatCode="#,##0">
                  <c:v>1520</c:v>
                </c:pt>
                <c:pt idx="2900" formatCode="#,##0">
                  <c:v>1920</c:v>
                </c:pt>
                <c:pt idx="2901" formatCode="#,##0">
                  <c:v>1124</c:v>
                </c:pt>
                <c:pt idx="2902" formatCode="#,##0">
                  <c:v>1595</c:v>
                </c:pt>
                <c:pt idx="2903" formatCode="#,##0">
                  <c:v>1250</c:v>
                </c:pt>
                <c:pt idx="2904" formatCode="#,##0">
                  <c:v>1112</c:v>
                </c:pt>
                <c:pt idx="2905" formatCode="#,##0">
                  <c:v>1390</c:v>
                </c:pt>
                <c:pt idx="2906" formatCode="#,##0">
                  <c:v>1570</c:v>
                </c:pt>
                <c:pt idx="2907" formatCode="#,##0">
                  <c:v>1050</c:v>
                </c:pt>
                <c:pt idx="2908" formatCode="#,##0">
                  <c:v>1400</c:v>
                </c:pt>
                <c:pt idx="2909" formatCode="#,##0">
                  <c:v>1464</c:v>
                </c:pt>
                <c:pt idx="2910" formatCode="#,##0">
                  <c:v>1403</c:v>
                </c:pt>
                <c:pt idx="2911" formatCode="#,##0">
                  <c:v>1003</c:v>
                </c:pt>
                <c:pt idx="2912" formatCode="#,##0">
                  <c:v>1366</c:v>
                </c:pt>
                <c:pt idx="2913" formatCode="#,##0">
                  <c:v>1531</c:v>
                </c:pt>
                <c:pt idx="2914" formatCode="#,##0">
                  <c:v>1000</c:v>
                </c:pt>
                <c:pt idx="2915" formatCode="#,##0">
                  <c:v>1469</c:v>
                </c:pt>
                <c:pt idx="2916" formatCode="#,##0">
                  <c:v>1300</c:v>
                </c:pt>
                <c:pt idx="2917" formatCode="#,##0">
                  <c:v>1185</c:v>
                </c:pt>
                <c:pt idx="2918" formatCode="#,##0">
                  <c:v>1791</c:v>
                </c:pt>
                <c:pt idx="2919" formatCode="#,##0">
                  <c:v>1102</c:v>
                </c:pt>
                <c:pt idx="2920" formatCode="#,##0">
                  <c:v>1329</c:v>
                </c:pt>
                <c:pt idx="2921" formatCode="#,##0">
                  <c:v>1706</c:v>
                </c:pt>
                <c:pt idx="2922" formatCode="#,##0">
                  <c:v>1131</c:v>
                </c:pt>
                <c:pt idx="2923" formatCode="#,##0">
                  <c:v>1003</c:v>
                </c:pt>
                <c:pt idx="2924" formatCode="#,##0">
                  <c:v>1261</c:v>
                </c:pt>
                <c:pt idx="2925" formatCode="#,##0">
                  <c:v>1541</c:v>
                </c:pt>
                <c:pt idx="2926" formatCode="#,##0">
                  <c:v>1118</c:v>
                </c:pt>
                <c:pt idx="2927" formatCode="#,##0">
                  <c:v>1256</c:v>
                </c:pt>
                <c:pt idx="2928" formatCode="#,##0">
                  <c:v>1315</c:v>
                </c:pt>
                <c:pt idx="2929" formatCode="#,##0">
                  <c:v>1537</c:v>
                </c:pt>
                <c:pt idx="2930" formatCode="#,##0">
                  <c:v>1786</c:v>
                </c:pt>
                <c:pt idx="2931" formatCode="#,##0">
                  <c:v>1583</c:v>
                </c:pt>
                <c:pt idx="2932" formatCode="#,##0">
                  <c:v>1923</c:v>
                </c:pt>
                <c:pt idx="2933" formatCode="#,##0">
                  <c:v>1785</c:v>
                </c:pt>
                <c:pt idx="2934" formatCode="#,##0">
                  <c:v>1608</c:v>
                </c:pt>
                <c:pt idx="2935" formatCode="#,##0">
                  <c:v>2500</c:v>
                </c:pt>
                <c:pt idx="2936" formatCode="#,##0">
                  <c:v>1390</c:v>
                </c:pt>
                <c:pt idx="2937" formatCode="#,##0">
                  <c:v>1321</c:v>
                </c:pt>
                <c:pt idx="2938" formatCode="#,##0">
                  <c:v>1253</c:v>
                </c:pt>
                <c:pt idx="2939" formatCode="#,##0">
                  <c:v>1554</c:v>
                </c:pt>
                <c:pt idx="2940" formatCode="#,##0">
                  <c:v>1632</c:v>
                </c:pt>
                <c:pt idx="2941" formatCode="#,##0">
                  <c:v>1250</c:v>
                </c:pt>
                <c:pt idx="2942" formatCode="#,##0">
                  <c:v>1807</c:v>
                </c:pt>
                <c:pt idx="2943" formatCode="#,##0">
                  <c:v>1608</c:v>
                </c:pt>
                <c:pt idx="2944" formatCode="#,##0">
                  <c:v>1587</c:v>
                </c:pt>
                <c:pt idx="2945" formatCode="#,##0">
                  <c:v>1488</c:v>
                </c:pt>
                <c:pt idx="2946" formatCode="#,##0">
                  <c:v>1546</c:v>
                </c:pt>
                <c:pt idx="2947" formatCode="#,##0">
                  <c:v>1675</c:v>
                </c:pt>
                <c:pt idx="2948" formatCode="#,##0">
                  <c:v>1451</c:v>
                </c:pt>
                <c:pt idx="2949" formatCode="#,##0">
                  <c:v>1152</c:v>
                </c:pt>
                <c:pt idx="2950" formatCode="#,##0">
                  <c:v>1438</c:v>
                </c:pt>
                <c:pt idx="2951" formatCode="#,##0">
                  <c:v>1602</c:v>
                </c:pt>
                <c:pt idx="2952" formatCode="#,##0">
                  <c:v>1143</c:v>
                </c:pt>
                <c:pt idx="2953" formatCode="#,##0">
                  <c:v>1550</c:v>
                </c:pt>
                <c:pt idx="2954" formatCode="#,##0">
                  <c:v>1565</c:v>
                </c:pt>
                <c:pt idx="2955" formatCode="#,##0">
                  <c:v>1347</c:v>
                </c:pt>
                <c:pt idx="2956" formatCode="#,##0">
                  <c:v>1350</c:v>
                </c:pt>
                <c:pt idx="2957" formatCode="#,##0">
                  <c:v>1981</c:v>
                </c:pt>
                <c:pt idx="2958" formatCode="#,##0">
                  <c:v>2000</c:v>
                </c:pt>
                <c:pt idx="2959" formatCode="#,##0">
                  <c:v>1200</c:v>
                </c:pt>
                <c:pt idx="2960">
                  <c:v>960</c:v>
                </c:pt>
                <c:pt idx="2961" formatCode="#,##0">
                  <c:v>1531</c:v>
                </c:pt>
                <c:pt idx="2962" formatCode="#,##0">
                  <c:v>1917</c:v>
                </c:pt>
                <c:pt idx="2963" formatCode="#,##0">
                  <c:v>1367</c:v>
                </c:pt>
                <c:pt idx="2964" formatCode="#,##0">
                  <c:v>1628</c:v>
                </c:pt>
                <c:pt idx="2965" formatCode="#,##0">
                  <c:v>1066</c:v>
                </c:pt>
                <c:pt idx="2966" formatCode="#,##0">
                  <c:v>1400</c:v>
                </c:pt>
                <c:pt idx="2967" formatCode="#,##0">
                  <c:v>1356</c:v>
                </c:pt>
                <c:pt idx="2968" formatCode="#,##0">
                  <c:v>1831</c:v>
                </c:pt>
                <c:pt idx="2969" formatCode="#,##0">
                  <c:v>1253</c:v>
                </c:pt>
                <c:pt idx="2970" formatCode="#,##0">
                  <c:v>1438</c:v>
                </c:pt>
                <c:pt idx="2971" formatCode="#,##0">
                  <c:v>1267</c:v>
                </c:pt>
                <c:pt idx="2972" formatCode="#,##0">
                  <c:v>1800</c:v>
                </c:pt>
                <c:pt idx="2973" formatCode="#,##0">
                  <c:v>1520</c:v>
                </c:pt>
                <c:pt idx="2974" formatCode="#,##0">
                  <c:v>1453</c:v>
                </c:pt>
                <c:pt idx="2975">
                  <c:v>912</c:v>
                </c:pt>
                <c:pt idx="2976" formatCode="#,##0">
                  <c:v>1477</c:v>
                </c:pt>
                <c:pt idx="2977" formatCode="#,##0">
                  <c:v>1524</c:v>
                </c:pt>
                <c:pt idx="2978" formatCode="#,##0">
                  <c:v>1742</c:v>
                </c:pt>
                <c:pt idx="2979" formatCode="#,##0">
                  <c:v>1344</c:v>
                </c:pt>
                <c:pt idx="2980" formatCode="#,##0">
                  <c:v>1344</c:v>
                </c:pt>
                <c:pt idx="2981" formatCode="#,##0">
                  <c:v>1728</c:v>
                </c:pt>
                <c:pt idx="2982" formatCode="#,##0">
                  <c:v>1800</c:v>
                </c:pt>
                <c:pt idx="2983" formatCode="#,##0">
                  <c:v>1909</c:v>
                </c:pt>
                <c:pt idx="2984" formatCode="#,##0">
                  <c:v>1248</c:v>
                </c:pt>
                <c:pt idx="2985" formatCode="#,##0">
                  <c:v>1596</c:v>
                </c:pt>
                <c:pt idx="2986" formatCode="#,##0">
                  <c:v>1416</c:v>
                </c:pt>
                <c:pt idx="2987" formatCode="#,##0">
                  <c:v>1499</c:v>
                </c:pt>
                <c:pt idx="2988" formatCode="#,##0">
                  <c:v>1434</c:v>
                </c:pt>
                <c:pt idx="2989" formatCode="#,##0">
                  <c:v>1680</c:v>
                </c:pt>
                <c:pt idx="2990" formatCode="#,##0">
                  <c:v>1433</c:v>
                </c:pt>
                <c:pt idx="2991" formatCode="#,##0">
                  <c:v>1878</c:v>
                </c:pt>
                <c:pt idx="2992" formatCode="#,##0">
                  <c:v>1548</c:v>
                </c:pt>
                <c:pt idx="2993" formatCode="#,##0">
                  <c:v>1647</c:v>
                </c:pt>
                <c:pt idx="2994" formatCode="#,##0">
                  <c:v>1647</c:v>
                </c:pt>
                <c:pt idx="2995" formatCode="#,##0">
                  <c:v>1486</c:v>
                </c:pt>
                <c:pt idx="2996" formatCode="#,##0">
                  <c:v>1767</c:v>
                </c:pt>
                <c:pt idx="2997" formatCode="#,##0">
                  <c:v>1622</c:v>
                </c:pt>
                <c:pt idx="2998" formatCode="#,##0">
                  <c:v>1432</c:v>
                </c:pt>
                <c:pt idx="2999" formatCode="#,##0">
                  <c:v>1231</c:v>
                </c:pt>
                <c:pt idx="3000" formatCode="#,##0">
                  <c:v>1344</c:v>
                </c:pt>
                <c:pt idx="3001" formatCode="#,##0">
                  <c:v>1361</c:v>
                </c:pt>
                <c:pt idx="3002" formatCode="#,##0">
                  <c:v>1550</c:v>
                </c:pt>
                <c:pt idx="3003" formatCode="#,##0">
                  <c:v>1319</c:v>
                </c:pt>
                <c:pt idx="3004" formatCode="#,##0">
                  <c:v>1628</c:v>
                </c:pt>
                <c:pt idx="3005" formatCode="#,##0">
                  <c:v>1144</c:v>
                </c:pt>
                <c:pt idx="3006" formatCode="#,##0">
                  <c:v>1876</c:v>
                </c:pt>
                <c:pt idx="3007" formatCode="#,##0">
                  <c:v>1796</c:v>
                </c:pt>
                <c:pt idx="3008" formatCode="#,##0">
                  <c:v>1456</c:v>
                </c:pt>
                <c:pt idx="3009" formatCode="#,##0">
                  <c:v>1436</c:v>
                </c:pt>
                <c:pt idx="3010" formatCode="#,##0">
                  <c:v>1728</c:v>
                </c:pt>
                <c:pt idx="3011" formatCode="#,##0">
                  <c:v>1652</c:v>
                </c:pt>
                <c:pt idx="3012" formatCode="#,##0">
                  <c:v>1090</c:v>
                </c:pt>
                <c:pt idx="3013" formatCode="#,##0">
                  <c:v>1302</c:v>
                </c:pt>
                <c:pt idx="3014" formatCode="#,##0">
                  <c:v>1012</c:v>
                </c:pt>
                <c:pt idx="3015" formatCode="#,##0">
                  <c:v>1566</c:v>
                </c:pt>
                <c:pt idx="3016" formatCode="#,##0">
                  <c:v>1511</c:v>
                </c:pt>
                <c:pt idx="3017" formatCode="#,##0">
                  <c:v>1356</c:v>
                </c:pt>
                <c:pt idx="3018" formatCode="#,##0">
                  <c:v>1308</c:v>
                </c:pt>
                <c:pt idx="3019" formatCode="#,##0">
                  <c:v>1182</c:v>
                </c:pt>
                <c:pt idx="3020" formatCode="#,##0">
                  <c:v>1137</c:v>
                </c:pt>
                <c:pt idx="3021" formatCode="#,##0">
                  <c:v>1460</c:v>
                </c:pt>
                <c:pt idx="3022" formatCode="#,##0">
                  <c:v>1532</c:v>
                </c:pt>
                <c:pt idx="3023" formatCode="#,##0">
                  <c:v>1571</c:v>
                </c:pt>
                <c:pt idx="3024" formatCode="#,##0">
                  <c:v>1197</c:v>
                </c:pt>
                <c:pt idx="3025" formatCode="#,##0">
                  <c:v>1484</c:v>
                </c:pt>
                <c:pt idx="3026" formatCode="#,##0">
                  <c:v>1601</c:v>
                </c:pt>
                <c:pt idx="3027" formatCode="#,##0">
                  <c:v>1350</c:v>
                </c:pt>
                <c:pt idx="3028" formatCode="#,##0">
                  <c:v>1374</c:v>
                </c:pt>
                <c:pt idx="3029" formatCode="#,##0">
                  <c:v>2017</c:v>
                </c:pt>
                <c:pt idx="3030" formatCode="#,##0">
                  <c:v>1698</c:v>
                </c:pt>
                <c:pt idx="3031" formatCode="#,##0">
                  <c:v>1800</c:v>
                </c:pt>
                <c:pt idx="3032" formatCode="#,##0">
                  <c:v>1749</c:v>
                </c:pt>
                <c:pt idx="3033" formatCode="#,##0">
                  <c:v>1482</c:v>
                </c:pt>
                <c:pt idx="3034" formatCode="#,##0">
                  <c:v>1808</c:v>
                </c:pt>
                <c:pt idx="3035" formatCode="#,##0">
                  <c:v>1298</c:v>
                </c:pt>
                <c:pt idx="3036" formatCode="#,##0">
                  <c:v>1599</c:v>
                </c:pt>
                <c:pt idx="3037" formatCode="#,##0">
                  <c:v>1512</c:v>
                </c:pt>
                <c:pt idx="3038" formatCode="#,##0">
                  <c:v>2250</c:v>
                </c:pt>
                <c:pt idx="3039" formatCode="#,##0">
                  <c:v>1100</c:v>
                </c:pt>
                <c:pt idx="3040" formatCode="#,##0">
                  <c:v>1084</c:v>
                </c:pt>
                <c:pt idx="3041" formatCode="#,##0">
                  <c:v>1300</c:v>
                </c:pt>
                <c:pt idx="3042" formatCode="#,##0">
                  <c:v>1547</c:v>
                </c:pt>
                <c:pt idx="3043" formatCode="#,##0">
                  <c:v>1398</c:v>
                </c:pt>
                <c:pt idx="3044" formatCode="#,##0">
                  <c:v>1386</c:v>
                </c:pt>
                <c:pt idx="3045" formatCode="#,##0">
                  <c:v>1567</c:v>
                </c:pt>
                <c:pt idx="3046" formatCode="#,##0">
                  <c:v>1844</c:v>
                </c:pt>
                <c:pt idx="3047" formatCode="#,##0">
                  <c:v>2047</c:v>
                </c:pt>
                <c:pt idx="3048" formatCode="#,##0">
                  <c:v>1536</c:v>
                </c:pt>
                <c:pt idx="3049" formatCode="#,##0">
                  <c:v>1634</c:v>
                </c:pt>
                <c:pt idx="3050" formatCode="#,##0">
                  <c:v>2131</c:v>
                </c:pt>
                <c:pt idx="3051" formatCode="#,##0">
                  <c:v>1342</c:v>
                </c:pt>
                <c:pt idx="3052" formatCode="#,##0">
                  <c:v>1926</c:v>
                </c:pt>
                <c:pt idx="3053" formatCode="#,##0">
                  <c:v>1542</c:v>
                </c:pt>
                <c:pt idx="3054" formatCode="#,##0">
                  <c:v>1801</c:v>
                </c:pt>
                <c:pt idx="3055" formatCode="#,##0">
                  <c:v>1322</c:v>
                </c:pt>
                <c:pt idx="3056" formatCode="#,##0">
                  <c:v>1780</c:v>
                </c:pt>
                <c:pt idx="3057" formatCode="#,##0">
                  <c:v>1520</c:v>
                </c:pt>
                <c:pt idx="3058" formatCode="#,##0">
                  <c:v>1906</c:v>
                </c:pt>
                <c:pt idx="3059" formatCode="#,##0">
                  <c:v>1520</c:v>
                </c:pt>
                <c:pt idx="3060" formatCode="#,##0">
                  <c:v>1882</c:v>
                </c:pt>
                <c:pt idx="3061" formatCode="#,##0">
                  <c:v>1743</c:v>
                </c:pt>
                <c:pt idx="3062" formatCode="#,##0">
                  <c:v>1469</c:v>
                </c:pt>
                <c:pt idx="3063" formatCode="#,##0">
                  <c:v>1136</c:v>
                </c:pt>
                <c:pt idx="3064" formatCode="#,##0">
                  <c:v>1785</c:v>
                </c:pt>
                <c:pt idx="3065" formatCode="#,##0">
                  <c:v>1691</c:v>
                </c:pt>
                <c:pt idx="3066" formatCode="#,##0">
                  <c:v>1270</c:v>
                </c:pt>
                <c:pt idx="3067" formatCode="#,##0">
                  <c:v>1528</c:v>
                </c:pt>
                <c:pt idx="3068" formatCode="#,##0">
                  <c:v>1796</c:v>
                </c:pt>
                <c:pt idx="3069" formatCode="#,##0">
                  <c:v>1456</c:v>
                </c:pt>
                <c:pt idx="3070" formatCode="#,##0">
                  <c:v>1376</c:v>
                </c:pt>
                <c:pt idx="3071" formatCode="#,##0">
                  <c:v>1478</c:v>
                </c:pt>
                <c:pt idx="3072" formatCode="#,##0">
                  <c:v>2000</c:v>
                </c:pt>
                <c:pt idx="3073" formatCode="#,##0">
                  <c:v>1248</c:v>
                </c:pt>
                <c:pt idx="3074" formatCode="#,##0">
                  <c:v>1608</c:v>
                </c:pt>
                <c:pt idx="3075" formatCode="#,##0">
                  <c:v>1724</c:v>
                </c:pt>
                <c:pt idx="3076" formatCode="#,##0">
                  <c:v>1976</c:v>
                </c:pt>
                <c:pt idx="3077" formatCode="#,##0">
                  <c:v>1514</c:v>
                </c:pt>
                <c:pt idx="3078" formatCode="#,##0">
                  <c:v>1733</c:v>
                </c:pt>
                <c:pt idx="3079" formatCode="#,##0">
                  <c:v>1761</c:v>
                </c:pt>
                <c:pt idx="3080" formatCode="#,##0">
                  <c:v>1436</c:v>
                </c:pt>
                <c:pt idx="3081" formatCode="#,##0">
                  <c:v>1406</c:v>
                </c:pt>
                <c:pt idx="3082" formatCode="#,##0">
                  <c:v>1526</c:v>
                </c:pt>
                <c:pt idx="3083" formatCode="#,##0">
                  <c:v>1447</c:v>
                </c:pt>
                <c:pt idx="3084" formatCode="#,##0">
                  <c:v>1185</c:v>
                </c:pt>
                <c:pt idx="3085" formatCode="#,##0">
                  <c:v>1575</c:v>
                </c:pt>
                <c:pt idx="3086" formatCode="#,##0">
                  <c:v>1594</c:v>
                </c:pt>
                <c:pt idx="3087" formatCode="#,##0">
                  <c:v>1674</c:v>
                </c:pt>
                <c:pt idx="3088" formatCode="#,##0">
                  <c:v>1242</c:v>
                </c:pt>
                <c:pt idx="3089" formatCode="#,##0">
                  <c:v>1978</c:v>
                </c:pt>
                <c:pt idx="3090" formatCode="#,##0">
                  <c:v>1446</c:v>
                </c:pt>
                <c:pt idx="3091" formatCode="#,##0">
                  <c:v>1620</c:v>
                </c:pt>
                <c:pt idx="3092" formatCode="#,##0">
                  <c:v>1351</c:v>
                </c:pt>
                <c:pt idx="3093" formatCode="#,##0">
                  <c:v>1405</c:v>
                </c:pt>
                <c:pt idx="3094" formatCode="#,##0">
                  <c:v>2020</c:v>
                </c:pt>
                <c:pt idx="3095" formatCode="#,##0">
                  <c:v>2151</c:v>
                </c:pt>
                <c:pt idx="3096" formatCode="#,##0">
                  <c:v>1651</c:v>
                </c:pt>
                <c:pt idx="3097" formatCode="#,##0">
                  <c:v>1640</c:v>
                </c:pt>
                <c:pt idx="3098" formatCode="#,##0">
                  <c:v>1602</c:v>
                </c:pt>
                <c:pt idx="3099" formatCode="#,##0">
                  <c:v>1518</c:v>
                </c:pt>
                <c:pt idx="3100" formatCode="#,##0">
                  <c:v>2264</c:v>
                </c:pt>
                <c:pt idx="3101" formatCode="#,##0">
                  <c:v>1634</c:v>
                </c:pt>
                <c:pt idx="3102" formatCode="#,##0">
                  <c:v>1420</c:v>
                </c:pt>
                <c:pt idx="3103" formatCode="#,##0">
                  <c:v>1449</c:v>
                </c:pt>
                <c:pt idx="3104" formatCode="#,##0">
                  <c:v>1587</c:v>
                </c:pt>
                <c:pt idx="3105" formatCode="#,##0">
                  <c:v>2256</c:v>
                </c:pt>
                <c:pt idx="3106" formatCode="#,##0">
                  <c:v>1674</c:v>
                </c:pt>
                <c:pt idx="3107" formatCode="#,##0">
                  <c:v>1522</c:v>
                </c:pt>
                <c:pt idx="3108" formatCode="#,##0">
                  <c:v>1821</c:v>
                </c:pt>
                <c:pt idx="3109" formatCode="#,##0">
                  <c:v>1988</c:v>
                </c:pt>
                <c:pt idx="3110" formatCode="#,##0">
                  <c:v>1449</c:v>
                </c:pt>
                <c:pt idx="3111" formatCode="#,##0">
                  <c:v>1812</c:v>
                </c:pt>
                <c:pt idx="3112" formatCode="#,##0">
                  <c:v>1821</c:v>
                </c:pt>
                <c:pt idx="3113" formatCode="#,##0">
                  <c:v>2092</c:v>
                </c:pt>
                <c:pt idx="3114" formatCode="#,##0">
                  <c:v>3061</c:v>
                </c:pt>
                <c:pt idx="3115" formatCode="#,##0">
                  <c:v>2163</c:v>
                </c:pt>
                <c:pt idx="3116" formatCode="#,##0">
                  <c:v>1354</c:v>
                </c:pt>
                <c:pt idx="3117" formatCode="#,##0">
                  <c:v>1654</c:v>
                </c:pt>
                <c:pt idx="3118" formatCode="#,##0">
                  <c:v>1470</c:v>
                </c:pt>
                <c:pt idx="3119" formatCode="#,##0">
                  <c:v>1661</c:v>
                </c:pt>
                <c:pt idx="3120" formatCode="#,##0">
                  <c:v>1595</c:v>
                </c:pt>
                <c:pt idx="3121" formatCode="#,##0">
                  <c:v>1228</c:v>
                </c:pt>
                <c:pt idx="3122" formatCode="#,##0">
                  <c:v>1770</c:v>
                </c:pt>
                <c:pt idx="3123" formatCode="#,##0">
                  <c:v>1600</c:v>
                </c:pt>
                <c:pt idx="3124" formatCode="#,##0">
                  <c:v>1391</c:v>
                </c:pt>
                <c:pt idx="3125" formatCode="#,##0">
                  <c:v>1209</c:v>
                </c:pt>
                <c:pt idx="3126" formatCode="#,##0">
                  <c:v>1622</c:v>
                </c:pt>
                <c:pt idx="3127" formatCode="#,##0">
                  <c:v>1400</c:v>
                </c:pt>
                <c:pt idx="3128" formatCode="#,##0">
                  <c:v>1656</c:v>
                </c:pt>
                <c:pt idx="3129" formatCode="#,##0">
                  <c:v>1838</c:v>
                </c:pt>
                <c:pt idx="3130" formatCode="#,##0">
                  <c:v>2186</c:v>
                </c:pt>
                <c:pt idx="3131" formatCode="#,##0">
                  <c:v>1621</c:v>
                </c:pt>
                <c:pt idx="3132" formatCode="#,##0">
                  <c:v>2034</c:v>
                </c:pt>
                <c:pt idx="3133" formatCode="#,##0">
                  <c:v>1682</c:v>
                </c:pt>
                <c:pt idx="3134" formatCode="#,##0">
                  <c:v>1500</c:v>
                </c:pt>
                <c:pt idx="3135" formatCode="#,##0">
                  <c:v>1631</c:v>
                </c:pt>
                <c:pt idx="3136" formatCode="#,##0">
                  <c:v>1935</c:v>
                </c:pt>
                <c:pt idx="3137" formatCode="#,##0">
                  <c:v>1345</c:v>
                </c:pt>
                <c:pt idx="3138" formatCode="#,##0">
                  <c:v>2417</c:v>
                </c:pt>
                <c:pt idx="3139" formatCode="#,##0">
                  <c:v>1868</c:v>
                </c:pt>
                <c:pt idx="3140" formatCode="#,##0">
                  <c:v>1900</c:v>
                </c:pt>
                <c:pt idx="3141" formatCode="#,##0">
                  <c:v>1380</c:v>
                </c:pt>
                <c:pt idx="3142" formatCode="#,##0">
                  <c:v>1762</c:v>
                </c:pt>
                <c:pt idx="3143" formatCode="#,##0">
                  <c:v>1566</c:v>
                </c:pt>
                <c:pt idx="3144" formatCode="#,##0">
                  <c:v>2122</c:v>
                </c:pt>
                <c:pt idx="3145" formatCode="#,##0">
                  <c:v>1656</c:v>
                </c:pt>
                <c:pt idx="3146" formatCode="#,##0">
                  <c:v>1386</c:v>
                </c:pt>
                <c:pt idx="3147" formatCode="#,##0">
                  <c:v>2750</c:v>
                </c:pt>
                <c:pt idx="3148" formatCode="#,##0">
                  <c:v>1700</c:v>
                </c:pt>
                <c:pt idx="3149" formatCode="#,##0">
                  <c:v>1545</c:v>
                </c:pt>
                <c:pt idx="3150" formatCode="#,##0">
                  <c:v>2100</c:v>
                </c:pt>
                <c:pt idx="3151" formatCode="#,##0">
                  <c:v>1520</c:v>
                </c:pt>
                <c:pt idx="3152" formatCode="#,##0">
                  <c:v>1520</c:v>
                </c:pt>
                <c:pt idx="3153" formatCode="#,##0">
                  <c:v>1686</c:v>
                </c:pt>
                <c:pt idx="3154" formatCode="#,##0">
                  <c:v>1637</c:v>
                </c:pt>
                <c:pt idx="3155" formatCode="#,##0">
                  <c:v>2456</c:v>
                </c:pt>
                <c:pt idx="3156" formatCode="#,##0">
                  <c:v>1791</c:v>
                </c:pt>
                <c:pt idx="3157" formatCode="#,##0">
                  <c:v>1973</c:v>
                </c:pt>
                <c:pt idx="3158" formatCode="#,##0">
                  <c:v>2047</c:v>
                </c:pt>
                <c:pt idx="3159" formatCode="#,##0">
                  <c:v>1649</c:v>
                </c:pt>
                <c:pt idx="3160" formatCode="#,##0">
                  <c:v>1575</c:v>
                </c:pt>
                <c:pt idx="3161" formatCode="#,##0">
                  <c:v>1804</c:v>
                </c:pt>
                <c:pt idx="3162" formatCode="#,##0">
                  <c:v>1513</c:v>
                </c:pt>
                <c:pt idx="3163" formatCode="#,##0">
                  <c:v>1930</c:v>
                </c:pt>
                <c:pt idx="3164" formatCode="#,##0">
                  <c:v>1580</c:v>
                </c:pt>
                <c:pt idx="3165" formatCode="#,##0">
                  <c:v>2325</c:v>
                </c:pt>
                <c:pt idx="3166" formatCode="#,##0">
                  <c:v>1665</c:v>
                </c:pt>
                <c:pt idx="3167" formatCode="#,##0">
                  <c:v>2131</c:v>
                </c:pt>
                <c:pt idx="3168" formatCode="#,##0">
                  <c:v>1971</c:v>
                </c:pt>
                <c:pt idx="3169" formatCode="#,##0">
                  <c:v>1797</c:v>
                </c:pt>
                <c:pt idx="3170" formatCode="#,##0">
                  <c:v>2011</c:v>
                </c:pt>
                <c:pt idx="3171" formatCode="#,##0">
                  <c:v>2513</c:v>
                </c:pt>
                <c:pt idx="3172" formatCode="#,##0">
                  <c:v>1603</c:v>
                </c:pt>
                <c:pt idx="3173" formatCode="#,##0">
                  <c:v>1521</c:v>
                </c:pt>
                <c:pt idx="3174" formatCode="#,##0">
                  <c:v>2100</c:v>
                </c:pt>
                <c:pt idx="3175" formatCode="#,##0">
                  <c:v>2036</c:v>
                </c:pt>
                <c:pt idx="3176" formatCode="#,##0">
                  <c:v>2036</c:v>
                </c:pt>
                <c:pt idx="3177" formatCode="#,##0">
                  <c:v>1850</c:v>
                </c:pt>
                <c:pt idx="3178" formatCode="#,##0">
                  <c:v>1310</c:v>
                </c:pt>
                <c:pt idx="3179" formatCode="#,##0">
                  <c:v>1791</c:v>
                </c:pt>
                <c:pt idx="3180" formatCode="#,##0">
                  <c:v>1700</c:v>
                </c:pt>
                <c:pt idx="3181" formatCode="#,##0">
                  <c:v>1575</c:v>
                </c:pt>
                <c:pt idx="3182" formatCode="#,##0">
                  <c:v>1686</c:v>
                </c:pt>
                <c:pt idx="3183" formatCode="#,##0">
                  <c:v>1604</c:v>
                </c:pt>
                <c:pt idx="3184" formatCode="#,##0">
                  <c:v>1760</c:v>
                </c:pt>
                <c:pt idx="3185" formatCode="#,##0">
                  <c:v>2353</c:v>
                </c:pt>
                <c:pt idx="3186" formatCode="#,##0">
                  <c:v>2100</c:v>
                </c:pt>
                <c:pt idx="3187" formatCode="#,##0">
                  <c:v>1734</c:v>
                </c:pt>
                <c:pt idx="3188" formatCode="#,##0">
                  <c:v>1556</c:v>
                </c:pt>
                <c:pt idx="3189" formatCode="#,##0">
                  <c:v>2406</c:v>
                </c:pt>
                <c:pt idx="3190" formatCode="#,##0">
                  <c:v>1709</c:v>
                </c:pt>
                <c:pt idx="3191" formatCode="#,##0">
                  <c:v>1668</c:v>
                </c:pt>
                <c:pt idx="3192" formatCode="#,##0">
                  <c:v>1612</c:v>
                </c:pt>
                <c:pt idx="3193" formatCode="#,##0">
                  <c:v>2233</c:v>
                </c:pt>
                <c:pt idx="3194" formatCode="#,##0">
                  <c:v>2350</c:v>
                </c:pt>
                <c:pt idx="3195" formatCode="#,##0">
                  <c:v>1650</c:v>
                </c:pt>
                <c:pt idx="3196" formatCode="#,##0">
                  <c:v>2544</c:v>
                </c:pt>
                <c:pt idx="3197" formatCode="#,##0">
                  <c:v>1826</c:v>
                </c:pt>
                <c:pt idx="3198" formatCode="#,##0">
                  <c:v>1600</c:v>
                </c:pt>
                <c:pt idx="3199" formatCode="#,##0">
                  <c:v>1600</c:v>
                </c:pt>
                <c:pt idx="3200" formatCode="#,##0">
                  <c:v>1500</c:v>
                </c:pt>
                <c:pt idx="3201" formatCode="#,##0">
                  <c:v>1858</c:v>
                </c:pt>
                <c:pt idx="3202" formatCode="#,##0">
                  <c:v>1908</c:v>
                </c:pt>
                <c:pt idx="3203" formatCode="#,##0">
                  <c:v>1545</c:v>
                </c:pt>
                <c:pt idx="3204" formatCode="#,##0">
                  <c:v>2062</c:v>
                </c:pt>
                <c:pt idx="3205" formatCode="#,##0">
                  <c:v>2325</c:v>
                </c:pt>
                <c:pt idx="3206" formatCode="#,##0">
                  <c:v>2325</c:v>
                </c:pt>
                <c:pt idx="3207" formatCode="#,##0">
                  <c:v>2432</c:v>
                </c:pt>
                <c:pt idx="3208" formatCode="#,##0">
                  <c:v>2242</c:v>
                </c:pt>
                <c:pt idx="3209" formatCode="#,##0">
                  <c:v>1956</c:v>
                </c:pt>
                <c:pt idx="3210" formatCode="#,##0">
                  <c:v>1912</c:v>
                </c:pt>
                <c:pt idx="3211" formatCode="#,##0">
                  <c:v>1816</c:v>
                </c:pt>
                <c:pt idx="3212" formatCode="#,##0">
                  <c:v>2184</c:v>
                </c:pt>
                <c:pt idx="3213" formatCode="#,##0">
                  <c:v>2672</c:v>
                </c:pt>
                <c:pt idx="3214" formatCode="#,##0">
                  <c:v>2444</c:v>
                </c:pt>
                <c:pt idx="3215" formatCode="#,##0">
                  <c:v>2450</c:v>
                </c:pt>
                <c:pt idx="3216" formatCode="#,##0">
                  <c:v>1698</c:v>
                </c:pt>
                <c:pt idx="3217" formatCode="#,##0">
                  <c:v>2200</c:v>
                </c:pt>
                <c:pt idx="3218" formatCode="#,##0">
                  <c:v>2568</c:v>
                </c:pt>
                <c:pt idx="3219" formatCode="#,##0">
                  <c:v>1826</c:v>
                </c:pt>
                <c:pt idx="3220" formatCode="#,##0">
                  <c:v>1746</c:v>
                </c:pt>
                <c:pt idx="3221" formatCode="#,##0">
                  <c:v>1800</c:v>
                </c:pt>
                <c:pt idx="3222" formatCode="#,##0">
                  <c:v>1575</c:v>
                </c:pt>
                <c:pt idx="3223" formatCode="#,##0">
                  <c:v>1640</c:v>
                </c:pt>
                <c:pt idx="3224" formatCode="#,##0">
                  <c:v>1766</c:v>
                </c:pt>
                <c:pt idx="3225" formatCode="#,##0">
                  <c:v>1568</c:v>
                </c:pt>
                <c:pt idx="3226" formatCode="#,##0">
                  <c:v>1723</c:v>
                </c:pt>
                <c:pt idx="3227" formatCode="#,##0">
                  <c:v>2180</c:v>
                </c:pt>
                <c:pt idx="3228" formatCode="#,##0">
                  <c:v>1697</c:v>
                </c:pt>
                <c:pt idx="3229" formatCode="#,##0">
                  <c:v>2265</c:v>
                </c:pt>
                <c:pt idx="3230" formatCode="#,##0">
                  <c:v>1631</c:v>
                </c:pt>
                <c:pt idx="3231" formatCode="#,##0">
                  <c:v>1844</c:v>
                </c:pt>
                <c:pt idx="3232" formatCode="#,##0">
                  <c:v>1550</c:v>
                </c:pt>
                <c:pt idx="3233" formatCode="#,##0">
                  <c:v>1900</c:v>
                </c:pt>
                <c:pt idx="3234" formatCode="#,##0">
                  <c:v>2450</c:v>
                </c:pt>
                <c:pt idx="3235" formatCode="#,##0">
                  <c:v>2106</c:v>
                </c:pt>
                <c:pt idx="3236" formatCode="#,##0">
                  <c:v>1832</c:v>
                </c:pt>
                <c:pt idx="3237" formatCode="#,##0">
                  <c:v>1932</c:v>
                </c:pt>
                <c:pt idx="3238" formatCode="#,##0">
                  <c:v>2017</c:v>
                </c:pt>
                <c:pt idx="3239" formatCode="#,##0">
                  <c:v>1588</c:v>
                </c:pt>
                <c:pt idx="3240" formatCode="#,##0">
                  <c:v>2137</c:v>
                </c:pt>
                <c:pt idx="3241" formatCode="#,##0">
                  <c:v>2158</c:v>
                </c:pt>
                <c:pt idx="3242" formatCode="#,##0">
                  <c:v>2100</c:v>
                </c:pt>
                <c:pt idx="3243" formatCode="#,##0">
                  <c:v>2383</c:v>
                </c:pt>
                <c:pt idx="3244" formatCode="#,##0">
                  <c:v>2473</c:v>
                </c:pt>
                <c:pt idx="3245" formatCode="#,##0">
                  <c:v>1769</c:v>
                </c:pt>
                <c:pt idx="3246" formatCode="#,##0">
                  <c:v>1505</c:v>
                </c:pt>
                <c:pt idx="3247" formatCode="#,##0">
                  <c:v>1644</c:v>
                </c:pt>
                <c:pt idx="3248" formatCode="#,##0">
                  <c:v>2500</c:v>
                </c:pt>
                <c:pt idx="3249" formatCode="#,##0">
                  <c:v>1967</c:v>
                </c:pt>
                <c:pt idx="3250" formatCode="#,##0">
                  <c:v>1725</c:v>
                </c:pt>
                <c:pt idx="3251" formatCode="#,##0">
                  <c:v>1690</c:v>
                </c:pt>
                <c:pt idx="3252" formatCode="#,##0">
                  <c:v>1891</c:v>
                </c:pt>
                <c:pt idx="3253" formatCode="#,##0">
                  <c:v>2312</c:v>
                </c:pt>
                <c:pt idx="3254" formatCode="#,##0">
                  <c:v>2707</c:v>
                </c:pt>
                <c:pt idx="3255" formatCode="#,##0">
                  <c:v>2594</c:v>
                </c:pt>
                <c:pt idx="3256" formatCode="#,##0">
                  <c:v>2592</c:v>
                </c:pt>
                <c:pt idx="3257" formatCode="#,##0">
                  <c:v>1750</c:v>
                </c:pt>
                <c:pt idx="3258" formatCode="#,##0">
                  <c:v>2067</c:v>
                </c:pt>
                <c:pt idx="3259" formatCode="#,##0">
                  <c:v>2000</c:v>
                </c:pt>
                <c:pt idx="3260" formatCode="#,##0">
                  <c:v>1454</c:v>
                </c:pt>
                <c:pt idx="3261" formatCode="#,##0">
                  <c:v>2364</c:v>
                </c:pt>
                <c:pt idx="3262" formatCode="#,##0">
                  <c:v>2007</c:v>
                </c:pt>
                <c:pt idx="3263" formatCode="#,##0">
                  <c:v>1760</c:v>
                </c:pt>
                <c:pt idx="3264" formatCode="#,##0">
                  <c:v>1955</c:v>
                </c:pt>
                <c:pt idx="3265" formatCode="#,##0">
                  <c:v>1759</c:v>
                </c:pt>
                <c:pt idx="3266" formatCode="#,##0">
                  <c:v>2392</c:v>
                </c:pt>
                <c:pt idx="3267" formatCode="#,##0">
                  <c:v>2064</c:v>
                </c:pt>
                <c:pt idx="3268" formatCode="#,##0">
                  <c:v>1726</c:v>
                </c:pt>
                <c:pt idx="3269" formatCode="#,##0">
                  <c:v>2849</c:v>
                </c:pt>
                <c:pt idx="3270" formatCode="#,##0">
                  <c:v>2090</c:v>
                </c:pt>
                <c:pt idx="3271" formatCode="#,##0">
                  <c:v>1610</c:v>
                </c:pt>
                <c:pt idx="3272" formatCode="#,##0">
                  <c:v>2266</c:v>
                </c:pt>
                <c:pt idx="3273" formatCode="#,##0">
                  <c:v>1300</c:v>
                </c:pt>
                <c:pt idx="3274" formatCode="#,##0">
                  <c:v>2200</c:v>
                </c:pt>
                <c:pt idx="3275" formatCode="#,##0">
                  <c:v>2541</c:v>
                </c:pt>
                <c:pt idx="3276" formatCode="#,##0">
                  <c:v>2927</c:v>
                </c:pt>
                <c:pt idx="3277" formatCode="#,##0">
                  <c:v>1742</c:v>
                </c:pt>
                <c:pt idx="3278" formatCode="#,##0">
                  <c:v>2554</c:v>
                </c:pt>
                <c:pt idx="3279" formatCode="#,##0">
                  <c:v>1936</c:v>
                </c:pt>
                <c:pt idx="3280" formatCode="#,##0">
                  <c:v>1578</c:v>
                </c:pt>
                <c:pt idx="3281" formatCode="#,##0">
                  <c:v>2571</c:v>
                </c:pt>
                <c:pt idx="3282" formatCode="#,##0">
                  <c:v>1847</c:v>
                </c:pt>
                <c:pt idx="3283" formatCode="#,##0">
                  <c:v>2372</c:v>
                </c:pt>
                <c:pt idx="3284" formatCode="#,##0">
                  <c:v>2742</c:v>
                </c:pt>
                <c:pt idx="3285" formatCode="#,##0">
                  <c:v>1647</c:v>
                </c:pt>
                <c:pt idx="3286" formatCode="#,##0">
                  <c:v>2553</c:v>
                </c:pt>
                <c:pt idx="3287" formatCode="#,##0">
                  <c:v>1950</c:v>
                </c:pt>
                <c:pt idx="3288" formatCode="#,##0">
                  <c:v>2453</c:v>
                </c:pt>
                <c:pt idx="3289" formatCode="#,##0">
                  <c:v>1795</c:v>
                </c:pt>
                <c:pt idx="3290" formatCode="#,##0">
                  <c:v>2064</c:v>
                </c:pt>
                <c:pt idx="3291" formatCode="#,##0">
                  <c:v>1825</c:v>
                </c:pt>
                <c:pt idx="3292" formatCode="#,##0">
                  <c:v>2233</c:v>
                </c:pt>
                <c:pt idx="3293" formatCode="#,##0">
                  <c:v>2441</c:v>
                </c:pt>
                <c:pt idx="3294">
                  <c:v>899</c:v>
                </c:pt>
                <c:pt idx="3295" formatCode="#,##0">
                  <c:v>2100</c:v>
                </c:pt>
                <c:pt idx="3296" formatCode="#,##0">
                  <c:v>2106</c:v>
                </c:pt>
                <c:pt idx="3297" formatCode="#,##0">
                  <c:v>1950</c:v>
                </c:pt>
                <c:pt idx="3298" formatCode="#,##0">
                  <c:v>2100</c:v>
                </c:pt>
                <c:pt idx="3299" formatCode="#,##0">
                  <c:v>2898</c:v>
                </c:pt>
                <c:pt idx="3300" formatCode="#,##0">
                  <c:v>1636</c:v>
                </c:pt>
                <c:pt idx="3301" formatCode="#,##0">
                  <c:v>1850</c:v>
                </c:pt>
                <c:pt idx="3302" formatCode="#,##0">
                  <c:v>2076</c:v>
                </c:pt>
                <c:pt idx="3303" formatCode="#,##0">
                  <c:v>2180</c:v>
                </c:pt>
                <c:pt idx="3304" formatCode="#,##0">
                  <c:v>1915</c:v>
                </c:pt>
                <c:pt idx="3305" formatCode="#,##0">
                  <c:v>2285</c:v>
                </c:pt>
                <c:pt idx="3306" formatCode="#,##0">
                  <c:v>1915</c:v>
                </c:pt>
                <c:pt idx="3307" formatCode="#,##0">
                  <c:v>1600</c:v>
                </c:pt>
                <c:pt idx="3308" formatCode="#,##0">
                  <c:v>2822</c:v>
                </c:pt>
                <c:pt idx="3309" formatCode="#,##0">
                  <c:v>1785</c:v>
                </c:pt>
                <c:pt idx="3310" formatCode="#,##0">
                  <c:v>2100</c:v>
                </c:pt>
                <c:pt idx="3311" formatCode="#,##0">
                  <c:v>2184</c:v>
                </c:pt>
                <c:pt idx="3312" formatCode="#,##0">
                  <c:v>2030</c:v>
                </c:pt>
                <c:pt idx="3313" formatCode="#,##0">
                  <c:v>1740</c:v>
                </c:pt>
                <c:pt idx="3314" formatCode="#,##0">
                  <c:v>1400</c:v>
                </c:pt>
                <c:pt idx="3315" formatCode="#,##0">
                  <c:v>1782</c:v>
                </c:pt>
                <c:pt idx="3316" formatCode="#,##0">
                  <c:v>2608</c:v>
                </c:pt>
                <c:pt idx="3317" formatCode="#,##0">
                  <c:v>2300</c:v>
                </c:pt>
                <c:pt idx="3318" formatCode="#,##0">
                  <c:v>2300</c:v>
                </c:pt>
                <c:pt idx="3319" formatCode="#,##0">
                  <c:v>1805</c:v>
                </c:pt>
                <c:pt idx="3320" formatCode="#,##0">
                  <c:v>2101</c:v>
                </c:pt>
                <c:pt idx="3321" formatCode="#,##0">
                  <c:v>2073</c:v>
                </c:pt>
                <c:pt idx="3322" formatCode="#,##0">
                  <c:v>2449</c:v>
                </c:pt>
                <c:pt idx="3323" formatCode="#,##0">
                  <c:v>2285</c:v>
                </c:pt>
                <c:pt idx="3324" formatCode="#,##0">
                  <c:v>2002</c:v>
                </c:pt>
                <c:pt idx="3325" formatCode="#,##0">
                  <c:v>1835</c:v>
                </c:pt>
                <c:pt idx="3326" formatCode="#,##0">
                  <c:v>2496</c:v>
                </c:pt>
                <c:pt idx="3327" formatCode="#,##0">
                  <c:v>2200</c:v>
                </c:pt>
                <c:pt idx="3328" formatCode="#,##0">
                  <c:v>2196</c:v>
                </c:pt>
                <c:pt idx="3329" formatCode="#,##0">
                  <c:v>2300</c:v>
                </c:pt>
                <c:pt idx="3330" formatCode="#,##0">
                  <c:v>2012</c:v>
                </c:pt>
                <c:pt idx="3331" formatCode="#,##0">
                  <c:v>1700</c:v>
                </c:pt>
                <c:pt idx="3332" formatCode="#,##0">
                  <c:v>2204</c:v>
                </c:pt>
                <c:pt idx="3333" formatCode="#,##0">
                  <c:v>1900</c:v>
                </c:pt>
                <c:pt idx="3334" formatCode="#,##0">
                  <c:v>2010</c:v>
                </c:pt>
                <c:pt idx="3335" formatCode="#,##0">
                  <c:v>2024</c:v>
                </c:pt>
                <c:pt idx="3336" formatCode="#,##0">
                  <c:v>2024</c:v>
                </c:pt>
                <c:pt idx="3337" formatCode="#,##0">
                  <c:v>1952</c:v>
                </c:pt>
                <c:pt idx="3338" formatCode="#,##0">
                  <c:v>2203</c:v>
                </c:pt>
                <c:pt idx="3339" formatCode="#,##0">
                  <c:v>1922</c:v>
                </c:pt>
                <c:pt idx="3340" formatCode="#,##0">
                  <c:v>2056</c:v>
                </c:pt>
                <c:pt idx="3341" formatCode="#,##0">
                  <c:v>2200</c:v>
                </c:pt>
                <c:pt idx="3342" formatCode="#,##0">
                  <c:v>1893</c:v>
                </c:pt>
                <c:pt idx="3343" formatCode="#,##0">
                  <c:v>2860</c:v>
                </c:pt>
                <c:pt idx="3344" formatCode="#,##0">
                  <c:v>2382</c:v>
                </c:pt>
                <c:pt idx="3345" formatCode="#,##0">
                  <c:v>1622</c:v>
                </c:pt>
                <c:pt idx="3346" formatCode="#,##0">
                  <c:v>2285</c:v>
                </c:pt>
                <c:pt idx="3347" formatCode="#,##0">
                  <c:v>2311</c:v>
                </c:pt>
                <c:pt idx="3348" formatCode="#,##0">
                  <c:v>2200</c:v>
                </c:pt>
                <c:pt idx="3349" formatCode="#,##0">
                  <c:v>1568</c:v>
                </c:pt>
                <c:pt idx="3350" formatCode="#,##0">
                  <c:v>2540</c:v>
                </c:pt>
                <c:pt idx="3351" formatCode="#,##0">
                  <c:v>2285</c:v>
                </c:pt>
                <c:pt idx="3352" formatCode="#,##0">
                  <c:v>2285</c:v>
                </c:pt>
                <c:pt idx="3353" formatCode="#,##0">
                  <c:v>1972</c:v>
                </c:pt>
                <c:pt idx="3354" formatCode="#,##0">
                  <c:v>2776</c:v>
                </c:pt>
                <c:pt idx="3355" formatCode="#,##0">
                  <c:v>2550</c:v>
                </c:pt>
                <c:pt idx="3356" formatCode="#,##0">
                  <c:v>2223</c:v>
                </c:pt>
                <c:pt idx="3357" formatCode="#,##0">
                  <c:v>2523</c:v>
                </c:pt>
                <c:pt idx="3358" formatCode="#,##0">
                  <c:v>2332</c:v>
                </c:pt>
                <c:pt idx="3359" formatCode="#,##0">
                  <c:v>2572</c:v>
                </c:pt>
                <c:pt idx="3360" formatCode="#,##0">
                  <c:v>1791</c:v>
                </c:pt>
                <c:pt idx="3361" formatCode="#,##0">
                  <c:v>2600</c:v>
                </c:pt>
                <c:pt idx="3362" formatCode="#,##0">
                  <c:v>2259</c:v>
                </c:pt>
                <c:pt idx="3363" formatCode="#,##0">
                  <c:v>2048</c:v>
                </c:pt>
                <c:pt idx="3364" formatCode="#,##0">
                  <c:v>2018</c:v>
                </c:pt>
                <c:pt idx="3365" formatCode="#,##0">
                  <c:v>2268</c:v>
                </c:pt>
                <c:pt idx="3366" formatCode="#,##0">
                  <c:v>2353</c:v>
                </c:pt>
                <c:pt idx="3367" formatCode="#,##0">
                  <c:v>1761</c:v>
                </c:pt>
                <c:pt idx="3368" formatCode="#,##0">
                  <c:v>2416</c:v>
                </c:pt>
                <c:pt idx="3369" formatCode="#,##0">
                  <c:v>2416</c:v>
                </c:pt>
                <c:pt idx="3370" formatCode="#,##0">
                  <c:v>2166</c:v>
                </c:pt>
                <c:pt idx="3371" formatCode="#,##0">
                  <c:v>2017</c:v>
                </c:pt>
                <c:pt idx="3372" formatCode="#,##0">
                  <c:v>2450</c:v>
                </c:pt>
                <c:pt idx="3373" formatCode="#,##0">
                  <c:v>2400</c:v>
                </c:pt>
                <c:pt idx="3374" formatCode="#,##0">
                  <c:v>2317</c:v>
                </c:pt>
                <c:pt idx="3375" formatCode="#,##0">
                  <c:v>2311</c:v>
                </c:pt>
                <c:pt idx="3376" formatCode="#,##0">
                  <c:v>2384</c:v>
                </c:pt>
                <c:pt idx="3377" formatCode="#,##0">
                  <c:v>2952</c:v>
                </c:pt>
                <c:pt idx="3378" formatCode="#,##0">
                  <c:v>2100</c:v>
                </c:pt>
                <c:pt idx="3379" formatCode="#,##0">
                  <c:v>1863</c:v>
                </c:pt>
                <c:pt idx="3380" formatCode="#,##0">
                  <c:v>2540</c:v>
                </c:pt>
                <c:pt idx="3381" formatCode="#,##0">
                  <c:v>2452</c:v>
                </c:pt>
                <c:pt idx="3382" formatCode="#,##0">
                  <c:v>2546</c:v>
                </c:pt>
                <c:pt idx="3383" formatCode="#,##0">
                  <c:v>2645</c:v>
                </c:pt>
                <c:pt idx="3384" formatCode="#,##0">
                  <c:v>2653</c:v>
                </c:pt>
                <c:pt idx="3385" formatCode="#,##0">
                  <c:v>1926</c:v>
                </c:pt>
                <c:pt idx="3386" formatCode="#,##0">
                  <c:v>2021</c:v>
                </c:pt>
                <c:pt idx="3387" formatCode="#,##0">
                  <c:v>2483</c:v>
                </c:pt>
                <c:pt idx="3388" formatCode="#,##0">
                  <c:v>2599</c:v>
                </c:pt>
                <c:pt idx="3389" formatCode="#,##0">
                  <c:v>3250</c:v>
                </c:pt>
                <c:pt idx="3390" formatCode="#,##0">
                  <c:v>2498</c:v>
                </c:pt>
                <c:pt idx="3391" formatCode="#,##0">
                  <c:v>2643</c:v>
                </c:pt>
                <c:pt idx="3392" formatCode="#,##0">
                  <c:v>2653</c:v>
                </c:pt>
                <c:pt idx="3393" formatCode="#,##0">
                  <c:v>2122</c:v>
                </c:pt>
                <c:pt idx="3394" formatCode="#,##0">
                  <c:v>1904</c:v>
                </c:pt>
                <c:pt idx="3395" formatCode="#,##0">
                  <c:v>1904</c:v>
                </c:pt>
                <c:pt idx="3396" formatCode="#,##0">
                  <c:v>2540</c:v>
                </c:pt>
                <c:pt idx="3397" formatCode="#,##0">
                  <c:v>2602</c:v>
                </c:pt>
                <c:pt idx="3398" formatCode="#,##0">
                  <c:v>2602</c:v>
                </c:pt>
                <c:pt idx="3399" formatCode="#,##0">
                  <c:v>2864</c:v>
                </c:pt>
                <c:pt idx="3400" formatCode="#,##0">
                  <c:v>2540</c:v>
                </c:pt>
                <c:pt idx="3401" formatCode="#,##0">
                  <c:v>3398</c:v>
                </c:pt>
                <c:pt idx="3402" formatCode="#,##0">
                  <c:v>1907</c:v>
                </c:pt>
                <c:pt idx="3403" formatCode="#,##0">
                  <c:v>2481</c:v>
                </c:pt>
                <c:pt idx="3404" formatCode="#,##0">
                  <c:v>2970</c:v>
                </c:pt>
                <c:pt idx="3405" formatCode="#,##0">
                  <c:v>1922</c:v>
                </c:pt>
                <c:pt idx="3406" formatCode="#,##0">
                  <c:v>2938</c:v>
                </c:pt>
                <c:pt idx="3407" formatCode="#,##0">
                  <c:v>3716</c:v>
                </c:pt>
                <c:pt idx="3408" formatCode="#,##0">
                  <c:v>2549</c:v>
                </c:pt>
                <c:pt idx="3409" formatCode="#,##0">
                  <c:v>2239</c:v>
                </c:pt>
                <c:pt idx="3410" formatCode="#,##0">
                  <c:v>3528</c:v>
                </c:pt>
                <c:pt idx="3411" formatCode="#,##0">
                  <c:v>2884</c:v>
                </c:pt>
                <c:pt idx="3412" formatCode="#,##0">
                  <c:v>2777</c:v>
                </c:pt>
                <c:pt idx="3413" formatCode="#,##0">
                  <c:v>3089</c:v>
                </c:pt>
                <c:pt idx="3414" formatCode="#,##0">
                  <c:v>2970</c:v>
                </c:pt>
                <c:pt idx="3415" formatCode="#,##0">
                  <c:v>2050</c:v>
                </c:pt>
                <c:pt idx="3416" formatCode="#,##0">
                  <c:v>2770</c:v>
                </c:pt>
                <c:pt idx="3417" formatCode="#,##0">
                  <c:v>2269</c:v>
                </c:pt>
                <c:pt idx="3418" formatCode="#,##0">
                  <c:v>3027</c:v>
                </c:pt>
                <c:pt idx="3419" formatCode="#,##0">
                  <c:v>2849</c:v>
                </c:pt>
                <c:pt idx="3420" formatCode="#,##0">
                  <c:v>2700</c:v>
                </c:pt>
                <c:pt idx="3421" formatCode="#,##0">
                  <c:v>2315</c:v>
                </c:pt>
                <c:pt idx="3422" formatCode="#,##0">
                  <c:v>2500</c:v>
                </c:pt>
                <c:pt idx="3423" formatCode="#,##0">
                  <c:v>2850</c:v>
                </c:pt>
                <c:pt idx="3424" formatCode="#,##0">
                  <c:v>3202</c:v>
                </c:pt>
                <c:pt idx="3425" formatCode="#,##0">
                  <c:v>2681</c:v>
                </c:pt>
                <c:pt idx="3426" formatCode="#,##0">
                  <c:v>2681</c:v>
                </c:pt>
                <c:pt idx="3427" formatCode="#,##0">
                  <c:v>2964</c:v>
                </c:pt>
                <c:pt idx="3428" formatCode="#,##0">
                  <c:v>3290</c:v>
                </c:pt>
                <c:pt idx="3429" formatCode="#,##0">
                  <c:v>3290</c:v>
                </c:pt>
                <c:pt idx="3430" formatCode="#,##0">
                  <c:v>3315</c:v>
                </c:pt>
                <c:pt idx="3431" formatCode="#,##0">
                  <c:v>2349</c:v>
                </c:pt>
                <c:pt idx="3432" formatCode="#,##0">
                  <c:v>2349</c:v>
                </c:pt>
                <c:pt idx="3433" formatCode="#,##0">
                  <c:v>2655</c:v>
                </c:pt>
                <c:pt idx="3434" formatCode="#,##0">
                  <c:v>1886</c:v>
                </c:pt>
                <c:pt idx="3435" formatCode="#,##0">
                  <c:v>2900</c:v>
                </c:pt>
                <c:pt idx="3436" formatCode="#,##0">
                  <c:v>2900</c:v>
                </c:pt>
                <c:pt idx="3437" formatCode="#,##0">
                  <c:v>2688</c:v>
                </c:pt>
                <c:pt idx="3438" formatCode="#,##0">
                  <c:v>3350</c:v>
                </c:pt>
                <c:pt idx="3439" formatCode="#,##0">
                  <c:v>2800</c:v>
                </c:pt>
                <c:pt idx="3440" formatCode="#,##0">
                  <c:v>2349</c:v>
                </c:pt>
                <c:pt idx="3441" formatCode="#,##0">
                  <c:v>2281</c:v>
                </c:pt>
                <c:pt idx="3442" formatCode="#,##0">
                  <c:v>2387</c:v>
                </c:pt>
                <c:pt idx="3443" formatCode="#,##0">
                  <c:v>2690</c:v>
                </c:pt>
                <c:pt idx="3444" formatCode="#,##0">
                  <c:v>2718</c:v>
                </c:pt>
                <c:pt idx="3445" formatCode="#,##0">
                  <c:v>2735</c:v>
                </c:pt>
                <c:pt idx="3446" formatCode="#,##0">
                  <c:v>2737</c:v>
                </c:pt>
                <c:pt idx="3447" formatCode="#,##0">
                  <c:v>3177</c:v>
                </c:pt>
                <c:pt idx="3448" formatCode="#,##0">
                  <c:v>2412</c:v>
                </c:pt>
                <c:pt idx="3449" formatCode="#,##0">
                  <c:v>2658</c:v>
                </c:pt>
                <c:pt idx="3450" formatCode="#,##0">
                  <c:v>3105</c:v>
                </c:pt>
                <c:pt idx="3451" formatCode="#,##0">
                  <c:v>2958</c:v>
                </c:pt>
                <c:pt idx="3452" formatCode="#,##0">
                  <c:v>2142</c:v>
                </c:pt>
                <c:pt idx="3453" formatCode="#,##0">
                  <c:v>3242</c:v>
                </c:pt>
                <c:pt idx="3454" formatCode="#,##0">
                  <c:v>3242</c:v>
                </c:pt>
                <c:pt idx="3455" formatCode="#,##0">
                  <c:v>3080</c:v>
                </c:pt>
                <c:pt idx="3456" formatCode="#,##0">
                  <c:v>2768</c:v>
                </c:pt>
                <c:pt idx="3457" formatCode="#,##0">
                  <c:v>2000</c:v>
                </c:pt>
                <c:pt idx="3458" formatCode="#,##0">
                  <c:v>1720</c:v>
                </c:pt>
                <c:pt idx="3459" formatCode="#,##0">
                  <c:v>2730</c:v>
                </c:pt>
                <c:pt idx="3460" formatCode="#,##0">
                  <c:v>2618</c:v>
                </c:pt>
                <c:pt idx="3461" formatCode="#,##0">
                  <c:v>2944</c:v>
                </c:pt>
                <c:pt idx="3462" formatCode="#,##0">
                  <c:v>2758</c:v>
                </c:pt>
                <c:pt idx="3463" formatCode="#,##0">
                  <c:v>2236</c:v>
                </c:pt>
                <c:pt idx="3464" formatCode="#,##0">
                  <c:v>2800</c:v>
                </c:pt>
                <c:pt idx="3465" formatCode="#,##0">
                  <c:v>3170</c:v>
                </c:pt>
                <c:pt idx="3466" formatCode="#,##0">
                  <c:v>2312</c:v>
                </c:pt>
                <c:pt idx="3467" formatCode="#,##0">
                  <c:v>2828</c:v>
                </c:pt>
                <c:pt idx="3468" formatCode="#,##0">
                  <c:v>3223</c:v>
                </c:pt>
                <c:pt idx="3469" formatCode="#,##0">
                  <c:v>3020</c:v>
                </c:pt>
                <c:pt idx="3470" formatCode="#,##0">
                  <c:v>3339</c:v>
                </c:pt>
                <c:pt idx="3471" formatCode="#,##0">
                  <c:v>2700</c:v>
                </c:pt>
                <c:pt idx="3472" formatCode="#,##0">
                  <c:v>2410</c:v>
                </c:pt>
                <c:pt idx="3473" formatCode="#,##0">
                  <c:v>2397</c:v>
                </c:pt>
                <c:pt idx="3474" formatCode="#,##0">
                  <c:v>3200</c:v>
                </c:pt>
                <c:pt idx="3475" formatCode="#,##0">
                  <c:v>1897</c:v>
                </c:pt>
                <c:pt idx="3476" formatCode="#,##0">
                  <c:v>3125</c:v>
                </c:pt>
                <c:pt idx="3477" formatCode="#,##0">
                  <c:v>3125</c:v>
                </c:pt>
                <c:pt idx="3478" formatCode="#,##0">
                  <c:v>2521</c:v>
                </c:pt>
                <c:pt idx="3479" formatCode="#,##0">
                  <c:v>2400</c:v>
                </c:pt>
                <c:pt idx="3480" formatCode="#,##0">
                  <c:v>3236</c:v>
                </c:pt>
                <c:pt idx="3481" formatCode="#,##0">
                  <c:v>3251</c:v>
                </c:pt>
                <c:pt idx="3482" formatCode="#,##0">
                  <c:v>2950</c:v>
                </c:pt>
                <c:pt idx="3483" formatCode="#,##0">
                  <c:v>2756</c:v>
                </c:pt>
                <c:pt idx="3484" formatCode="#,##0">
                  <c:v>3100</c:v>
                </c:pt>
                <c:pt idx="3485" formatCode="#,##0">
                  <c:v>3493</c:v>
                </c:pt>
                <c:pt idx="3486" formatCode="#,##0">
                  <c:v>2980</c:v>
                </c:pt>
                <c:pt idx="3487" formatCode="#,##0">
                  <c:v>4024</c:v>
                </c:pt>
                <c:pt idx="3488" formatCode="#,##0">
                  <c:v>3350</c:v>
                </c:pt>
                <c:pt idx="3489" formatCode="#,##0">
                  <c:v>2000</c:v>
                </c:pt>
                <c:pt idx="3490" formatCode="#,##0">
                  <c:v>3000</c:v>
                </c:pt>
                <c:pt idx="3491" formatCode="#,##0">
                  <c:v>3400</c:v>
                </c:pt>
                <c:pt idx="3492" formatCode="#,##0">
                  <c:v>3400</c:v>
                </c:pt>
                <c:pt idx="3493" formatCode="#,##0">
                  <c:v>2506</c:v>
                </c:pt>
                <c:pt idx="3494" formatCode="#,##0">
                  <c:v>3650</c:v>
                </c:pt>
                <c:pt idx="3495" formatCode="#,##0">
                  <c:v>3100</c:v>
                </c:pt>
                <c:pt idx="3496" formatCode="#,##0">
                  <c:v>2834</c:v>
                </c:pt>
                <c:pt idx="3497" formatCode="#,##0">
                  <c:v>2700</c:v>
                </c:pt>
                <c:pt idx="3498" formatCode="#,##0">
                  <c:v>3241</c:v>
                </c:pt>
                <c:pt idx="3499" formatCode="#,##0">
                  <c:v>3400</c:v>
                </c:pt>
                <c:pt idx="3500" formatCode="#,##0">
                  <c:v>2300</c:v>
                </c:pt>
                <c:pt idx="3501" formatCode="#,##0">
                  <c:v>2355</c:v>
                </c:pt>
                <c:pt idx="3502" formatCode="#,##0">
                  <c:v>3300</c:v>
                </c:pt>
                <c:pt idx="3503" formatCode="#,##0">
                  <c:v>1650</c:v>
                </c:pt>
                <c:pt idx="3504" formatCode="#,##0">
                  <c:v>3802</c:v>
                </c:pt>
                <c:pt idx="3505" formatCode="#,##0">
                  <c:v>3240</c:v>
                </c:pt>
                <c:pt idx="3506" formatCode="#,##0">
                  <c:v>3842</c:v>
                </c:pt>
                <c:pt idx="3507" formatCode="#,##0">
                  <c:v>3435</c:v>
                </c:pt>
                <c:pt idx="3508" formatCode="#,##0">
                  <c:v>2700</c:v>
                </c:pt>
                <c:pt idx="3509" formatCode="#,##0">
                  <c:v>2834</c:v>
                </c:pt>
                <c:pt idx="3510" formatCode="#,##0">
                  <c:v>3515</c:v>
                </c:pt>
                <c:pt idx="3511" formatCode="#,##0">
                  <c:v>2430</c:v>
                </c:pt>
                <c:pt idx="3512" formatCode="#,##0">
                  <c:v>2430</c:v>
                </c:pt>
                <c:pt idx="3513" formatCode="#,##0">
                  <c:v>3000</c:v>
                </c:pt>
                <c:pt idx="3514" formatCode="#,##0">
                  <c:v>3005</c:v>
                </c:pt>
                <c:pt idx="3515" formatCode="#,##0">
                  <c:v>2476</c:v>
                </c:pt>
                <c:pt idx="3516" formatCode="#,##0">
                  <c:v>2476</c:v>
                </c:pt>
                <c:pt idx="3517" formatCode="#,##0">
                  <c:v>2602</c:v>
                </c:pt>
                <c:pt idx="3518" formatCode="#,##0">
                  <c:v>3800</c:v>
                </c:pt>
                <c:pt idx="3519" formatCode="#,##0">
                  <c:v>3616</c:v>
                </c:pt>
                <c:pt idx="3520" formatCode="#,##0">
                  <c:v>3777</c:v>
                </c:pt>
                <c:pt idx="3521" formatCode="#,##0">
                  <c:v>3032</c:v>
                </c:pt>
                <c:pt idx="3522" formatCode="#,##0">
                  <c:v>3255</c:v>
                </c:pt>
                <c:pt idx="3523" formatCode="#,##0">
                  <c:v>4215</c:v>
                </c:pt>
                <c:pt idx="3524" formatCode="#,##0">
                  <c:v>3000</c:v>
                </c:pt>
                <c:pt idx="3525" formatCode="#,##0">
                  <c:v>3522</c:v>
                </c:pt>
                <c:pt idx="3526" formatCode="#,##0">
                  <c:v>4200</c:v>
                </c:pt>
                <c:pt idx="3527" formatCode="#,##0">
                  <c:v>3410</c:v>
                </c:pt>
                <c:pt idx="3528" formatCode="#,##0">
                  <c:v>4772</c:v>
                </c:pt>
                <c:pt idx="3529" formatCode="#,##0">
                  <c:v>3868</c:v>
                </c:pt>
                <c:pt idx="3530" formatCode="#,##0">
                  <c:v>4926</c:v>
                </c:pt>
                <c:pt idx="3531" formatCode="#,##0">
                  <c:v>3715</c:v>
                </c:pt>
                <c:pt idx="3532" formatCode="#,##0">
                  <c:v>5359</c:v>
                </c:pt>
                <c:pt idx="3533" formatCode="#,##0">
                  <c:v>3668</c:v>
                </c:pt>
                <c:pt idx="3534" formatCode="#,##0">
                  <c:v>6024</c:v>
                </c:pt>
                <c:pt idx="3535" formatCode="#,##0">
                  <c:v>3706</c:v>
                </c:pt>
                <c:pt idx="3536" formatCode="#,##0">
                  <c:v>3555</c:v>
                </c:pt>
                <c:pt idx="3537" formatCode="#,##0">
                  <c:v>5623</c:v>
                </c:pt>
                <c:pt idx="3538" formatCode="#,##0">
                  <c:v>4992</c:v>
                </c:pt>
                <c:pt idx="3539" formatCode="#,##0">
                  <c:v>3475</c:v>
                </c:pt>
                <c:pt idx="3540" formatCode="#,##0">
                  <c:v>4487</c:v>
                </c:pt>
                <c:pt idx="3541" formatCode="#,##0">
                  <c:v>4100</c:v>
                </c:pt>
                <c:pt idx="3542" formatCode="#,##0">
                  <c:v>4009</c:v>
                </c:pt>
                <c:pt idx="3543" formatCode="#,##0">
                  <c:v>5598</c:v>
                </c:pt>
                <c:pt idx="3544" formatCode="#,##0">
                  <c:v>4382</c:v>
                </c:pt>
              </c:numCache>
            </c:numRef>
          </c:xVal>
          <c:yVal>
            <c:numRef>
              <c:f>'Unified Data'!$I$2:$I$3546</c:f>
              <c:numCache>
                <c:formatCode>"$"#,##0.00_);[Red]\("$"#,##0.00\)</c:formatCode>
                <c:ptCount val="3545"/>
                <c:pt idx="0" formatCode="&quot;$&quot;#,##0_);[Red]\(&quot;$&quot;#,##0\)">
                  <c:v>136.8565169769989</c:v>
                </c:pt>
                <c:pt idx="1">
                  <c:v>13.192612137203167</c:v>
                </c:pt>
                <c:pt idx="2">
                  <c:v>9.8684210526315788</c:v>
                </c:pt>
                <c:pt idx="3">
                  <c:v>19.09090909090909</c:v>
                </c:pt>
                <c:pt idx="4">
                  <c:v>26.363636363636363</c:v>
                </c:pt>
                <c:pt idx="5">
                  <c:v>28.106508875739646</c:v>
                </c:pt>
                <c:pt idx="6">
                  <c:v>28.089887640449437</c:v>
                </c:pt>
                <c:pt idx="7">
                  <c:v>35.314384151593451</c:v>
                </c:pt>
                <c:pt idx="8">
                  <c:v>39.0625</c:v>
                </c:pt>
                <c:pt idx="9">
                  <c:v>41.119860017497814</c:v>
                </c:pt>
                <c:pt idx="10">
                  <c:v>52.71398747390397</c:v>
                </c:pt>
                <c:pt idx="11">
                  <c:v>69.857697283311779</c:v>
                </c:pt>
                <c:pt idx="12">
                  <c:v>36.089238845144358</c:v>
                </c:pt>
                <c:pt idx="13">
                  <c:v>66.43356643356644</c:v>
                </c:pt>
                <c:pt idx="14">
                  <c:v>73.929961089494157</c:v>
                </c:pt>
                <c:pt idx="15">
                  <c:v>37.598944591029024</c:v>
                </c:pt>
                <c:pt idx="16">
                  <c:v>32.97328027288232</c:v>
                </c:pt>
                <c:pt idx="17">
                  <c:v>89.153046062407128</c:v>
                </c:pt>
                <c:pt idx="18">
                  <c:v>70.997679814385151</c:v>
                </c:pt>
                <c:pt idx="19">
                  <c:v>84.525357607282189</c:v>
                </c:pt>
                <c:pt idx="20">
                  <c:v>104.97667185069984</c:v>
                </c:pt>
                <c:pt idx="21">
                  <c:v>42.183622828784117</c:v>
                </c:pt>
                <c:pt idx="22">
                  <c:v>82.547169811320757</c:v>
                </c:pt>
                <c:pt idx="23">
                  <c:v>67.961165048543691</c:v>
                </c:pt>
                <c:pt idx="24">
                  <c:v>38.172043010752688</c:v>
                </c:pt>
                <c:pt idx="25">
                  <c:v>81.172491544532136</c:v>
                </c:pt>
                <c:pt idx="26">
                  <c:v>79.569892473118273</c:v>
                </c:pt>
                <c:pt idx="27">
                  <c:v>65.744680851063833</c:v>
                </c:pt>
                <c:pt idx="28">
                  <c:v>101.48849797023004</c:v>
                </c:pt>
                <c:pt idx="29">
                  <c:v>83.333333333333329</c:v>
                </c:pt>
                <c:pt idx="30">
                  <c:v>113.15417256011315</c:v>
                </c:pt>
                <c:pt idx="31">
                  <c:v>79.760717846460622</c:v>
                </c:pt>
                <c:pt idx="32">
                  <c:v>82.987551867219921</c:v>
                </c:pt>
                <c:pt idx="33">
                  <c:v>42.016806722689076</c:v>
                </c:pt>
                <c:pt idx="34">
                  <c:v>60.209424083769633</c:v>
                </c:pt>
                <c:pt idx="35">
                  <c:v>109.60757780784844</c:v>
                </c:pt>
                <c:pt idx="36">
                  <c:v>35.178035178035181</c:v>
                </c:pt>
                <c:pt idx="37">
                  <c:v>68.312757201646093</c:v>
                </c:pt>
                <c:pt idx="38">
                  <c:v>124.08759124087591</c:v>
                </c:pt>
                <c:pt idx="39">
                  <c:v>82.027649769585253</c:v>
                </c:pt>
                <c:pt idx="40">
                  <c:v>112.75252525252525</c:v>
                </c:pt>
                <c:pt idx="41">
                  <c:v>102.27272727272727</c:v>
                </c:pt>
                <c:pt idx="42">
                  <c:v>56.25</c:v>
                </c:pt>
                <c:pt idx="43">
                  <c:v>123.11901504787961</c:v>
                </c:pt>
                <c:pt idx="44">
                  <c:v>89.197224975222994</c:v>
                </c:pt>
                <c:pt idx="45">
                  <c:v>97.046413502109701</c:v>
                </c:pt>
                <c:pt idx="46">
                  <c:v>93.917004048582996</c:v>
                </c:pt>
                <c:pt idx="47">
                  <c:v>62.668463611859835</c:v>
                </c:pt>
                <c:pt idx="48">
                  <c:v>93.467336683417088</c:v>
                </c:pt>
                <c:pt idx="49">
                  <c:v>110.32863849765258</c:v>
                </c:pt>
                <c:pt idx="50">
                  <c:v>89.782403027436146</c:v>
                </c:pt>
                <c:pt idx="51">
                  <c:v>73.987538940809969</c:v>
                </c:pt>
                <c:pt idx="52">
                  <c:v>109.19540229885058</c:v>
                </c:pt>
                <c:pt idx="53">
                  <c:v>120.86513994910942</c:v>
                </c:pt>
                <c:pt idx="54">
                  <c:v>204.05982905982907</c:v>
                </c:pt>
                <c:pt idx="55">
                  <c:v>95.8291956305859</c:v>
                </c:pt>
                <c:pt idx="56">
                  <c:v>87.917042380523</c:v>
                </c:pt>
                <c:pt idx="57">
                  <c:v>120.65217391304348</c:v>
                </c:pt>
                <c:pt idx="58">
                  <c:v>107.41935483870968</c:v>
                </c:pt>
                <c:pt idx="59">
                  <c:v>106.04453870625663</c:v>
                </c:pt>
                <c:pt idx="60">
                  <c:v>184.16206261510129</c:v>
                </c:pt>
                <c:pt idx="61">
                  <c:v>109.2896174863388</c:v>
                </c:pt>
                <c:pt idx="62">
                  <c:v>68.043331076506433</c:v>
                </c:pt>
                <c:pt idx="63">
                  <c:v>142.46196403872753</c:v>
                </c:pt>
                <c:pt idx="64">
                  <c:v>149.85714285714286</c:v>
                </c:pt>
                <c:pt idx="65">
                  <c:v>62.686567164179102</c:v>
                </c:pt>
                <c:pt idx="66">
                  <c:v>133.58778625954199</c:v>
                </c:pt>
                <c:pt idx="67">
                  <c:v>117.31843575418995</c:v>
                </c:pt>
                <c:pt idx="68">
                  <c:v>81.679389312977094</c:v>
                </c:pt>
                <c:pt idx="69">
                  <c:v>139.06447534766119</c:v>
                </c:pt>
                <c:pt idx="70">
                  <c:v>151.30674002751033</c:v>
                </c:pt>
                <c:pt idx="71">
                  <c:v>105.87102983638114</c:v>
                </c:pt>
                <c:pt idx="72">
                  <c:v>130.02364066193854</c:v>
                </c:pt>
                <c:pt idx="73">
                  <c:v>59.427336574824416</c:v>
                </c:pt>
                <c:pt idx="74">
                  <c:v>131.82897862232778</c:v>
                </c:pt>
                <c:pt idx="75">
                  <c:v>431.29770992366412</c:v>
                </c:pt>
                <c:pt idx="76">
                  <c:v>78.125</c:v>
                </c:pt>
                <c:pt idx="77">
                  <c:v>90.196078431372555</c:v>
                </c:pt>
                <c:pt idx="78">
                  <c:v>160.61452513966481</c:v>
                </c:pt>
                <c:pt idx="79">
                  <c:v>176.92307692307693</c:v>
                </c:pt>
                <c:pt idx="80">
                  <c:v>102.67857142857143</c:v>
                </c:pt>
                <c:pt idx="81">
                  <c:v>131.11111111111111</c:v>
                </c:pt>
                <c:pt idx="82">
                  <c:v>80.321285140562253</c:v>
                </c:pt>
                <c:pt idx="83">
                  <c:v>190.47619047619048</c:v>
                </c:pt>
                <c:pt idx="84">
                  <c:v>138.88888888888889</c:v>
                </c:pt>
                <c:pt idx="85">
                  <c:v>117.1875</c:v>
                </c:pt>
                <c:pt idx="86">
                  <c:v>87.463556851311949</c:v>
                </c:pt>
                <c:pt idx="87">
                  <c:v>120</c:v>
                </c:pt>
                <c:pt idx="88">
                  <c:v>59.230009871668315</c:v>
                </c:pt>
                <c:pt idx="89">
                  <c:v>102.08333333333333</c:v>
                </c:pt>
                <c:pt idx="90">
                  <c:v>85.621001390820581</c:v>
                </c:pt>
                <c:pt idx="91">
                  <c:v>135.17316017316017</c:v>
                </c:pt>
                <c:pt idx="92">
                  <c:v>104.16666666666667</c:v>
                </c:pt>
                <c:pt idx="93">
                  <c:v>102.12418300653594</c:v>
                </c:pt>
                <c:pt idx="94">
                  <c:v>147.92899408284023</c:v>
                </c:pt>
                <c:pt idx="95">
                  <c:v>111.40819964349376</c:v>
                </c:pt>
                <c:pt idx="96">
                  <c:v>122.78978388998036</c:v>
                </c:pt>
                <c:pt idx="97">
                  <c:v>60.153994225216557</c:v>
                </c:pt>
                <c:pt idx="98">
                  <c:v>125.4980079681275</c:v>
                </c:pt>
                <c:pt idx="99">
                  <c:v>132.35294117647058</c:v>
                </c:pt>
                <c:pt idx="100">
                  <c:v>145.88100686498856</c:v>
                </c:pt>
                <c:pt idx="101">
                  <c:v>148.08362369337979</c:v>
                </c:pt>
                <c:pt idx="102">
                  <c:v>176.55172413793105</c:v>
                </c:pt>
                <c:pt idx="103">
                  <c:v>117.27272727272727</c:v>
                </c:pt>
                <c:pt idx="104">
                  <c:v>118.09090909090909</c:v>
                </c:pt>
                <c:pt idx="105">
                  <c:v>47.61904761904762</c:v>
                </c:pt>
                <c:pt idx="106">
                  <c:v>135.41666666666666</c:v>
                </c:pt>
                <c:pt idx="107">
                  <c:v>155.50239234449759</c:v>
                </c:pt>
                <c:pt idx="108">
                  <c:v>162.90726817042608</c:v>
                </c:pt>
                <c:pt idx="109">
                  <c:v>145.08928571428572</c:v>
                </c:pt>
                <c:pt idx="110">
                  <c:v>154.76190476190476</c:v>
                </c:pt>
                <c:pt idx="111">
                  <c:v>157.00483091787439</c:v>
                </c:pt>
                <c:pt idx="112">
                  <c:v>118.50501367365543</c:v>
                </c:pt>
                <c:pt idx="113">
                  <c:v>128.71287128712871</c:v>
                </c:pt>
                <c:pt idx="114">
                  <c:v>146.23172103487065</c:v>
                </c:pt>
                <c:pt idx="115">
                  <c:v>106.55737704918033</c:v>
                </c:pt>
                <c:pt idx="116">
                  <c:v>126.31077216396568</c:v>
                </c:pt>
                <c:pt idx="117">
                  <c:v>168.32793017456359</c:v>
                </c:pt>
                <c:pt idx="118">
                  <c:v>95.20451339915374</c:v>
                </c:pt>
                <c:pt idx="119">
                  <c:v>173.07692307692307</c:v>
                </c:pt>
                <c:pt idx="120">
                  <c:v>159.76331360946745</c:v>
                </c:pt>
                <c:pt idx="121">
                  <c:v>151.68539325842696</c:v>
                </c:pt>
                <c:pt idx="122">
                  <c:v>141.9558359621451</c:v>
                </c:pt>
                <c:pt idx="123">
                  <c:v>143.61702127659575</c:v>
                </c:pt>
                <c:pt idx="124">
                  <c:v>129.00188323917138</c:v>
                </c:pt>
                <c:pt idx="125">
                  <c:v>139.87792472024415</c:v>
                </c:pt>
                <c:pt idx="126">
                  <c:v>239.54703832752614</c:v>
                </c:pt>
                <c:pt idx="127">
                  <c:v>122.66666666666667</c:v>
                </c:pt>
                <c:pt idx="128">
                  <c:v>235.89743589743588</c:v>
                </c:pt>
                <c:pt idx="129">
                  <c:v>196.86162624821682</c:v>
                </c:pt>
                <c:pt idx="130">
                  <c:v>112.41883116883118</c:v>
                </c:pt>
                <c:pt idx="131">
                  <c:v>125.44802867383513</c:v>
                </c:pt>
                <c:pt idx="132">
                  <c:v>141.12903225806451</c:v>
                </c:pt>
                <c:pt idx="133">
                  <c:v>137.38959764474976</c:v>
                </c:pt>
                <c:pt idx="134">
                  <c:v>128.55831037649219</c:v>
                </c:pt>
                <c:pt idx="135">
                  <c:v>149.57264957264957</c:v>
                </c:pt>
                <c:pt idx="136">
                  <c:v>140.8450704225352</c:v>
                </c:pt>
                <c:pt idx="137">
                  <c:v>102.79001468428781</c:v>
                </c:pt>
                <c:pt idx="138">
                  <c:v>71.102082275266639</c:v>
                </c:pt>
                <c:pt idx="139">
                  <c:v>75.757575757575751</c:v>
                </c:pt>
                <c:pt idx="140">
                  <c:v>93.147039254823682</c:v>
                </c:pt>
                <c:pt idx="141">
                  <c:v>151.5151515151515</c:v>
                </c:pt>
                <c:pt idx="142">
                  <c:v>120</c:v>
                </c:pt>
                <c:pt idx="143">
                  <c:v>103.52422907488987</c:v>
                </c:pt>
                <c:pt idx="144">
                  <c:v>171.49758454106279</c:v>
                </c:pt>
                <c:pt idx="145">
                  <c:v>191.86666666666667</c:v>
                </c:pt>
                <c:pt idx="146">
                  <c:v>122.13740458015268</c:v>
                </c:pt>
                <c:pt idx="147">
                  <c:v>204.38472418670437</c:v>
                </c:pt>
                <c:pt idx="148">
                  <c:v>182.38993710691824</c:v>
                </c:pt>
                <c:pt idx="149">
                  <c:v>133.64055299539172</c:v>
                </c:pt>
                <c:pt idx="150">
                  <c:v>143.84920634920636</c:v>
                </c:pt>
                <c:pt idx="151">
                  <c:v>148.41351074718526</c:v>
                </c:pt>
                <c:pt idx="152">
                  <c:v>101.3986013986014</c:v>
                </c:pt>
                <c:pt idx="153">
                  <c:v>116.05723370429253</c:v>
                </c:pt>
                <c:pt idx="154">
                  <c:v>170.93023255813952</c:v>
                </c:pt>
                <c:pt idx="155">
                  <c:v>141.48219441770934</c:v>
                </c:pt>
                <c:pt idx="156">
                  <c:v>144.81409001956948</c:v>
                </c:pt>
                <c:pt idx="157">
                  <c:v>153.3678756476684</c:v>
                </c:pt>
                <c:pt idx="158">
                  <c:v>236.4433811802233</c:v>
                </c:pt>
                <c:pt idx="159">
                  <c:v>185.78553615960101</c:v>
                </c:pt>
                <c:pt idx="160">
                  <c:v>119.72843450479233</c:v>
                </c:pt>
                <c:pt idx="161">
                  <c:v>165.74585635359117</c:v>
                </c:pt>
                <c:pt idx="162">
                  <c:v>187.5</c:v>
                </c:pt>
                <c:pt idx="163">
                  <c:v>107.14285714285714</c:v>
                </c:pt>
                <c:pt idx="164">
                  <c:v>149.85014985014985</c:v>
                </c:pt>
                <c:pt idx="165">
                  <c:v>155.27950310559007</c:v>
                </c:pt>
                <c:pt idx="166">
                  <c:v>99.667774086378742</c:v>
                </c:pt>
                <c:pt idx="167">
                  <c:v>159.23566878980893</c:v>
                </c:pt>
                <c:pt idx="168">
                  <c:v>67.781292363307728</c:v>
                </c:pt>
                <c:pt idx="169">
                  <c:v>128.83959044368601</c:v>
                </c:pt>
                <c:pt idx="170">
                  <c:v>82.65361609570418</c:v>
                </c:pt>
                <c:pt idx="171">
                  <c:v>127.08333333333333</c:v>
                </c:pt>
                <c:pt idx="172">
                  <c:v>211.32596685082873</c:v>
                </c:pt>
                <c:pt idx="173">
                  <c:v>238.02163833075736</c:v>
                </c:pt>
                <c:pt idx="174">
                  <c:v>221.98275862068965</c:v>
                </c:pt>
                <c:pt idx="175">
                  <c:v>183.53080568720378</c:v>
                </c:pt>
                <c:pt idx="176">
                  <c:v>165.06922257720979</c:v>
                </c:pt>
                <c:pt idx="177">
                  <c:v>172.22222222222223</c:v>
                </c:pt>
                <c:pt idx="178">
                  <c:v>181.92488262910797</c:v>
                </c:pt>
                <c:pt idx="179">
                  <c:v>155.31062124248496</c:v>
                </c:pt>
                <c:pt idx="180">
                  <c:v>222.70114942528735</c:v>
                </c:pt>
                <c:pt idx="181">
                  <c:v>174.54954954954954</c:v>
                </c:pt>
                <c:pt idx="182">
                  <c:v>147.3384030418251</c:v>
                </c:pt>
                <c:pt idx="183">
                  <c:v>93.939393939393938</c:v>
                </c:pt>
                <c:pt idx="184">
                  <c:v>176.07223476297969</c:v>
                </c:pt>
                <c:pt idx="185">
                  <c:v>113.63636363636364</c:v>
                </c:pt>
                <c:pt idx="186">
                  <c:v>176.33928571428572</c:v>
                </c:pt>
                <c:pt idx="187">
                  <c:v>137.39130434782609</c:v>
                </c:pt>
                <c:pt idx="188">
                  <c:v>207.68229166666666</c:v>
                </c:pt>
                <c:pt idx="189">
                  <c:v>131.36288998357963</c:v>
                </c:pt>
                <c:pt idx="190">
                  <c:v>228.24536376604851</c:v>
                </c:pt>
                <c:pt idx="191">
                  <c:v>170.94017094017093</c:v>
                </c:pt>
                <c:pt idx="192">
                  <c:v>93.023255813953483</c:v>
                </c:pt>
                <c:pt idx="193">
                  <c:v>196.07843137254903</c:v>
                </c:pt>
                <c:pt idx="194">
                  <c:v>154.29122468659594</c:v>
                </c:pt>
                <c:pt idx="195">
                  <c:v>117.8623718887262</c:v>
                </c:pt>
                <c:pt idx="196">
                  <c:v>92.677345537757432</c:v>
                </c:pt>
                <c:pt idx="197">
                  <c:v>116.84587813620071</c:v>
                </c:pt>
                <c:pt idx="198">
                  <c:v>184.53724604966141</c:v>
                </c:pt>
                <c:pt idx="199">
                  <c:v>123.33582647718774</c:v>
                </c:pt>
                <c:pt idx="200">
                  <c:v>156.15530303030303</c:v>
                </c:pt>
                <c:pt idx="201">
                  <c:v>145.50264550264549</c:v>
                </c:pt>
                <c:pt idx="202">
                  <c:v>145.24647887323943</c:v>
                </c:pt>
                <c:pt idx="203">
                  <c:v>118.70503597122303</c:v>
                </c:pt>
                <c:pt idx="204">
                  <c:v>133.27948303715669</c:v>
                </c:pt>
                <c:pt idx="205">
                  <c:v>173.68421052631578</c:v>
                </c:pt>
                <c:pt idx="206">
                  <c:v>177.99352750809061</c:v>
                </c:pt>
                <c:pt idx="207">
                  <c:v>129.51334379905808</c:v>
                </c:pt>
                <c:pt idx="208">
                  <c:v>183.33333333333334</c:v>
                </c:pt>
                <c:pt idx="209">
                  <c:v>122.22222222222223</c:v>
                </c:pt>
                <c:pt idx="210">
                  <c:v>165</c:v>
                </c:pt>
                <c:pt idx="211">
                  <c:v>154.20560747663552</c:v>
                </c:pt>
                <c:pt idx="212">
                  <c:v>181.31868131868131</c:v>
                </c:pt>
                <c:pt idx="213">
                  <c:v>171.875</c:v>
                </c:pt>
                <c:pt idx="214">
                  <c:v>110.36789297658864</c:v>
                </c:pt>
                <c:pt idx="215">
                  <c:v>158.59449192782526</c:v>
                </c:pt>
                <c:pt idx="216">
                  <c:v>137.11001642036126</c:v>
                </c:pt>
                <c:pt idx="217">
                  <c:v>126.89393939393939</c:v>
                </c:pt>
                <c:pt idx="218">
                  <c:v>107.91826309067689</c:v>
                </c:pt>
                <c:pt idx="219">
                  <c:v>162.88461538461539</c:v>
                </c:pt>
                <c:pt idx="220">
                  <c:v>193.28782707622298</c:v>
                </c:pt>
                <c:pt idx="221">
                  <c:v>167.05998033431661</c:v>
                </c:pt>
                <c:pt idx="222">
                  <c:v>148.60052447552448</c:v>
                </c:pt>
                <c:pt idx="223">
                  <c:v>155.96330275229357</c:v>
                </c:pt>
                <c:pt idx="224">
                  <c:v>154.54545454545453</c:v>
                </c:pt>
                <c:pt idx="225">
                  <c:v>147.82608695652175</c:v>
                </c:pt>
                <c:pt idx="226">
                  <c:v>141.54870940882597</c:v>
                </c:pt>
                <c:pt idx="227">
                  <c:v>222.5130890052356</c:v>
                </c:pt>
                <c:pt idx="228">
                  <c:v>145.29914529914529</c:v>
                </c:pt>
                <c:pt idx="229">
                  <c:v>154.89130434782609</c:v>
                </c:pt>
                <c:pt idx="230">
                  <c:v>129.54545454545453</c:v>
                </c:pt>
                <c:pt idx="231">
                  <c:v>201.05509964830011</c:v>
                </c:pt>
                <c:pt idx="232">
                  <c:v>229.02796271637817</c:v>
                </c:pt>
                <c:pt idx="233">
                  <c:v>188.59649122807016</c:v>
                </c:pt>
                <c:pt idx="234">
                  <c:v>185.08583690987123</c:v>
                </c:pt>
                <c:pt idx="235">
                  <c:v>170.58823529411765</c:v>
                </c:pt>
                <c:pt idx="236">
                  <c:v>194.19642857142858</c:v>
                </c:pt>
                <c:pt idx="237">
                  <c:v>170.4211557296768</c:v>
                </c:pt>
                <c:pt idx="238">
                  <c:v>163.8567415730337</c:v>
                </c:pt>
                <c:pt idx="239">
                  <c:v>93.783494105037519</c:v>
                </c:pt>
                <c:pt idx="240">
                  <c:v>133.79204892966362</c:v>
                </c:pt>
                <c:pt idx="241">
                  <c:v>117.13520749665328</c:v>
                </c:pt>
                <c:pt idx="242">
                  <c:v>194.44444444444446</c:v>
                </c:pt>
                <c:pt idx="243">
                  <c:v>99.318955732122589</c:v>
                </c:pt>
                <c:pt idx="244">
                  <c:v>199.08987485779295</c:v>
                </c:pt>
                <c:pt idx="245">
                  <c:v>87.851405622489963</c:v>
                </c:pt>
                <c:pt idx="246">
                  <c:v>143.79622021364011</c:v>
                </c:pt>
                <c:pt idx="247">
                  <c:v>182.29166666666666</c:v>
                </c:pt>
                <c:pt idx="248">
                  <c:v>182.29166666666666</c:v>
                </c:pt>
                <c:pt idx="249">
                  <c:v>165.71969696969697</c:v>
                </c:pt>
                <c:pt idx="250">
                  <c:v>191.88596491228071</c:v>
                </c:pt>
                <c:pt idx="251">
                  <c:v>103.79596678529063</c:v>
                </c:pt>
                <c:pt idx="252">
                  <c:v>177.12550607287449</c:v>
                </c:pt>
                <c:pt idx="253">
                  <c:v>112.61261261261261</c:v>
                </c:pt>
                <c:pt idx="254">
                  <c:v>182.00620475698034</c:v>
                </c:pt>
                <c:pt idx="255">
                  <c:v>195.33851276359601</c:v>
                </c:pt>
                <c:pt idx="256">
                  <c:v>192.39130434782609</c:v>
                </c:pt>
                <c:pt idx="257">
                  <c:v>161.34913400182316</c:v>
                </c:pt>
                <c:pt idx="258">
                  <c:v>163.43490304709141</c:v>
                </c:pt>
                <c:pt idx="259">
                  <c:v>115.4847104749512</c:v>
                </c:pt>
                <c:pt idx="260">
                  <c:v>100.22522522522523</c:v>
                </c:pt>
                <c:pt idx="261">
                  <c:v>159.49820788530465</c:v>
                </c:pt>
                <c:pt idx="262">
                  <c:v>238.66666666666666</c:v>
                </c:pt>
                <c:pt idx="263">
                  <c:v>166.88311688311688</c:v>
                </c:pt>
                <c:pt idx="264">
                  <c:v>174.08123791102514</c:v>
                </c:pt>
                <c:pt idx="265">
                  <c:v>170.45454545454547</c:v>
                </c:pt>
                <c:pt idx="266">
                  <c:v>111.94029850746269</c:v>
                </c:pt>
                <c:pt idx="267">
                  <c:v>209.79020979020979</c:v>
                </c:pt>
                <c:pt idx="268">
                  <c:v>248.27586206896552</c:v>
                </c:pt>
                <c:pt idx="269">
                  <c:v>158.73015873015873</c:v>
                </c:pt>
                <c:pt idx="270">
                  <c:v>135.0337584396099</c:v>
                </c:pt>
                <c:pt idx="271">
                  <c:v>98.360655737704917</c:v>
                </c:pt>
                <c:pt idx="272">
                  <c:v>162.94642857142858</c:v>
                </c:pt>
                <c:pt idx="273">
                  <c:v>207.71850170261067</c:v>
                </c:pt>
                <c:pt idx="274">
                  <c:v>192.63157894736841</c:v>
                </c:pt>
                <c:pt idx="275">
                  <c:v>228.75</c:v>
                </c:pt>
                <c:pt idx="276">
                  <c:v>184.9</c:v>
                </c:pt>
                <c:pt idx="277">
                  <c:v>221.82254196642685</c:v>
                </c:pt>
                <c:pt idx="278">
                  <c:v>181.19490695396669</c:v>
                </c:pt>
                <c:pt idx="279">
                  <c:v>179.78620019436346</c:v>
                </c:pt>
                <c:pt idx="280">
                  <c:v>254.82093663911846</c:v>
                </c:pt>
                <c:pt idx="281">
                  <c:v>183.53174603174602</c:v>
                </c:pt>
                <c:pt idx="282">
                  <c:v>172.25325884543761</c:v>
                </c:pt>
                <c:pt idx="283">
                  <c:v>148</c:v>
                </c:pt>
                <c:pt idx="284">
                  <c:v>163.13932980599648</c:v>
                </c:pt>
                <c:pt idx="285">
                  <c:v>190.57377049180329</c:v>
                </c:pt>
                <c:pt idx="286">
                  <c:v>262.34132581100141</c:v>
                </c:pt>
                <c:pt idx="287">
                  <c:v>190.38854805725973</c:v>
                </c:pt>
                <c:pt idx="288">
                  <c:v>208.47268673355629</c:v>
                </c:pt>
                <c:pt idx="289">
                  <c:v>139.09495548961425</c:v>
                </c:pt>
                <c:pt idx="290">
                  <c:v>202.70270270270271</c:v>
                </c:pt>
                <c:pt idx="291">
                  <c:v>264.45698166431595</c:v>
                </c:pt>
                <c:pt idx="292">
                  <c:v>205.33769063180827</c:v>
                </c:pt>
                <c:pt idx="293">
                  <c:v>210.68638392857142</c:v>
                </c:pt>
                <c:pt idx="294">
                  <c:v>177.63157894736841</c:v>
                </c:pt>
                <c:pt idx="295">
                  <c:v>179.48717948717947</c:v>
                </c:pt>
                <c:pt idx="296">
                  <c:v>150.43547110055422</c:v>
                </c:pt>
                <c:pt idx="297">
                  <c:v>123.45679012345678</c:v>
                </c:pt>
                <c:pt idx="298">
                  <c:v>201.27118644067798</c:v>
                </c:pt>
                <c:pt idx="299">
                  <c:v>237.5</c:v>
                </c:pt>
                <c:pt idx="300">
                  <c:v>183.22082931533268</c:v>
                </c:pt>
                <c:pt idx="301">
                  <c:v>115.22134627046695</c:v>
                </c:pt>
                <c:pt idx="302">
                  <c:v>165.21739130434781</c:v>
                </c:pt>
                <c:pt idx="303">
                  <c:v>191.14688128772636</c:v>
                </c:pt>
                <c:pt idx="304">
                  <c:v>100.7423117709438</c:v>
                </c:pt>
                <c:pt idx="305">
                  <c:v>177.90262172284645</c:v>
                </c:pt>
                <c:pt idx="306">
                  <c:v>198.32985386221296</c:v>
                </c:pt>
                <c:pt idx="307">
                  <c:v>123.93998695368559</c:v>
                </c:pt>
                <c:pt idx="308">
                  <c:v>186.2548828125</c:v>
                </c:pt>
                <c:pt idx="309">
                  <c:v>180.18867924528303</c:v>
                </c:pt>
                <c:pt idx="310">
                  <c:v>173.4786557674841</c:v>
                </c:pt>
                <c:pt idx="311">
                  <c:v>191</c:v>
                </c:pt>
                <c:pt idx="312">
                  <c:v>170.98214285714286</c:v>
                </c:pt>
                <c:pt idx="313">
                  <c:v>222.9965156794425</c:v>
                </c:pt>
                <c:pt idx="314">
                  <c:v>108.04727068092291</c:v>
                </c:pt>
                <c:pt idx="315">
                  <c:v>157.14285714285714</c:v>
                </c:pt>
                <c:pt idx="316">
                  <c:v>139.65267727930535</c:v>
                </c:pt>
                <c:pt idx="317">
                  <c:v>213.73200442967885</c:v>
                </c:pt>
                <c:pt idx="318">
                  <c:v>146.30467571644041</c:v>
                </c:pt>
                <c:pt idx="319">
                  <c:v>223.1121281464531</c:v>
                </c:pt>
                <c:pt idx="320">
                  <c:v>278.57142857142856</c:v>
                </c:pt>
                <c:pt idx="321">
                  <c:v>200.20533880903491</c:v>
                </c:pt>
                <c:pt idx="322">
                  <c:v>225.69444444444446</c:v>
                </c:pt>
                <c:pt idx="323">
                  <c:v>217.87709497206703</c:v>
                </c:pt>
                <c:pt idx="324">
                  <c:v>241.33663366336634</c:v>
                </c:pt>
                <c:pt idx="325">
                  <c:v>189.87341772151899</c:v>
                </c:pt>
                <c:pt idx="326">
                  <c:v>217.87709497206703</c:v>
                </c:pt>
                <c:pt idx="327">
                  <c:v>192.30769230769232</c:v>
                </c:pt>
                <c:pt idx="328">
                  <c:v>149.76958525345623</c:v>
                </c:pt>
                <c:pt idx="329">
                  <c:v>213.81578947368422</c:v>
                </c:pt>
                <c:pt idx="330">
                  <c:v>165.39440203562341</c:v>
                </c:pt>
                <c:pt idx="331">
                  <c:v>194.80519480519482</c:v>
                </c:pt>
                <c:pt idx="332">
                  <c:v>255.89005235602093</c:v>
                </c:pt>
                <c:pt idx="333">
                  <c:v>183.52059925093633</c:v>
                </c:pt>
                <c:pt idx="334">
                  <c:v>183.52059925093633</c:v>
                </c:pt>
                <c:pt idx="335">
                  <c:v>176.10062893081761</c:v>
                </c:pt>
                <c:pt idx="336">
                  <c:v>128.08842652795838</c:v>
                </c:pt>
                <c:pt idx="337">
                  <c:v>187.61904761904762</c:v>
                </c:pt>
                <c:pt idx="338">
                  <c:v>186.20037807183365</c:v>
                </c:pt>
                <c:pt idx="339">
                  <c:v>116.5680473372781</c:v>
                </c:pt>
                <c:pt idx="340">
                  <c:v>117.141162514828</c:v>
                </c:pt>
                <c:pt idx="341">
                  <c:v>180</c:v>
                </c:pt>
                <c:pt idx="342">
                  <c:v>250</c:v>
                </c:pt>
                <c:pt idx="343">
                  <c:v>176.60142348754448</c:v>
                </c:pt>
                <c:pt idx="344">
                  <c:v>134.82384823848238</c:v>
                </c:pt>
                <c:pt idx="345">
                  <c:v>199.5</c:v>
                </c:pt>
                <c:pt idx="346">
                  <c:v>139.06685236768803</c:v>
                </c:pt>
                <c:pt idx="347">
                  <c:v>142.98998569384835</c:v>
                </c:pt>
                <c:pt idx="348">
                  <c:v>209.75865687303252</c:v>
                </c:pt>
                <c:pt idx="349">
                  <c:v>155.03875968992247</c:v>
                </c:pt>
                <c:pt idx="350">
                  <c:v>193.42359767891682</c:v>
                </c:pt>
                <c:pt idx="351">
                  <c:v>131.4060446780552</c:v>
                </c:pt>
                <c:pt idx="352">
                  <c:v>210.3049421661409</c:v>
                </c:pt>
                <c:pt idx="353">
                  <c:v>230.14959723820482</c:v>
                </c:pt>
                <c:pt idx="354">
                  <c:v>130.89005235602093</c:v>
                </c:pt>
                <c:pt idx="355">
                  <c:v>263.15789473684208</c:v>
                </c:pt>
                <c:pt idx="356">
                  <c:v>131.14754098360655</c:v>
                </c:pt>
                <c:pt idx="357">
                  <c:v>178.57142857142858</c:v>
                </c:pt>
                <c:pt idx="358">
                  <c:v>148.6988847583643</c:v>
                </c:pt>
                <c:pt idx="359">
                  <c:v>130.89005235602093</c:v>
                </c:pt>
                <c:pt idx="360">
                  <c:v>141.94464158977999</c:v>
                </c:pt>
                <c:pt idx="361">
                  <c:v>201</c:v>
                </c:pt>
                <c:pt idx="362">
                  <c:v>205.10204081632654</c:v>
                </c:pt>
                <c:pt idx="363">
                  <c:v>195.16908212560386</c:v>
                </c:pt>
                <c:pt idx="364">
                  <c:v>142.35624123422159</c:v>
                </c:pt>
                <c:pt idx="365">
                  <c:v>201.68483647175421</c:v>
                </c:pt>
                <c:pt idx="366">
                  <c:v>212.29166666666666</c:v>
                </c:pt>
                <c:pt idx="367">
                  <c:v>240.56603773584905</c:v>
                </c:pt>
                <c:pt idx="368">
                  <c:v>205.42713567839195</c:v>
                </c:pt>
                <c:pt idx="369">
                  <c:v>176.1168384879725</c:v>
                </c:pt>
                <c:pt idx="370">
                  <c:v>151.06853352984524</c:v>
                </c:pt>
                <c:pt idx="371">
                  <c:v>203.37301587301587</c:v>
                </c:pt>
                <c:pt idx="372">
                  <c:v>224.78070175438597</c:v>
                </c:pt>
                <c:pt idx="373">
                  <c:v>213.0977130977131</c:v>
                </c:pt>
                <c:pt idx="374">
                  <c:v>139.55071477195372</c:v>
                </c:pt>
                <c:pt idx="375">
                  <c:v>150.51395007342143</c:v>
                </c:pt>
                <c:pt idx="376">
                  <c:v>198.07692307692307</c:v>
                </c:pt>
                <c:pt idx="377">
                  <c:v>150.6949524506218</c:v>
                </c:pt>
                <c:pt idx="378">
                  <c:v>162.20472440944883</c:v>
                </c:pt>
                <c:pt idx="379">
                  <c:v>222.82023681377825</c:v>
                </c:pt>
                <c:pt idx="380">
                  <c:v>134.39119170984455</c:v>
                </c:pt>
                <c:pt idx="381">
                  <c:v>182.29623137598597</c:v>
                </c:pt>
                <c:pt idx="382">
                  <c:v>229.58057395143487</c:v>
                </c:pt>
                <c:pt idx="383">
                  <c:v>134.02061855670104</c:v>
                </c:pt>
                <c:pt idx="384">
                  <c:v>162.00466200466201</c:v>
                </c:pt>
                <c:pt idx="385">
                  <c:v>108.85416666666667</c:v>
                </c:pt>
                <c:pt idx="386">
                  <c:v>207.63131813676907</c:v>
                </c:pt>
                <c:pt idx="387">
                  <c:v>226.78185745140388</c:v>
                </c:pt>
                <c:pt idx="388">
                  <c:v>156.36634400595682</c:v>
                </c:pt>
                <c:pt idx="389">
                  <c:v>220.82018927444796</c:v>
                </c:pt>
                <c:pt idx="390">
                  <c:v>156.36634400595682</c:v>
                </c:pt>
                <c:pt idx="391">
                  <c:v>264.81715006305171</c:v>
                </c:pt>
                <c:pt idx="392">
                  <c:v>233.33333333333334</c:v>
                </c:pt>
                <c:pt idx="393">
                  <c:v>262.5</c:v>
                </c:pt>
                <c:pt idx="394">
                  <c:v>278.51458885941645</c:v>
                </c:pt>
                <c:pt idx="395">
                  <c:v>264.81715006305171</c:v>
                </c:pt>
                <c:pt idx="396">
                  <c:v>199.33712121212122</c:v>
                </c:pt>
                <c:pt idx="397">
                  <c:v>200.95238095238096</c:v>
                </c:pt>
                <c:pt idx="398">
                  <c:v>153.28994938539407</c:v>
                </c:pt>
                <c:pt idx="399">
                  <c:v>275.61608300907909</c:v>
                </c:pt>
                <c:pt idx="400">
                  <c:v>153.67965367965368</c:v>
                </c:pt>
                <c:pt idx="401">
                  <c:v>197.22222222222223</c:v>
                </c:pt>
                <c:pt idx="402">
                  <c:v>171.55448717948718</c:v>
                </c:pt>
                <c:pt idx="403">
                  <c:v>149.02912621359224</c:v>
                </c:pt>
                <c:pt idx="404">
                  <c:v>170.55555555555554</c:v>
                </c:pt>
                <c:pt idx="405">
                  <c:v>194.74637681159419</c:v>
                </c:pt>
                <c:pt idx="406">
                  <c:v>212.03155818540435</c:v>
                </c:pt>
                <c:pt idx="407">
                  <c:v>195.45454545454547</c:v>
                </c:pt>
                <c:pt idx="408">
                  <c:v>219.38775510204081</c:v>
                </c:pt>
                <c:pt idx="409">
                  <c:v>118.5226019845645</c:v>
                </c:pt>
                <c:pt idx="410">
                  <c:v>160.32811334824757</c:v>
                </c:pt>
                <c:pt idx="411">
                  <c:v>215</c:v>
                </c:pt>
                <c:pt idx="412">
                  <c:v>160.44776119402985</c:v>
                </c:pt>
                <c:pt idx="413">
                  <c:v>223.95833333333334</c:v>
                </c:pt>
                <c:pt idx="414">
                  <c:v>296.55172413793105</c:v>
                </c:pt>
                <c:pt idx="415">
                  <c:v>215.21521521521521</c:v>
                </c:pt>
                <c:pt idx="416">
                  <c:v>219.38775510204081</c:v>
                </c:pt>
                <c:pt idx="417">
                  <c:v>125.95196250732279</c:v>
                </c:pt>
                <c:pt idx="418">
                  <c:v>177.39273927392739</c:v>
                </c:pt>
                <c:pt idx="419">
                  <c:v>196.36363636363637</c:v>
                </c:pt>
                <c:pt idx="420">
                  <c:v>200.30092592592592</c:v>
                </c:pt>
                <c:pt idx="421">
                  <c:v>123.94043528064147</c:v>
                </c:pt>
                <c:pt idx="422">
                  <c:v>123.99770904925543</c:v>
                </c:pt>
                <c:pt idx="423">
                  <c:v>197.72727272727272</c:v>
                </c:pt>
                <c:pt idx="424">
                  <c:v>218</c:v>
                </c:pt>
                <c:pt idx="425">
                  <c:v>193.60568383658969</c:v>
                </c:pt>
                <c:pt idx="426">
                  <c:v>199.26873857404021</c:v>
                </c:pt>
                <c:pt idx="427">
                  <c:v>210.63218390804599</c:v>
                </c:pt>
                <c:pt idx="428">
                  <c:v>208.63377609108159</c:v>
                </c:pt>
                <c:pt idx="429">
                  <c:v>170.27863777089783</c:v>
                </c:pt>
                <c:pt idx="430">
                  <c:v>206.37898686679173</c:v>
                </c:pt>
                <c:pt idx="431">
                  <c:v>176.28205128205127</c:v>
                </c:pt>
                <c:pt idx="432">
                  <c:v>133.33333333333334</c:v>
                </c:pt>
                <c:pt idx="433">
                  <c:v>136.64596273291926</c:v>
                </c:pt>
                <c:pt idx="434">
                  <c:v>184.87394957983193</c:v>
                </c:pt>
                <c:pt idx="435">
                  <c:v>241.2280701754386</c:v>
                </c:pt>
                <c:pt idx="436">
                  <c:v>156.25</c:v>
                </c:pt>
                <c:pt idx="437">
                  <c:v>186.28281117696866</c:v>
                </c:pt>
                <c:pt idx="438">
                  <c:v>144.73684210526315</c:v>
                </c:pt>
                <c:pt idx="439">
                  <c:v>200</c:v>
                </c:pt>
                <c:pt idx="440">
                  <c:v>361.84210526315792</c:v>
                </c:pt>
                <c:pt idx="441">
                  <c:v>244.44444444444446</c:v>
                </c:pt>
                <c:pt idx="442">
                  <c:v>151.72413793103448</c:v>
                </c:pt>
                <c:pt idx="443">
                  <c:v>218.25396825396825</c:v>
                </c:pt>
                <c:pt idx="444">
                  <c:v>145.6953642384106</c:v>
                </c:pt>
                <c:pt idx="445">
                  <c:v>190.08620689655172</c:v>
                </c:pt>
                <c:pt idx="446">
                  <c:v>152.38424326192123</c:v>
                </c:pt>
                <c:pt idx="447">
                  <c:v>180.40816326530611</c:v>
                </c:pt>
                <c:pt idx="448">
                  <c:v>176.1904761904762</c:v>
                </c:pt>
                <c:pt idx="449">
                  <c:v>220.23809523809524</c:v>
                </c:pt>
                <c:pt idx="450">
                  <c:v>151.2576478585996</c:v>
                </c:pt>
                <c:pt idx="451">
                  <c:v>156.69014084507043</c:v>
                </c:pt>
                <c:pt idx="452">
                  <c:v>147.81746031746033</c:v>
                </c:pt>
                <c:pt idx="453">
                  <c:v>239.82869379014988</c:v>
                </c:pt>
                <c:pt idx="454">
                  <c:v>172.30769230769232</c:v>
                </c:pt>
                <c:pt idx="455">
                  <c:v>249.0566037735849</c:v>
                </c:pt>
                <c:pt idx="456">
                  <c:v>156.25</c:v>
                </c:pt>
                <c:pt idx="457">
                  <c:v>187.81302170283806</c:v>
                </c:pt>
                <c:pt idx="458">
                  <c:v>208.33333333333334</c:v>
                </c:pt>
                <c:pt idx="459">
                  <c:v>198.9389920424403</c:v>
                </c:pt>
                <c:pt idx="460">
                  <c:v>167.16196136701336</c:v>
                </c:pt>
                <c:pt idx="461">
                  <c:v>108.17307692307692</c:v>
                </c:pt>
                <c:pt idx="462">
                  <c:v>168.41317365269461</c:v>
                </c:pt>
                <c:pt idx="463">
                  <c:v>244.32432432432432</c:v>
                </c:pt>
                <c:pt idx="464">
                  <c:v>196.01040763226365</c:v>
                </c:pt>
                <c:pt idx="465">
                  <c:v>219.37984496124031</c:v>
                </c:pt>
                <c:pt idx="466">
                  <c:v>237.94549266247378</c:v>
                </c:pt>
                <c:pt idx="467">
                  <c:v>242.26254002134471</c:v>
                </c:pt>
                <c:pt idx="468">
                  <c:v>207.87545787545787</c:v>
                </c:pt>
                <c:pt idx="469">
                  <c:v>194.01709401709402</c:v>
                </c:pt>
                <c:pt idx="470">
                  <c:v>226.81954137587238</c:v>
                </c:pt>
                <c:pt idx="471">
                  <c:v>199.73684210526315</c:v>
                </c:pt>
                <c:pt idx="472">
                  <c:v>207.46812386156648</c:v>
                </c:pt>
                <c:pt idx="473">
                  <c:v>230.76923076923077</c:v>
                </c:pt>
                <c:pt idx="474">
                  <c:v>121.7948717948718</c:v>
                </c:pt>
                <c:pt idx="475">
                  <c:v>225.49019607843138</c:v>
                </c:pt>
                <c:pt idx="476">
                  <c:v>204.44444444444446</c:v>
                </c:pt>
                <c:pt idx="477">
                  <c:v>205.17395182872434</c:v>
                </c:pt>
                <c:pt idx="478">
                  <c:v>224.39024390243901</c:v>
                </c:pt>
                <c:pt idx="479">
                  <c:v>217.80303030303031</c:v>
                </c:pt>
                <c:pt idx="480">
                  <c:v>190.39735099337747</c:v>
                </c:pt>
                <c:pt idx="481">
                  <c:v>227.94846382556986</c:v>
                </c:pt>
                <c:pt idx="482">
                  <c:v>222.43713733075435</c:v>
                </c:pt>
                <c:pt idx="483">
                  <c:v>149.35064935064935</c:v>
                </c:pt>
                <c:pt idx="484">
                  <c:v>210.62271062271063</c:v>
                </c:pt>
                <c:pt idx="485">
                  <c:v>220.63037249283667</c:v>
                </c:pt>
                <c:pt idx="486">
                  <c:v>95.375722543352595</c:v>
                </c:pt>
                <c:pt idx="487">
                  <c:v>219.01608325449385</c:v>
                </c:pt>
                <c:pt idx="488">
                  <c:v>179.7360248447205</c:v>
                </c:pt>
                <c:pt idx="489">
                  <c:v>225</c:v>
                </c:pt>
                <c:pt idx="490">
                  <c:v>224.58857696030978</c:v>
                </c:pt>
                <c:pt idx="491">
                  <c:v>152.73206056616195</c:v>
                </c:pt>
                <c:pt idx="492">
                  <c:v>232.5</c:v>
                </c:pt>
                <c:pt idx="493">
                  <c:v>237.99795709908071</c:v>
                </c:pt>
                <c:pt idx="494">
                  <c:v>237.99795709908071</c:v>
                </c:pt>
                <c:pt idx="495">
                  <c:v>141.55528554070474</c:v>
                </c:pt>
                <c:pt idx="496">
                  <c:v>231.88548864758144</c:v>
                </c:pt>
                <c:pt idx="497">
                  <c:v>175.82335329341316</c:v>
                </c:pt>
                <c:pt idx="498">
                  <c:v>204.34782608695653</c:v>
                </c:pt>
                <c:pt idx="499">
                  <c:v>158.46257585974377</c:v>
                </c:pt>
                <c:pt idx="500">
                  <c:v>235</c:v>
                </c:pt>
                <c:pt idx="501">
                  <c:v>171.40773158278628</c:v>
                </c:pt>
                <c:pt idx="502">
                  <c:v>183.73729476153244</c:v>
                </c:pt>
                <c:pt idx="503">
                  <c:v>166.43059490084985</c:v>
                </c:pt>
                <c:pt idx="504">
                  <c:v>189.97574777687956</c:v>
                </c:pt>
                <c:pt idx="505">
                  <c:v>251.33689839572193</c:v>
                </c:pt>
                <c:pt idx="506">
                  <c:v>230.39215686274511</c:v>
                </c:pt>
                <c:pt idx="507">
                  <c:v>220.86466165413535</c:v>
                </c:pt>
                <c:pt idx="508">
                  <c:v>150.44814340588988</c:v>
                </c:pt>
                <c:pt idx="509">
                  <c:v>197.81144781144781</c:v>
                </c:pt>
                <c:pt idx="510">
                  <c:v>180.76923076923077</c:v>
                </c:pt>
                <c:pt idx="511">
                  <c:v>149.58625079567156</c:v>
                </c:pt>
                <c:pt idx="512">
                  <c:v>214.61187214611871</c:v>
                </c:pt>
                <c:pt idx="513">
                  <c:v>180.76923076923077</c:v>
                </c:pt>
                <c:pt idx="514">
                  <c:v>236.94779116465864</c:v>
                </c:pt>
                <c:pt idx="515">
                  <c:v>135.42857142857142</c:v>
                </c:pt>
                <c:pt idx="516">
                  <c:v>136.75706866705136</c:v>
                </c:pt>
                <c:pt idx="517">
                  <c:v>236.78963110667996</c:v>
                </c:pt>
                <c:pt idx="518">
                  <c:v>189.69648562300318</c:v>
                </c:pt>
                <c:pt idx="519">
                  <c:v>154.32098765432099</c:v>
                </c:pt>
                <c:pt idx="520">
                  <c:v>225.37878787878788</c:v>
                </c:pt>
                <c:pt idx="521">
                  <c:v>222.32558139534885</c:v>
                </c:pt>
                <c:pt idx="522">
                  <c:v>175.73529411764707</c:v>
                </c:pt>
                <c:pt idx="523">
                  <c:v>242.0787083753784</c:v>
                </c:pt>
                <c:pt idx="524">
                  <c:v>182.29483282674772</c:v>
                </c:pt>
                <c:pt idx="525">
                  <c:v>145.45454545454547</c:v>
                </c:pt>
                <c:pt idx="526">
                  <c:v>251.04602510460251</c:v>
                </c:pt>
                <c:pt idx="527">
                  <c:v>220.58823529411765</c:v>
                </c:pt>
                <c:pt idx="528">
                  <c:v>260.86956521739131</c:v>
                </c:pt>
                <c:pt idx="529">
                  <c:v>118.34319526627219</c:v>
                </c:pt>
                <c:pt idx="530">
                  <c:v>199.00497512437812</c:v>
                </c:pt>
                <c:pt idx="531">
                  <c:v>240.96385542168676</c:v>
                </c:pt>
                <c:pt idx="532">
                  <c:v>114.72275334608031</c:v>
                </c:pt>
                <c:pt idx="533">
                  <c:v>180.45112781954887</c:v>
                </c:pt>
                <c:pt idx="534">
                  <c:v>239.28215353938185</c:v>
                </c:pt>
                <c:pt idx="535">
                  <c:v>265.78073089700996</c:v>
                </c:pt>
                <c:pt idx="536">
                  <c:v>184.47348193697155</c:v>
                </c:pt>
                <c:pt idx="537">
                  <c:v>172.41379310344828</c:v>
                </c:pt>
                <c:pt idx="538">
                  <c:v>232.69230769230768</c:v>
                </c:pt>
                <c:pt idx="539">
                  <c:v>220</c:v>
                </c:pt>
                <c:pt idx="540">
                  <c:v>224.53703703703704</c:v>
                </c:pt>
                <c:pt idx="541">
                  <c:v>243</c:v>
                </c:pt>
                <c:pt idx="542">
                  <c:v>144.47086801426872</c:v>
                </c:pt>
                <c:pt idx="543">
                  <c:v>241.07142857142858</c:v>
                </c:pt>
                <c:pt idx="544">
                  <c:v>115.49429657794677</c:v>
                </c:pt>
                <c:pt idx="545">
                  <c:v>176.04617604617604</c:v>
                </c:pt>
                <c:pt idx="546">
                  <c:v>162.66666666666666</c:v>
                </c:pt>
                <c:pt idx="547">
                  <c:v>176.04617604617604</c:v>
                </c:pt>
                <c:pt idx="548">
                  <c:v>201.65289256198346</c:v>
                </c:pt>
                <c:pt idx="549">
                  <c:v>163.23529411764707</c:v>
                </c:pt>
                <c:pt idx="550">
                  <c:v>160.69553805774279</c:v>
                </c:pt>
                <c:pt idx="551">
                  <c:v>243.05555555555554</c:v>
                </c:pt>
                <c:pt idx="552">
                  <c:v>212.67361111111111</c:v>
                </c:pt>
                <c:pt idx="553">
                  <c:v>235.8036573628489</c:v>
                </c:pt>
                <c:pt idx="554">
                  <c:v>490</c:v>
                </c:pt>
                <c:pt idx="555">
                  <c:v>210.12006861063466</c:v>
                </c:pt>
                <c:pt idx="556">
                  <c:v>124.49186991869918</c:v>
                </c:pt>
                <c:pt idx="557">
                  <c:v>204.16666666666666</c:v>
                </c:pt>
                <c:pt idx="558">
                  <c:v>243.05555555555554</c:v>
                </c:pt>
                <c:pt idx="559">
                  <c:v>250.25536261491317</c:v>
                </c:pt>
                <c:pt idx="560">
                  <c:v>217.69911504424778</c:v>
                </c:pt>
                <c:pt idx="561">
                  <c:v>194.31279620853081</c:v>
                </c:pt>
                <c:pt idx="562">
                  <c:v>154.61973601508484</c:v>
                </c:pt>
                <c:pt idx="563">
                  <c:v>49.003984063745023</c:v>
                </c:pt>
                <c:pt idx="564">
                  <c:v>128.32550860719874</c:v>
                </c:pt>
                <c:pt idx="565">
                  <c:v>236.31123919308357</c:v>
                </c:pt>
                <c:pt idx="566">
                  <c:v>244.04861111111111</c:v>
                </c:pt>
                <c:pt idx="567">
                  <c:v>226.28374655647383</c:v>
                </c:pt>
                <c:pt idx="568">
                  <c:v>237.47591522157995</c:v>
                </c:pt>
                <c:pt idx="569">
                  <c:v>181.45695364238409</c:v>
                </c:pt>
                <c:pt idx="570">
                  <c:v>187.18726307808947</c:v>
                </c:pt>
                <c:pt idx="571">
                  <c:v>189.272030651341</c:v>
                </c:pt>
                <c:pt idx="572">
                  <c:v>232.3612417685795</c:v>
                </c:pt>
                <c:pt idx="573">
                  <c:v>190.97222222222223</c:v>
                </c:pt>
                <c:pt idx="574">
                  <c:v>186.79245283018867</c:v>
                </c:pt>
                <c:pt idx="575">
                  <c:v>161.8798955613577</c:v>
                </c:pt>
                <c:pt idx="576">
                  <c:v>154.85074626865671</c:v>
                </c:pt>
                <c:pt idx="577">
                  <c:v>183.34556126192223</c:v>
                </c:pt>
                <c:pt idx="578">
                  <c:v>114.58046767537827</c:v>
                </c:pt>
                <c:pt idx="579">
                  <c:v>182.21574344023324</c:v>
                </c:pt>
                <c:pt idx="580">
                  <c:v>110.37527593818984</c:v>
                </c:pt>
                <c:pt idx="581">
                  <c:v>226.65457842248412</c:v>
                </c:pt>
                <c:pt idx="582">
                  <c:v>223.41376228775692</c:v>
                </c:pt>
                <c:pt idx="583">
                  <c:v>256.41025641025641</c:v>
                </c:pt>
                <c:pt idx="584">
                  <c:v>130.75313807531381</c:v>
                </c:pt>
                <c:pt idx="585">
                  <c:v>137.13658804168952</c:v>
                </c:pt>
                <c:pt idx="586">
                  <c:v>242.24806201550388</c:v>
                </c:pt>
                <c:pt idx="587">
                  <c:v>247.77006937561941</c:v>
                </c:pt>
                <c:pt idx="588">
                  <c:v>169.83695652173913</c:v>
                </c:pt>
                <c:pt idx="589">
                  <c:v>222.81639928698752</c:v>
                </c:pt>
                <c:pt idx="590">
                  <c:v>213.85799828913602</c:v>
                </c:pt>
                <c:pt idx="591">
                  <c:v>153.75153751537516</c:v>
                </c:pt>
                <c:pt idx="592">
                  <c:v>228.55941499085924</c:v>
                </c:pt>
                <c:pt idx="593">
                  <c:v>216.21888412017168</c:v>
                </c:pt>
                <c:pt idx="594">
                  <c:v>215.01706484641639</c:v>
                </c:pt>
                <c:pt idx="595">
                  <c:v>279.37915742793791</c:v>
                </c:pt>
                <c:pt idx="596">
                  <c:v>157.5</c:v>
                </c:pt>
                <c:pt idx="597">
                  <c:v>156.8139390168015</c:v>
                </c:pt>
                <c:pt idx="598">
                  <c:v>240.45801526717557</c:v>
                </c:pt>
                <c:pt idx="599">
                  <c:v>161.53846153846155</c:v>
                </c:pt>
                <c:pt idx="600">
                  <c:v>241.41221374045801</c:v>
                </c:pt>
                <c:pt idx="601">
                  <c:v>239.58333333333334</c:v>
                </c:pt>
                <c:pt idx="602">
                  <c:v>224.977856510186</c:v>
                </c:pt>
                <c:pt idx="603">
                  <c:v>238.29588014981275</c:v>
                </c:pt>
                <c:pt idx="604">
                  <c:v>221.7391304347826</c:v>
                </c:pt>
                <c:pt idx="605">
                  <c:v>209.35960591133005</c:v>
                </c:pt>
                <c:pt idx="606">
                  <c:v>202.54169976171565</c:v>
                </c:pt>
                <c:pt idx="607">
                  <c:v>219.44922547332186</c:v>
                </c:pt>
                <c:pt idx="608">
                  <c:v>220.97053726169844</c:v>
                </c:pt>
                <c:pt idx="609">
                  <c:v>216.10169491525423</c:v>
                </c:pt>
                <c:pt idx="610">
                  <c:v>161.49461684610512</c:v>
                </c:pt>
                <c:pt idx="611">
                  <c:v>252.72547076313182</c:v>
                </c:pt>
                <c:pt idx="612">
                  <c:v>216.83673469387756</c:v>
                </c:pt>
                <c:pt idx="613">
                  <c:v>173.46938775510205</c:v>
                </c:pt>
                <c:pt idx="614">
                  <c:v>218.69639794168097</c:v>
                </c:pt>
                <c:pt idx="615">
                  <c:v>242.85714285714286</c:v>
                </c:pt>
                <c:pt idx="616">
                  <c:v>257.31584258324926</c:v>
                </c:pt>
                <c:pt idx="617">
                  <c:v>242.85714285714286</c:v>
                </c:pt>
                <c:pt idx="618">
                  <c:v>296.16724738675958</c:v>
                </c:pt>
                <c:pt idx="619">
                  <c:v>210.69958847736626</c:v>
                </c:pt>
                <c:pt idx="620">
                  <c:v>288.2882882882883</c:v>
                </c:pt>
                <c:pt idx="621">
                  <c:v>251.22331047992165</c:v>
                </c:pt>
                <c:pt idx="622">
                  <c:v>267.1875</c:v>
                </c:pt>
                <c:pt idx="623">
                  <c:v>250.48732943469787</c:v>
                </c:pt>
                <c:pt idx="624">
                  <c:v>243.37121212121212</c:v>
                </c:pt>
                <c:pt idx="625">
                  <c:v>214.16666666666666</c:v>
                </c:pt>
                <c:pt idx="626">
                  <c:v>159.93788819875778</c:v>
                </c:pt>
                <c:pt idx="627">
                  <c:v>205.23809523809524</c:v>
                </c:pt>
                <c:pt idx="628">
                  <c:v>293.65079365079367</c:v>
                </c:pt>
                <c:pt idx="629">
                  <c:v>140.25903939557475</c:v>
                </c:pt>
                <c:pt idx="630">
                  <c:v>150.75406032482599</c:v>
                </c:pt>
                <c:pt idx="631">
                  <c:v>172.07081403044342</c:v>
                </c:pt>
                <c:pt idx="632">
                  <c:v>257.93650793650795</c:v>
                </c:pt>
                <c:pt idx="633">
                  <c:v>218.12080536912751</c:v>
                </c:pt>
                <c:pt idx="634">
                  <c:v>318.23745410036719</c:v>
                </c:pt>
                <c:pt idx="635">
                  <c:v>138.44515441959533</c:v>
                </c:pt>
                <c:pt idx="636">
                  <c:v>250.96525096525096</c:v>
                </c:pt>
                <c:pt idx="637">
                  <c:v>161.79215930304915</c:v>
                </c:pt>
                <c:pt idx="638">
                  <c:v>134.4364012409514</c:v>
                </c:pt>
                <c:pt idx="639">
                  <c:v>187.59018759018758</c:v>
                </c:pt>
                <c:pt idx="640">
                  <c:v>155.87529976019184</c:v>
                </c:pt>
                <c:pt idx="641">
                  <c:v>281.99566160520607</c:v>
                </c:pt>
                <c:pt idx="642">
                  <c:v>350.4043126684636</c:v>
                </c:pt>
                <c:pt idx="643">
                  <c:v>204.08163265306123</c:v>
                </c:pt>
                <c:pt idx="644">
                  <c:v>167.74193548387098</c:v>
                </c:pt>
                <c:pt idx="645">
                  <c:v>164.03785488958991</c:v>
                </c:pt>
                <c:pt idx="646">
                  <c:v>258.4325396825397</c:v>
                </c:pt>
                <c:pt idx="647">
                  <c:v>293.25842696629212</c:v>
                </c:pt>
                <c:pt idx="648">
                  <c:v>209.30232558139534</c:v>
                </c:pt>
                <c:pt idx="649">
                  <c:v>250.95785440613028</c:v>
                </c:pt>
                <c:pt idx="650">
                  <c:v>160.15863331299573</c:v>
                </c:pt>
                <c:pt idx="651">
                  <c:v>173.15303430079155</c:v>
                </c:pt>
                <c:pt idx="652">
                  <c:v>187.78571428571428</c:v>
                </c:pt>
                <c:pt idx="653">
                  <c:v>204.35120435120436</c:v>
                </c:pt>
                <c:pt idx="654">
                  <c:v>164.99372647427853</c:v>
                </c:pt>
                <c:pt idx="655">
                  <c:v>197.01492537313433</c:v>
                </c:pt>
                <c:pt idx="656">
                  <c:v>241.97983501374887</c:v>
                </c:pt>
                <c:pt idx="657">
                  <c:v>158.08383233532933</c:v>
                </c:pt>
                <c:pt idx="658">
                  <c:v>240.64545454545456</c:v>
                </c:pt>
                <c:pt idx="659">
                  <c:v>251.90114068441065</c:v>
                </c:pt>
                <c:pt idx="660">
                  <c:v>193.85515727871251</c:v>
                </c:pt>
                <c:pt idx="661">
                  <c:v>267.67676767676767</c:v>
                </c:pt>
                <c:pt idx="662">
                  <c:v>262.89682539682542</c:v>
                </c:pt>
                <c:pt idx="663">
                  <c:v>106.85483870967742</c:v>
                </c:pt>
                <c:pt idx="664">
                  <c:v>188.74643874643874</c:v>
                </c:pt>
                <c:pt idx="665">
                  <c:v>240.90909090909091</c:v>
                </c:pt>
                <c:pt idx="666">
                  <c:v>237.45519713261649</c:v>
                </c:pt>
                <c:pt idx="667">
                  <c:v>193.85515727871251</c:v>
                </c:pt>
                <c:pt idx="668">
                  <c:v>191.47398843930637</c:v>
                </c:pt>
                <c:pt idx="669">
                  <c:v>152.29885057471265</c:v>
                </c:pt>
                <c:pt idx="670">
                  <c:v>164.90354698195395</c:v>
                </c:pt>
                <c:pt idx="671">
                  <c:v>240.90909090909091</c:v>
                </c:pt>
                <c:pt idx="672">
                  <c:v>265</c:v>
                </c:pt>
                <c:pt idx="673">
                  <c:v>267.5</c:v>
                </c:pt>
                <c:pt idx="674">
                  <c:v>175.98684210526315</c:v>
                </c:pt>
                <c:pt idx="675">
                  <c:v>194.48476052249637</c:v>
                </c:pt>
                <c:pt idx="676">
                  <c:v>215.8908507223114</c:v>
                </c:pt>
                <c:pt idx="677">
                  <c:v>274.2099898063201</c:v>
                </c:pt>
                <c:pt idx="678">
                  <c:v>158.23529411764707</c:v>
                </c:pt>
                <c:pt idx="679">
                  <c:v>143.79328716036227</c:v>
                </c:pt>
                <c:pt idx="680">
                  <c:v>134.0566037735849</c:v>
                </c:pt>
                <c:pt idx="681">
                  <c:v>207.05521472392638</c:v>
                </c:pt>
                <c:pt idx="682">
                  <c:v>134.66334164588528</c:v>
                </c:pt>
                <c:pt idx="683">
                  <c:v>250</c:v>
                </c:pt>
                <c:pt idx="684">
                  <c:v>198.38354151359295</c:v>
                </c:pt>
                <c:pt idx="685">
                  <c:v>294.7598253275109</c:v>
                </c:pt>
                <c:pt idx="686">
                  <c:v>225</c:v>
                </c:pt>
                <c:pt idx="687">
                  <c:v>217.74193548387098</c:v>
                </c:pt>
                <c:pt idx="688">
                  <c:v>180.24032042723633</c:v>
                </c:pt>
                <c:pt idx="689">
                  <c:v>240</c:v>
                </c:pt>
                <c:pt idx="690">
                  <c:v>198.38354151359295</c:v>
                </c:pt>
                <c:pt idx="691">
                  <c:v>167.70186335403727</c:v>
                </c:pt>
                <c:pt idx="692">
                  <c:v>311.41868512110727</c:v>
                </c:pt>
                <c:pt idx="693">
                  <c:v>291.89189189189187</c:v>
                </c:pt>
                <c:pt idx="694">
                  <c:v>136.29480060575466</c:v>
                </c:pt>
                <c:pt idx="695">
                  <c:v>184.42622950819671</c:v>
                </c:pt>
                <c:pt idx="696">
                  <c:v>244.34389140271495</c:v>
                </c:pt>
                <c:pt idx="697">
                  <c:v>199.57153392330383</c:v>
                </c:pt>
                <c:pt idx="698">
                  <c:v>189.90889978976875</c:v>
                </c:pt>
                <c:pt idx="699">
                  <c:v>194.76327116212337</c:v>
                </c:pt>
                <c:pt idx="700">
                  <c:v>191.27988748241913</c:v>
                </c:pt>
                <c:pt idx="701">
                  <c:v>224.54844006568143</c:v>
                </c:pt>
                <c:pt idx="702">
                  <c:v>210.28396009209516</c:v>
                </c:pt>
                <c:pt idx="703">
                  <c:v>239.04347826086956</c:v>
                </c:pt>
                <c:pt idx="704">
                  <c:v>233.64485981308411</c:v>
                </c:pt>
                <c:pt idx="705">
                  <c:v>260.41666666666669</c:v>
                </c:pt>
                <c:pt idx="706">
                  <c:v>233.84353741496599</c:v>
                </c:pt>
                <c:pt idx="707">
                  <c:v>250</c:v>
                </c:pt>
                <c:pt idx="708">
                  <c:v>250</c:v>
                </c:pt>
                <c:pt idx="709">
                  <c:v>148.32793959007552</c:v>
                </c:pt>
                <c:pt idx="710">
                  <c:v>172.41379310344828</c:v>
                </c:pt>
                <c:pt idx="711">
                  <c:v>160.16307513104252</c:v>
                </c:pt>
                <c:pt idx="712">
                  <c:v>191.50417827298051</c:v>
                </c:pt>
                <c:pt idx="713">
                  <c:v>97.138820204874605</c:v>
                </c:pt>
                <c:pt idx="714">
                  <c:v>97.138820204874605</c:v>
                </c:pt>
                <c:pt idx="715">
                  <c:v>155.57497181510709</c:v>
                </c:pt>
                <c:pt idx="716">
                  <c:v>252.03989120580235</c:v>
                </c:pt>
                <c:pt idx="717">
                  <c:v>190.88416723783413</c:v>
                </c:pt>
                <c:pt idx="718">
                  <c:v>223.55769230769232</c:v>
                </c:pt>
                <c:pt idx="719">
                  <c:v>135.70038910505838</c:v>
                </c:pt>
                <c:pt idx="720">
                  <c:v>266.66666666666669</c:v>
                </c:pt>
                <c:pt idx="721">
                  <c:v>231.02310231023102</c:v>
                </c:pt>
                <c:pt idx="722">
                  <c:v>249.11032028469751</c:v>
                </c:pt>
                <c:pt idx="723">
                  <c:v>168.16816816816817</c:v>
                </c:pt>
                <c:pt idx="724">
                  <c:v>244.75524475524475</c:v>
                </c:pt>
                <c:pt idx="725">
                  <c:v>141.55712841253791</c:v>
                </c:pt>
                <c:pt idx="726">
                  <c:v>158.64022662889519</c:v>
                </c:pt>
                <c:pt idx="727">
                  <c:v>157.30337078651687</c:v>
                </c:pt>
                <c:pt idx="728">
                  <c:v>107.40314537782892</c:v>
                </c:pt>
                <c:pt idx="729">
                  <c:v>211.16138763197586</c:v>
                </c:pt>
                <c:pt idx="730">
                  <c:v>178.79948914431674</c:v>
                </c:pt>
                <c:pt idx="731">
                  <c:v>179.83301220295439</c:v>
                </c:pt>
                <c:pt idx="732">
                  <c:v>194.57956914523976</c:v>
                </c:pt>
                <c:pt idx="733">
                  <c:v>235.88879528222409</c:v>
                </c:pt>
                <c:pt idx="734">
                  <c:v>346.96406443618338</c:v>
                </c:pt>
                <c:pt idx="735">
                  <c:v>203.91872278664732</c:v>
                </c:pt>
                <c:pt idx="736">
                  <c:v>201.57819225251077</c:v>
                </c:pt>
                <c:pt idx="737">
                  <c:v>280.03972194637538</c:v>
                </c:pt>
                <c:pt idx="738">
                  <c:v>195.83333333333334</c:v>
                </c:pt>
                <c:pt idx="739">
                  <c:v>210.604929051531</c:v>
                </c:pt>
                <c:pt idx="740">
                  <c:v>278.07881773399015</c:v>
                </c:pt>
                <c:pt idx="741">
                  <c:v>188.33333333333334</c:v>
                </c:pt>
                <c:pt idx="742">
                  <c:v>193.83561643835617</c:v>
                </c:pt>
                <c:pt idx="743">
                  <c:v>284.85456369107322</c:v>
                </c:pt>
                <c:pt idx="744">
                  <c:v>168.43971631205673</c:v>
                </c:pt>
                <c:pt idx="745">
                  <c:v>185.90998043052838</c:v>
                </c:pt>
                <c:pt idx="746">
                  <c:v>148.51485148514851</c:v>
                </c:pt>
                <c:pt idx="747">
                  <c:v>208.94428152492668</c:v>
                </c:pt>
                <c:pt idx="748">
                  <c:v>203.57142857142858</c:v>
                </c:pt>
                <c:pt idx="749">
                  <c:v>281.3425468904245</c:v>
                </c:pt>
                <c:pt idx="750">
                  <c:v>288.16986855409505</c:v>
                </c:pt>
                <c:pt idx="751">
                  <c:v>205.03597122302159</c:v>
                </c:pt>
                <c:pt idx="752">
                  <c:v>205.62770562770564</c:v>
                </c:pt>
                <c:pt idx="753">
                  <c:v>159.57446808510639</c:v>
                </c:pt>
                <c:pt idx="754">
                  <c:v>252.88376220053237</c:v>
                </c:pt>
                <c:pt idx="755">
                  <c:v>135.71428571428572</c:v>
                </c:pt>
                <c:pt idx="756">
                  <c:v>228.9156626506024</c:v>
                </c:pt>
                <c:pt idx="757">
                  <c:v>216.89497716894977</c:v>
                </c:pt>
                <c:pt idx="758">
                  <c:v>171.37702946482261</c:v>
                </c:pt>
                <c:pt idx="759">
                  <c:v>141.50943396226415</c:v>
                </c:pt>
                <c:pt idx="760">
                  <c:v>211.73848439821694</c:v>
                </c:pt>
                <c:pt idx="761">
                  <c:v>222.65625</c:v>
                </c:pt>
                <c:pt idx="762">
                  <c:v>157.25274725274724</c:v>
                </c:pt>
                <c:pt idx="763">
                  <c:v>249.13194444444446</c:v>
                </c:pt>
                <c:pt idx="764">
                  <c:v>169.62174940898345</c:v>
                </c:pt>
                <c:pt idx="765">
                  <c:v>185.33204384268214</c:v>
                </c:pt>
                <c:pt idx="766">
                  <c:v>143.34992533598805</c:v>
                </c:pt>
                <c:pt idx="767">
                  <c:v>274.28571428571428</c:v>
                </c:pt>
                <c:pt idx="768">
                  <c:v>253.64354697102721</c:v>
                </c:pt>
                <c:pt idx="769">
                  <c:v>183.14321926489228</c:v>
                </c:pt>
                <c:pt idx="770">
                  <c:v>280.91085271317831</c:v>
                </c:pt>
                <c:pt idx="771">
                  <c:v>125.93397046046915</c:v>
                </c:pt>
                <c:pt idx="772">
                  <c:v>242.47491638795987</c:v>
                </c:pt>
                <c:pt idx="773">
                  <c:v>153.27695560253699</c:v>
                </c:pt>
                <c:pt idx="774">
                  <c:v>251.73611111111111</c:v>
                </c:pt>
                <c:pt idx="775">
                  <c:v>284.87229862475442</c:v>
                </c:pt>
                <c:pt idx="776">
                  <c:v>138.0952380952381</c:v>
                </c:pt>
                <c:pt idx="777">
                  <c:v>446.15384615384613</c:v>
                </c:pt>
                <c:pt idx="778">
                  <c:v>163.10461192350957</c:v>
                </c:pt>
                <c:pt idx="779">
                  <c:v>214.65581051073278</c:v>
                </c:pt>
                <c:pt idx="780">
                  <c:v>287.69841269841271</c:v>
                </c:pt>
                <c:pt idx="781">
                  <c:v>177.26161369193153</c:v>
                </c:pt>
                <c:pt idx="782">
                  <c:v>194.10977242302545</c:v>
                </c:pt>
                <c:pt idx="783">
                  <c:v>178.13267813267814</c:v>
                </c:pt>
                <c:pt idx="784">
                  <c:v>300.61983471074382</c:v>
                </c:pt>
                <c:pt idx="785">
                  <c:v>241.69435215946845</c:v>
                </c:pt>
                <c:pt idx="786">
                  <c:v>283.00970873786406</c:v>
                </c:pt>
                <c:pt idx="787">
                  <c:v>301.65289256198349</c:v>
                </c:pt>
                <c:pt idx="788">
                  <c:v>284.04669260700388</c:v>
                </c:pt>
                <c:pt idx="789">
                  <c:v>153.94736842105263</c:v>
                </c:pt>
                <c:pt idx="790">
                  <c:v>289.60396039603961</c:v>
                </c:pt>
                <c:pt idx="791">
                  <c:v>273.62020579981294</c:v>
                </c:pt>
                <c:pt idx="792">
                  <c:v>266.60600545950865</c:v>
                </c:pt>
                <c:pt idx="793">
                  <c:v>173.97631734754293</c:v>
                </c:pt>
                <c:pt idx="794">
                  <c:v>274.32558139534882</c:v>
                </c:pt>
                <c:pt idx="795">
                  <c:v>230.64894448788115</c:v>
                </c:pt>
                <c:pt idx="796">
                  <c:v>366.91542288557213</c:v>
                </c:pt>
                <c:pt idx="797">
                  <c:v>230.64894448788115</c:v>
                </c:pt>
                <c:pt idx="798">
                  <c:v>231.37254901960785</c:v>
                </c:pt>
                <c:pt idx="799">
                  <c:v>263.39285714285717</c:v>
                </c:pt>
                <c:pt idx="800">
                  <c:v>282.56704980842915</c:v>
                </c:pt>
                <c:pt idx="801">
                  <c:v>226.4006139677667</c:v>
                </c:pt>
                <c:pt idx="802">
                  <c:v>160.76294277929156</c:v>
                </c:pt>
                <c:pt idx="803">
                  <c:v>147.46276067527307</c:v>
                </c:pt>
                <c:pt idx="804">
                  <c:v>247.70642201834863</c:v>
                </c:pt>
                <c:pt idx="805">
                  <c:v>268.01801801801804</c:v>
                </c:pt>
                <c:pt idx="806">
                  <c:v>181.70731707317074</c:v>
                </c:pt>
                <c:pt idx="807">
                  <c:v>229.96918335901387</c:v>
                </c:pt>
                <c:pt idx="808">
                  <c:v>274.81617647058823</c:v>
                </c:pt>
                <c:pt idx="809">
                  <c:v>209.09090909090909</c:v>
                </c:pt>
                <c:pt idx="810">
                  <c:v>249.16666666666666</c:v>
                </c:pt>
                <c:pt idx="811">
                  <c:v>248.95920066611157</c:v>
                </c:pt>
                <c:pt idx="812">
                  <c:v>180.55555555555554</c:v>
                </c:pt>
                <c:pt idx="813">
                  <c:v>145.32250242483028</c:v>
                </c:pt>
                <c:pt idx="814">
                  <c:v>171.66571265025757</c:v>
                </c:pt>
                <c:pt idx="815">
                  <c:v>179.90401919616076</c:v>
                </c:pt>
                <c:pt idx="816">
                  <c:v>168.76758581879571</c:v>
                </c:pt>
                <c:pt idx="817">
                  <c:v>175.68834212067955</c:v>
                </c:pt>
                <c:pt idx="818">
                  <c:v>286.53295128939828</c:v>
                </c:pt>
                <c:pt idx="819">
                  <c:v>189.2744479495268</c:v>
                </c:pt>
                <c:pt idx="820">
                  <c:v>205.19835841313269</c:v>
                </c:pt>
                <c:pt idx="821">
                  <c:v>284.90028490028487</c:v>
                </c:pt>
                <c:pt idx="822">
                  <c:v>274.97708524289641</c:v>
                </c:pt>
                <c:pt idx="823">
                  <c:v>196.07843137254903</c:v>
                </c:pt>
                <c:pt idx="824">
                  <c:v>177.40981667652278</c:v>
                </c:pt>
                <c:pt idx="825">
                  <c:v>300</c:v>
                </c:pt>
                <c:pt idx="826">
                  <c:v>250</c:v>
                </c:pt>
                <c:pt idx="827">
                  <c:v>217.70682148040638</c:v>
                </c:pt>
                <c:pt idx="828">
                  <c:v>292.6829268292683</c:v>
                </c:pt>
                <c:pt idx="829">
                  <c:v>178.14726840855107</c:v>
                </c:pt>
                <c:pt idx="830">
                  <c:v>267.61819803746653</c:v>
                </c:pt>
                <c:pt idx="831">
                  <c:v>204.91803278688525</c:v>
                </c:pt>
                <c:pt idx="832">
                  <c:v>240</c:v>
                </c:pt>
                <c:pt idx="833">
                  <c:v>275.73529411764707</c:v>
                </c:pt>
                <c:pt idx="834">
                  <c:v>195.18542615484711</c:v>
                </c:pt>
                <c:pt idx="835">
                  <c:v>130.43478260869566</c:v>
                </c:pt>
                <c:pt idx="836">
                  <c:v>133.57079252003561</c:v>
                </c:pt>
                <c:pt idx="837">
                  <c:v>207.46887966804979</c:v>
                </c:pt>
                <c:pt idx="838">
                  <c:v>142.04545454545453</c:v>
                </c:pt>
                <c:pt idx="839">
                  <c:v>148.8833746898263</c:v>
                </c:pt>
                <c:pt idx="840">
                  <c:v>194.19354838709677</c:v>
                </c:pt>
                <c:pt idx="841">
                  <c:v>286.93994280266924</c:v>
                </c:pt>
                <c:pt idx="842">
                  <c:v>323.6559139784946</c:v>
                </c:pt>
                <c:pt idx="843">
                  <c:v>215.71428571428572</c:v>
                </c:pt>
                <c:pt idx="844">
                  <c:v>274.04718693284934</c:v>
                </c:pt>
                <c:pt idx="845">
                  <c:v>300.59523809523807</c:v>
                </c:pt>
                <c:pt idx="846">
                  <c:v>224.85207100591717</c:v>
                </c:pt>
                <c:pt idx="847">
                  <c:v>220.01445086705203</c:v>
                </c:pt>
                <c:pt idx="848">
                  <c:v>160.94986807387863</c:v>
                </c:pt>
                <c:pt idx="849">
                  <c:v>300.49261083743841</c:v>
                </c:pt>
                <c:pt idx="850">
                  <c:v>152.04386839481555</c:v>
                </c:pt>
                <c:pt idx="851">
                  <c:v>288.82575757575756</c:v>
                </c:pt>
                <c:pt idx="852">
                  <c:v>109.79121670266379</c:v>
                </c:pt>
                <c:pt idx="853">
                  <c:v>268.48591549295776</c:v>
                </c:pt>
                <c:pt idx="854">
                  <c:v>197.53886010362694</c:v>
                </c:pt>
                <c:pt idx="855">
                  <c:v>181.11638954869358</c:v>
                </c:pt>
                <c:pt idx="856">
                  <c:v>249.79524979524979</c:v>
                </c:pt>
                <c:pt idx="857">
                  <c:v>188.27160493827159</c:v>
                </c:pt>
                <c:pt idx="858">
                  <c:v>166.39388979814512</c:v>
                </c:pt>
                <c:pt idx="859">
                  <c:v>309.71659919028338</c:v>
                </c:pt>
                <c:pt idx="860">
                  <c:v>173.07692307692307</c:v>
                </c:pt>
                <c:pt idx="861">
                  <c:v>183.64289994008388</c:v>
                </c:pt>
                <c:pt idx="862">
                  <c:v>250.61324611610794</c:v>
                </c:pt>
                <c:pt idx="863">
                  <c:v>136.08156028368793</c:v>
                </c:pt>
                <c:pt idx="864">
                  <c:v>212.95013850415512</c:v>
                </c:pt>
                <c:pt idx="865">
                  <c:v>293.33333333333331</c:v>
                </c:pt>
                <c:pt idx="866">
                  <c:v>279.51042611060745</c:v>
                </c:pt>
                <c:pt idx="867">
                  <c:v>177.50287686996549</c:v>
                </c:pt>
                <c:pt idx="868">
                  <c:v>132.05128205128204</c:v>
                </c:pt>
                <c:pt idx="869">
                  <c:v>303.92156862745099</c:v>
                </c:pt>
                <c:pt idx="870">
                  <c:v>192.90603609209708</c:v>
                </c:pt>
                <c:pt idx="871">
                  <c:v>212.32876712328766</c:v>
                </c:pt>
                <c:pt idx="872">
                  <c:v>213.79310344827587</c:v>
                </c:pt>
                <c:pt idx="873">
                  <c:v>254.93421052631578</c:v>
                </c:pt>
                <c:pt idx="874">
                  <c:v>225.45454545454547</c:v>
                </c:pt>
                <c:pt idx="875">
                  <c:v>170.14270032930844</c:v>
                </c:pt>
                <c:pt idx="876">
                  <c:v>176.63817663817665</c:v>
                </c:pt>
                <c:pt idx="877">
                  <c:v>307.23488602576811</c:v>
                </c:pt>
                <c:pt idx="878">
                  <c:v>158.16326530612244</c:v>
                </c:pt>
                <c:pt idx="879">
                  <c:v>241.80967238689547</c:v>
                </c:pt>
                <c:pt idx="880">
                  <c:v>197.70408163265307</c:v>
                </c:pt>
                <c:pt idx="881">
                  <c:v>258.33333333333331</c:v>
                </c:pt>
                <c:pt idx="882">
                  <c:v>99.614395886889454</c:v>
                </c:pt>
                <c:pt idx="883">
                  <c:v>179.45758799769186</c:v>
                </c:pt>
                <c:pt idx="884">
                  <c:v>208.16599732262384</c:v>
                </c:pt>
                <c:pt idx="885">
                  <c:v>215.12430939226519</c:v>
                </c:pt>
                <c:pt idx="886">
                  <c:v>184.83412322274881</c:v>
                </c:pt>
                <c:pt idx="887">
                  <c:v>339.86928104575162</c:v>
                </c:pt>
                <c:pt idx="888">
                  <c:v>232.83582089552237</c:v>
                </c:pt>
                <c:pt idx="889">
                  <c:v>173.14095449500556</c:v>
                </c:pt>
                <c:pt idx="890">
                  <c:v>250</c:v>
                </c:pt>
                <c:pt idx="891">
                  <c:v>233.5575485799701</c:v>
                </c:pt>
                <c:pt idx="892">
                  <c:v>267.06484641638224</c:v>
                </c:pt>
                <c:pt idx="893">
                  <c:v>265.70458404074702</c:v>
                </c:pt>
                <c:pt idx="894">
                  <c:v>153.36021505376345</c:v>
                </c:pt>
                <c:pt idx="895">
                  <c:v>222.38700564971751</c:v>
                </c:pt>
                <c:pt idx="896">
                  <c:v>165.38865546218489</c:v>
                </c:pt>
                <c:pt idx="897">
                  <c:v>178.16742081447964</c:v>
                </c:pt>
                <c:pt idx="898">
                  <c:v>154.10958904109589</c:v>
                </c:pt>
                <c:pt idx="899">
                  <c:v>293.02325581395348</c:v>
                </c:pt>
                <c:pt idx="900">
                  <c:v>306.71859785783835</c:v>
                </c:pt>
                <c:pt idx="901">
                  <c:v>233.33333333333334</c:v>
                </c:pt>
                <c:pt idx="902">
                  <c:v>151.73410404624278</c:v>
                </c:pt>
                <c:pt idx="903">
                  <c:v>266.27218934911241</c:v>
                </c:pt>
                <c:pt idx="904">
                  <c:v>273.91304347826087</c:v>
                </c:pt>
                <c:pt idx="905">
                  <c:v>234.02674591381873</c:v>
                </c:pt>
                <c:pt idx="906">
                  <c:v>202.3121387283237</c:v>
                </c:pt>
                <c:pt idx="907">
                  <c:v>174.80577136514984</c:v>
                </c:pt>
                <c:pt idx="908">
                  <c:v>226.6857962697274</c:v>
                </c:pt>
                <c:pt idx="909">
                  <c:v>206.87172774869109</c:v>
                </c:pt>
                <c:pt idx="910">
                  <c:v>230.85339168490154</c:v>
                </c:pt>
                <c:pt idx="911">
                  <c:v>284.05017921146953</c:v>
                </c:pt>
                <c:pt idx="912">
                  <c:v>185.16355140186917</c:v>
                </c:pt>
                <c:pt idx="913">
                  <c:v>178.17059483726149</c:v>
                </c:pt>
                <c:pt idx="914">
                  <c:v>141.33333333333334</c:v>
                </c:pt>
                <c:pt idx="915">
                  <c:v>282.41563055062164</c:v>
                </c:pt>
                <c:pt idx="916">
                  <c:v>179.1549295774648</c:v>
                </c:pt>
                <c:pt idx="917">
                  <c:v>275.80225498699048</c:v>
                </c:pt>
                <c:pt idx="918">
                  <c:v>113.00035423308537</c:v>
                </c:pt>
                <c:pt idx="919">
                  <c:v>254.79233226837061</c:v>
                </c:pt>
                <c:pt idx="920">
                  <c:v>169.50053134962806</c:v>
                </c:pt>
                <c:pt idx="921">
                  <c:v>180.22535211267606</c:v>
                </c:pt>
                <c:pt idx="922">
                  <c:v>306.1244019138756</c:v>
                </c:pt>
                <c:pt idx="923">
                  <c:v>290.81818181818181</c:v>
                </c:pt>
                <c:pt idx="924">
                  <c:v>177.72222222222223</c:v>
                </c:pt>
                <c:pt idx="925">
                  <c:v>202.275600505689</c:v>
                </c:pt>
                <c:pt idx="926">
                  <c:v>315.58185404339252</c:v>
                </c:pt>
                <c:pt idx="927">
                  <c:v>131.04013104013103</c:v>
                </c:pt>
                <c:pt idx="928">
                  <c:v>199.25280199252802</c:v>
                </c:pt>
                <c:pt idx="929">
                  <c:v>192.19219219219218</c:v>
                </c:pt>
                <c:pt idx="930">
                  <c:v>267.78242677824267</c:v>
                </c:pt>
                <c:pt idx="931">
                  <c:v>112.67605633802818</c:v>
                </c:pt>
                <c:pt idx="932">
                  <c:v>214.76510067114094</c:v>
                </c:pt>
                <c:pt idx="933">
                  <c:v>308.88030888030886</c:v>
                </c:pt>
                <c:pt idx="934">
                  <c:v>324.2147922998987</c:v>
                </c:pt>
                <c:pt idx="935">
                  <c:v>230.54755043227667</c:v>
                </c:pt>
                <c:pt idx="936">
                  <c:v>159.76035946080879</c:v>
                </c:pt>
                <c:pt idx="937">
                  <c:v>290.38112522686026</c:v>
                </c:pt>
                <c:pt idx="938">
                  <c:v>312.3181377303589</c:v>
                </c:pt>
                <c:pt idx="939">
                  <c:v>168.14621409921671</c:v>
                </c:pt>
                <c:pt idx="940">
                  <c:v>179.11111111111111</c:v>
                </c:pt>
                <c:pt idx="941">
                  <c:v>121.55237377543331</c:v>
                </c:pt>
                <c:pt idx="942">
                  <c:v>204.30107526881721</c:v>
                </c:pt>
                <c:pt idx="943">
                  <c:v>222.58953168044079</c:v>
                </c:pt>
                <c:pt idx="944">
                  <c:v>259.42261427425819</c:v>
                </c:pt>
                <c:pt idx="945">
                  <c:v>202.68582136164898</c:v>
                </c:pt>
                <c:pt idx="946">
                  <c:v>194.20203227734609</c:v>
                </c:pt>
                <c:pt idx="947">
                  <c:v>264.01299756295697</c:v>
                </c:pt>
                <c:pt idx="948">
                  <c:v>150.60240963855421</c:v>
                </c:pt>
                <c:pt idx="949">
                  <c:v>218.85521885521885</c:v>
                </c:pt>
                <c:pt idx="950">
                  <c:v>313.40405014464801</c:v>
                </c:pt>
                <c:pt idx="951">
                  <c:v>165.47861507128309</c:v>
                </c:pt>
                <c:pt idx="952">
                  <c:v>150.7421150278293</c:v>
                </c:pt>
                <c:pt idx="953">
                  <c:v>149.35661764705881</c:v>
                </c:pt>
                <c:pt idx="954">
                  <c:v>230.49645390070921</c:v>
                </c:pt>
                <c:pt idx="955">
                  <c:v>187.96992481203009</c:v>
                </c:pt>
                <c:pt idx="956">
                  <c:v>323.3830845771144</c:v>
                </c:pt>
                <c:pt idx="957">
                  <c:v>215.23178807947019</c:v>
                </c:pt>
                <c:pt idx="958">
                  <c:v>277.06734867860189</c:v>
                </c:pt>
                <c:pt idx="959">
                  <c:v>165.6472986748216</c:v>
                </c:pt>
                <c:pt idx="960">
                  <c:v>228.87323943661971</c:v>
                </c:pt>
                <c:pt idx="961">
                  <c:v>314.31334622823982</c:v>
                </c:pt>
                <c:pt idx="962">
                  <c:v>192.42155121373594</c:v>
                </c:pt>
                <c:pt idx="963">
                  <c:v>317.07317073170731</c:v>
                </c:pt>
                <c:pt idx="964">
                  <c:v>270.60782681099084</c:v>
                </c:pt>
                <c:pt idx="965">
                  <c:v>153.1573986804901</c:v>
                </c:pt>
                <c:pt idx="966">
                  <c:v>324.40476190476193</c:v>
                </c:pt>
                <c:pt idx="967">
                  <c:v>193.72037914691944</c:v>
                </c:pt>
                <c:pt idx="968">
                  <c:v>169.77225672877847</c:v>
                </c:pt>
                <c:pt idx="969">
                  <c:v>301.28205128205127</c:v>
                </c:pt>
                <c:pt idx="970">
                  <c:v>175.71884984025559</c:v>
                </c:pt>
                <c:pt idx="971">
                  <c:v>234.04255319148936</c:v>
                </c:pt>
                <c:pt idx="972">
                  <c:v>179.64071856287424</c:v>
                </c:pt>
                <c:pt idx="973">
                  <c:v>318.53281853281851</c:v>
                </c:pt>
                <c:pt idx="974">
                  <c:v>186.65158371040724</c:v>
                </c:pt>
                <c:pt idx="975">
                  <c:v>163.20474777448072</c:v>
                </c:pt>
                <c:pt idx="976">
                  <c:v>220</c:v>
                </c:pt>
                <c:pt idx="977">
                  <c:v>302.19780219780222</c:v>
                </c:pt>
                <c:pt idx="978">
                  <c:v>152.91936978683967</c:v>
                </c:pt>
                <c:pt idx="979">
                  <c:v>157.74378585086043</c:v>
                </c:pt>
                <c:pt idx="980">
                  <c:v>152.60488704472107</c:v>
                </c:pt>
                <c:pt idx="981">
                  <c:v>319.71153846153845</c:v>
                </c:pt>
                <c:pt idx="982">
                  <c:v>259.765625</c:v>
                </c:pt>
                <c:pt idx="983">
                  <c:v>210.19509125235999</c:v>
                </c:pt>
                <c:pt idx="984">
                  <c:v>170.05076142131981</c:v>
                </c:pt>
                <c:pt idx="985">
                  <c:v>215.85051546391753</c:v>
                </c:pt>
                <c:pt idx="986">
                  <c:v>193.19492502883506</c:v>
                </c:pt>
                <c:pt idx="987">
                  <c:v>262.9513343799058</c:v>
                </c:pt>
                <c:pt idx="988">
                  <c:v>297.77777777777777</c:v>
                </c:pt>
                <c:pt idx="989">
                  <c:v>163.09639727361247</c:v>
                </c:pt>
                <c:pt idx="990">
                  <c:v>297.77777777777777</c:v>
                </c:pt>
                <c:pt idx="991">
                  <c:v>236.24823695345557</c:v>
                </c:pt>
                <c:pt idx="992">
                  <c:v>235.41813070976809</c:v>
                </c:pt>
                <c:pt idx="993">
                  <c:v>220.39473684210526</c:v>
                </c:pt>
                <c:pt idx="994">
                  <c:v>241.87725631768953</c:v>
                </c:pt>
                <c:pt idx="995">
                  <c:v>279.76686094920899</c:v>
                </c:pt>
                <c:pt idx="996">
                  <c:v>145.83333333333334</c:v>
                </c:pt>
                <c:pt idx="997">
                  <c:v>240.38461538461539</c:v>
                </c:pt>
                <c:pt idx="998">
                  <c:v>240.38461538461539</c:v>
                </c:pt>
                <c:pt idx="999">
                  <c:v>200.1779359430605</c:v>
                </c:pt>
                <c:pt idx="1000">
                  <c:v>183.59587180879956</c:v>
                </c:pt>
                <c:pt idx="1001">
                  <c:v>174.22680412371133</c:v>
                </c:pt>
                <c:pt idx="1002">
                  <c:v>167.15976331360946</c:v>
                </c:pt>
                <c:pt idx="1003">
                  <c:v>338.68394815553341</c:v>
                </c:pt>
                <c:pt idx="1004">
                  <c:v>206.6301703163017</c:v>
                </c:pt>
                <c:pt idx="1005">
                  <c:v>164.83996120271581</c:v>
                </c:pt>
                <c:pt idx="1006">
                  <c:v>215.94663278271918</c:v>
                </c:pt>
                <c:pt idx="1007">
                  <c:v>236.27519110493398</c:v>
                </c:pt>
                <c:pt idx="1008">
                  <c:v>170.25538307461193</c:v>
                </c:pt>
                <c:pt idx="1009">
                  <c:v>170.25538307461193</c:v>
                </c:pt>
                <c:pt idx="1010">
                  <c:v>217.39130434782609</c:v>
                </c:pt>
                <c:pt idx="1011">
                  <c:v>298.24561403508773</c:v>
                </c:pt>
                <c:pt idx="1012">
                  <c:v>320.15065913371001</c:v>
                </c:pt>
                <c:pt idx="1013">
                  <c:v>206.3106796116505</c:v>
                </c:pt>
                <c:pt idx="1014">
                  <c:v>203.34928229665073</c:v>
                </c:pt>
                <c:pt idx="1015">
                  <c:v>164.64891041162227</c:v>
                </c:pt>
                <c:pt idx="1016">
                  <c:v>377.77777777777777</c:v>
                </c:pt>
                <c:pt idx="1017">
                  <c:v>141.66666666666666</c:v>
                </c:pt>
                <c:pt idx="1018">
                  <c:v>333.00685602350637</c:v>
                </c:pt>
                <c:pt idx="1019">
                  <c:v>226.66666666666666</c:v>
                </c:pt>
                <c:pt idx="1020">
                  <c:v>174.80719794344472</c:v>
                </c:pt>
                <c:pt idx="1021">
                  <c:v>260.33690658499233</c:v>
                </c:pt>
                <c:pt idx="1022">
                  <c:v>352.69709543568467</c:v>
                </c:pt>
                <c:pt idx="1023">
                  <c:v>340</c:v>
                </c:pt>
                <c:pt idx="1024">
                  <c:v>212.72613849033064</c:v>
                </c:pt>
                <c:pt idx="1025">
                  <c:v>273.45629510825984</c:v>
                </c:pt>
                <c:pt idx="1026">
                  <c:v>168.70983687592684</c:v>
                </c:pt>
                <c:pt idx="1027">
                  <c:v>196</c:v>
                </c:pt>
                <c:pt idx="1028">
                  <c:v>197.36842105263159</c:v>
                </c:pt>
                <c:pt idx="1029">
                  <c:v>268.90101325019486</c:v>
                </c:pt>
                <c:pt idx="1030">
                  <c:v>237.43977976600138</c:v>
                </c:pt>
                <c:pt idx="1031">
                  <c:v>196.46924829157174</c:v>
                </c:pt>
                <c:pt idx="1032">
                  <c:v>213.8871667699938</c:v>
                </c:pt>
                <c:pt idx="1033">
                  <c:v>202.58367586611863</c:v>
                </c:pt>
                <c:pt idx="1034">
                  <c:v>316.51376146788994</c:v>
                </c:pt>
                <c:pt idx="1035">
                  <c:v>209.85401459854015</c:v>
                </c:pt>
                <c:pt idx="1036">
                  <c:v>202.94117647058823</c:v>
                </c:pt>
                <c:pt idx="1037">
                  <c:v>152.79007971656333</c:v>
                </c:pt>
                <c:pt idx="1038">
                  <c:v>193.16909294512877</c:v>
                </c:pt>
                <c:pt idx="1039">
                  <c:v>188.93756845564076</c:v>
                </c:pt>
                <c:pt idx="1040">
                  <c:v>167.47572815533979</c:v>
                </c:pt>
                <c:pt idx="1041">
                  <c:v>222.65122265122264</c:v>
                </c:pt>
                <c:pt idx="1042">
                  <c:v>328.43601895734599</c:v>
                </c:pt>
                <c:pt idx="1043">
                  <c:v>190.90909090909091</c:v>
                </c:pt>
                <c:pt idx="1044">
                  <c:v>258.76211782252051</c:v>
                </c:pt>
                <c:pt idx="1045">
                  <c:v>247.85714285714286</c:v>
                </c:pt>
                <c:pt idx="1046">
                  <c:v>180.87318087318087</c:v>
                </c:pt>
                <c:pt idx="1047">
                  <c:v>295.91836734693879</c:v>
                </c:pt>
                <c:pt idx="1048">
                  <c:v>189.13043478260869</c:v>
                </c:pt>
                <c:pt idx="1049">
                  <c:v>347.95613160518445</c:v>
                </c:pt>
                <c:pt idx="1050">
                  <c:v>215.20935960591132</c:v>
                </c:pt>
                <c:pt idx="1051">
                  <c:v>220.47889098928798</c:v>
                </c:pt>
                <c:pt idx="1052">
                  <c:v>225.74193548387098</c:v>
                </c:pt>
                <c:pt idx="1053">
                  <c:v>209.64649490713001</c:v>
                </c:pt>
                <c:pt idx="1054">
                  <c:v>228.31050228310502</c:v>
                </c:pt>
                <c:pt idx="1055">
                  <c:v>217.79713752333541</c:v>
                </c:pt>
                <c:pt idx="1056">
                  <c:v>235.84905660377359</c:v>
                </c:pt>
                <c:pt idx="1057">
                  <c:v>272.58566978193147</c:v>
                </c:pt>
                <c:pt idx="1058">
                  <c:v>280.22417934347476</c:v>
                </c:pt>
                <c:pt idx="1059">
                  <c:v>233.33333333333334</c:v>
                </c:pt>
                <c:pt idx="1060">
                  <c:v>193.69120088544548</c:v>
                </c:pt>
                <c:pt idx="1061">
                  <c:v>293.87069689336693</c:v>
                </c:pt>
                <c:pt idx="1062">
                  <c:v>339.47623666343355</c:v>
                </c:pt>
                <c:pt idx="1063">
                  <c:v>296.10829103214888</c:v>
                </c:pt>
                <c:pt idx="1064">
                  <c:v>169.08212560386474</c:v>
                </c:pt>
                <c:pt idx="1065">
                  <c:v>285.94771241830063</c:v>
                </c:pt>
                <c:pt idx="1066">
                  <c:v>129.00847769996315</c:v>
                </c:pt>
                <c:pt idx="1067">
                  <c:v>103.67298578199052</c:v>
                </c:pt>
                <c:pt idx="1068">
                  <c:v>248.40312278211496</c:v>
                </c:pt>
                <c:pt idx="1069">
                  <c:v>191.67579408543264</c:v>
                </c:pt>
                <c:pt idx="1070">
                  <c:v>191.15237575095577</c:v>
                </c:pt>
                <c:pt idx="1071">
                  <c:v>145.95496246872395</c:v>
                </c:pt>
                <c:pt idx="1072">
                  <c:v>158.73015873015873</c:v>
                </c:pt>
                <c:pt idx="1073">
                  <c:v>200.4581901489118</c:v>
                </c:pt>
                <c:pt idx="1074">
                  <c:v>429.44785276073617</c:v>
                </c:pt>
                <c:pt idx="1075">
                  <c:v>188.98488120950324</c:v>
                </c:pt>
                <c:pt idx="1076">
                  <c:v>137.95821836815136</c:v>
                </c:pt>
                <c:pt idx="1077">
                  <c:v>187.76824034334763</c:v>
                </c:pt>
                <c:pt idx="1078">
                  <c:v>154.08252853380159</c:v>
                </c:pt>
                <c:pt idx="1079">
                  <c:v>141.99273900766437</c:v>
                </c:pt>
                <c:pt idx="1080">
                  <c:v>277.34067663257275</c:v>
                </c:pt>
                <c:pt idx="1081">
                  <c:v>222.04773869346732</c:v>
                </c:pt>
                <c:pt idx="1082">
                  <c:v>268.5325264750378</c:v>
                </c:pt>
                <c:pt idx="1083">
                  <c:v>295.83333333333331</c:v>
                </c:pt>
                <c:pt idx="1084">
                  <c:v>162.62024736601009</c:v>
                </c:pt>
                <c:pt idx="1085">
                  <c:v>208.94643908181283</c:v>
                </c:pt>
                <c:pt idx="1086">
                  <c:v>335.85619678334911</c:v>
                </c:pt>
                <c:pt idx="1087">
                  <c:v>269.14329037149355</c:v>
                </c:pt>
                <c:pt idx="1088">
                  <c:v>284</c:v>
                </c:pt>
                <c:pt idx="1089">
                  <c:v>229.03225806451613</c:v>
                </c:pt>
                <c:pt idx="1090">
                  <c:v>284.45512820512823</c:v>
                </c:pt>
                <c:pt idx="1091">
                  <c:v>172.07949587978672</c:v>
                </c:pt>
                <c:pt idx="1092">
                  <c:v>162.62024736601009</c:v>
                </c:pt>
                <c:pt idx="1093">
                  <c:v>190.2465166130761</c:v>
                </c:pt>
                <c:pt idx="1094">
                  <c:v>182.77634961439588</c:v>
                </c:pt>
                <c:pt idx="1095">
                  <c:v>461.78756476683935</c:v>
                </c:pt>
                <c:pt idx="1096">
                  <c:v>250.70224719101122</c:v>
                </c:pt>
                <c:pt idx="1097">
                  <c:v>327.83882783882785</c:v>
                </c:pt>
                <c:pt idx="1098">
                  <c:v>210.96051856216855</c:v>
                </c:pt>
                <c:pt idx="1099">
                  <c:v>250.69637883008357</c:v>
                </c:pt>
                <c:pt idx="1100">
                  <c:v>200.7808142777468</c:v>
                </c:pt>
                <c:pt idx="1101">
                  <c:v>245.2316076294278</c:v>
                </c:pt>
                <c:pt idx="1102">
                  <c:v>145.39579967689824</c:v>
                </c:pt>
                <c:pt idx="1103">
                  <c:v>160.78606520768201</c:v>
                </c:pt>
                <c:pt idx="1104">
                  <c:v>203.38983050847457</c:v>
                </c:pt>
                <c:pt idx="1105">
                  <c:v>141.50943396226415</c:v>
                </c:pt>
                <c:pt idx="1106">
                  <c:v>180</c:v>
                </c:pt>
                <c:pt idx="1107">
                  <c:v>192.30769230769232</c:v>
                </c:pt>
                <c:pt idx="1108">
                  <c:v>195.33369506239828</c:v>
                </c:pt>
                <c:pt idx="1109">
                  <c:v>222.77227722772278</c:v>
                </c:pt>
                <c:pt idx="1110">
                  <c:v>362.90322580645159</c:v>
                </c:pt>
                <c:pt idx="1111">
                  <c:v>200</c:v>
                </c:pt>
                <c:pt idx="1112">
                  <c:v>200.7808142777468</c:v>
                </c:pt>
                <c:pt idx="1113">
                  <c:v>243.58974358974359</c:v>
                </c:pt>
                <c:pt idx="1114">
                  <c:v>170.03287928604979</c:v>
                </c:pt>
                <c:pt idx="1115">
                  <c:v>144.91593274619694</c:v>
                </c:pt>
                <c:pt idx="1116">
                  <c:v>342.47871333964048</c:v>
                </c:pt>
                <c:pt idx="1117">
                  <c:v>293.35494327390597</c:v>
                </c:pt>
                <c:pt idx="1118">
                  <c:v>162.848158131177</c:v>
                </c:pt>
                <c:pt idx="1119">
                  <c:v>254.28571428571428</c:v>
                </c:pt>
                <c:pt idx="1120">
                  <c:v>200.27442371020857</c:v>
                </c:pt>
                <c:pt idx="1121">
                  <c:v>145.36041417761848</c:v>
                </c:pt>
                <c:pt idx="1122">
                  <c:v>172.49527410207941</c:v>
                </c:pt>
                <c:pt idx="1123">
                  <c:v>235.48387096774192</c:v>
                </c:pt>
                <c:pt idx="1124">
                  <c:v>215.08544490276958</c:v>
                </c:pt>
                <c:pt idx="1125">
                  <c:v>280.33794162826422</c:v>
                </c:pt>
                <c:pt idx="1126">
                  <c:v>179.36117936117935</c:v>
                </c:pt>
                <c:pt idx="1127">
                  <c:v>162.94642857142858</c:v>
                </c:pt>
                <c:pt idx="1128">
                  <c:v>208.92959358900973</c:v>
                </c:pt>
                <c:pt idx="1129">
                  <c:v>177.09849587578844</c:v>
                </c:pt>
                <c:pt idx="1130">
                  <c:v>195.18716577540107</c:v>
                </c:pt>
                <c:pt idx="1131">
                  <c:v>246.95534506089311</c:v>
                </c:pt>
                <c:pt idx="1132">
                  <c:v>273.40823970037451</c:v>
                </c:pt>
                <c:pt idx="1133">
                  <c:v>404.20819490586933</c:v>
                </c:pt>
                <c:pt idx="1134">
                  <c:v>180.42511122095897</c:v>
                </c:pt>
                <c:pt idx="1135">
                  <c:v>218.97374701670645</c:v>
                </c:pt>
                <c:pt idx="1136">
                  <c:v>186.95873662761079</c:v>
                </c:pt>
                <c:pt idx="1137">
                  <c:v>206.34475014037056</c:v>
                </c:pt>
                <c:pt idx="1138">
                  <c:v>214.07795229784759</c:v>
                </c:pt>
                <c:pt idx="1139">
                  <c:v>259.12921348314609</c:v>
                </c:pt>
                <c:pt idx="1140">
                  <c:v>304.97685950413222</c:v>
                </c:pt>
                <c:pt idx="1141">
                  <c:v>274.48071216617211</c:v>
                </c:pt>
                <c:pt idx="1142">
                  <c:v>201.74482006543076</c:v>
                </c:pt>
                <c:pt idx="1143">
                  <c:v>201.63487738419619</c:v>
                </c:pt>
                <c:pt idx="1144">
                  <c:v>246.66666666666666</c:v>
                </c:pt>
                <c:pt idx="1145">
                  <c:v>197.7552111170497</c:v>
                </c:pt>
                <c:pt idx="1146">
                  <c:v>171.13783533765033</c:v>
                </c:pt>
                <c:pt idx="1147">
                  <c:v>148.29659318637275</c:v>
                </c:pt>
                <c:pt idx="1148">
                  <c:v>216.50087770626098</c:v>
                </c:pt>
                <c:pt idx="1149">
                  <c:v>169.25892040256176</c:v>
                </c:pt>
                <c:pt idx="1150">
                  <c:v>226.57685241886099</c:v>
                </c:pt>
                <c:pt idx="1151">
                  <c:v>133.47763347763347</c:v>
                </c:pt>
                <c:pt idx="1152">
                  <c:v>153.01902398676592</c:v>
                </c:pt>
                <c:pt idx="1153">
                  <c:v>364.34867776689521</c:v>
                </c:pt>
                <c:pt idx="1154">
                  <c:v>260.71428571428572</c:v>
                </c:pt>
                <c:pt idx="1155">
                  <c:v>152.12071778140293</c:v>
                </c:pt>
                <c:pt idx="1156">
                  <c:v>267.17967072297779</c:v>
                </c:pt>
                <c:pt idx="1157">
                  <c:v>389.58333333333331</c:v>
                </c:pt>
                <c:pt idx="1158">
                  <c:v>188.88888888888889</c:v>
                </c:pt>
                <c:pt idx="1159">
                  <c:v>315.87837837837839</c:v>
                </c:pt>
                <c:pt idx="1160">
                  <c:v>257.39848589125944</c:v>
                </c:pt>
                <c:pt idx="1161">
                  <c:v>222.49258160237389</c:v>
                </c:pt>
                <c:pt idx="1162">
                  <c:v>205.19978106185002</c:v>
                </c:pt>
                <c:pt idx="1163">
                  <c:v>222.49258160237389</c:v>
                </c:pt>
                <c:pt idx="1164">
                  <c:v>290.69767441860466</c:v>
                </c:pt>
                <c:pt idx="1165">
                  <c:v>331.56498673740055</c:v>
                </c:pt>
                <c:pt idx="1166">
                  <c:v>311.98003327787023</c:v>
                </c:pt>
                <c:pt idx="1167">
                  <c:v>274.92668621700881</c:v>
                </c:pt>
                <c:pt idx="1168">
                  <c:v>243.50649350649351</c:v>
                </c:pt>
                <c:pt idx="1169">
                  <c:v>257.55494505494505</c:v>
                </c:pt>
                <c:pt idx="1170">
                  <c:v>181.33462282398452</c:v>
                </c:pt>
                <c:pt idx="1171">
                  <c:v>335.42039355992847</c:v>
                </c:pt>
                <c:pt idx="1172">
                  <c:v>244.140625</c:v>
                </c:pt>
                <c:pt idx="1173">
                  <c:v>218.15008726003489</c:v>
                </c:pt>
                <c:pt idx="1174">
                  <c:v>151.08783239323125</c:v>
                </c:pt>
                <c:pt idx="1175">
                  <c:v>199.90420436402343</c:v>
                </c:pt>
                <c:pt idx="1176">
                  <c:v>245.28301886792454</c:v>
                </c:pt>
                <c:pt idx="1177">
                  <c:v>218.05957200694044</c:v>
                </c:pt>
                <c:pt idx="1178">
                  <c:v>154.15482026143792</c:v>
                </c:pt>
                <c:pt idx="1179">
                  <c:v>215.63034797490016</c:v>
                </c:pt>
                <c:pt idx="1180">
                  <c:v>178.1015037593985</c:v>
                </c:pt>
                <c:pt idx="1181">
                  <c:v>219.83758700696055</c:v>
                </c:pt>
                <c:pt idx="1182">
                  <c:v>216.837899543379</c:v>
                </c:pt>
                <c:pt idx="1183">
                  <c:v>270.97004279600571</c:v>
                </c:pt>
                <c:pt idx="1184">
                  <c:v>301.0301109350238</c:v>
                </c:pt>
                <c:pt idx="1185">
                  <c:v>138.18181818181819</c:v>
                </c:pt>
                <c:pt idx="1186">
                  <c:v>144.15781487101668</c:v>
                </c:pt>
                <c:pt idx="1187">
                  <c:v>162.67123287671234</c:v>
                </c:pt>
                <c:pt idx="1188">
                  <c:v>184.91484184914842</c:v>
                </c:pt>
                <c:pt idx="1189">
                  <c:v>186.03515625</c:v>
                </c:pt>
                <c:pt idx="1190">
                  <c:v>191.76706827309238</c:v>
                </c:pt>
                <c:pt idx="1191">
                  <c:v>246.46074646074646</c:v>
                </c:pt>
                <c:pt idx="1192">
                  <c:v>189.84220907297831</c:v>
                </c:pt>
                <c:pt idx="1193">
                  <c:v>202.63157894736841</c:v>
                </c:pt>
                <c:pt idx="1194">
                  <c:v>230.40095751047278</c:v>
                </c:pt>
                <c:pt idx="1195">
                  <c:v>148.41942945258288</c:v>
                </c:pt>
                <c:pt idx="1196">
                  <c:v>229.43980929678187</c:v>
                </c:pt>
                <c:pt idx="1197">
                  <c:v>139.08959537572255</c:v>
                </c:pt>
                <c:pt idx="1198">
                  <c:v>212.23814773980155</c:v>
                </c:pt>
                <c:pt idx="1199">
                  <c:v>162.58445945945945</c:v>
                </c:pt>
                <c:pt idx="1200">
                  <c:v>205.77231427044362</c:v>
                </c:pt>
                <c:pt idx="1201">
                  <c:v>226.20446533490011</c:v>
                </c:pt>
                <c:pt idx="1202">
                  <c:v>163.89953171562368</c:v>
                </c:pt>
                <c:pt idx="1203">
                  <c:v>200.83463745435577</c:v>
                </c:pt>
                <c:pt idx="1204">
                  <c:v>262.61937244201908</c:v>
                </c:pt>
                <c:pt idx="1205">
                  <c:v>186.62142510906446</c:v>
                </c:pt>
                <c:pt idx="1206">
                  <c:v>224.2882045322487</c:v>
                </c:pt>
                <c:pt idx="1207">
                  <c:v>180.71161048689137</c:v>
                </c:pt>
                <c:pt idx="1208">
                  <c:v>186.89555125725337</c:v>
                </c:pt>
                <c:pt idx="1209">
                  <c:v>280.39073806078147</c:v>
                </c:pt>
                <c:pt idx="1210">
                  <c:v>295.9572845156369</c:v>
                </c:pt>
                <c:pt idx="1211">
                  <c:v>205.38542766631468</c:v>
                </c:pt>
                <c:pt idx="1212">
                  <c:v>196.96202531645571</c:v>
                </c:pt>
                <c:pt idx="1213">
                  <c:v>156.45096463022509</c:v>
                </c:pt>
                <c:pt idx="1214">
                  <c:v>222.47575584711922</c:v>
                </c:pt>
                <c:pt idx="1215">
                  <c:v>364.48598130841123</c:v>
                </c:pt>
                <c:pt idx="1216">
                  <c:v>222.47575584711922</c:v>
                </c:pt>
                <c:pt idx="1217">
                  <c:v>183.35684062059238</c:v>
                </c:pt>
                <c:pt idx="1218">
                  <c:v>186.2464183381089</c:v>
                </c:pt>
                <c:pt idx="1219">
                  <c:v>233.67285799880167</c:v>
                </c:pt>
                <c:pt idx="1220">
                  <c:v>183.44308560677328</c:v>
                </c:pt>
                <c:pt idx="1221">
                  <c:v>229.41176470588235</c:v>
                </c:pt>
                <c:pt idx="1222">
                  <c:v>254.73546701502286</c:v>
                </c:pt>
                <c:pt idx="1223">
                  <c:v>151.33876600698486</c:v>
                </c:pt>
                <c:pt idx="1224">
                  <c:v>210.24258760107816</c:v>
                </c:pt>
                <c:pt idx="1225">
                  <c:v>300</c:v>
                </c:pt>
                <c:pt idx="1226">
                  <c:v>125.64432989690722</c:v>
                </c:pt>
                <c:pt idx="1227">
                  <c:v>240</c:v>
                </c:pt>
                <c:pt idx="1228">
                  <c:v>163.8830897703549</c:v>
                </c:pt>
                <c:pt idx="1229">
                  <c:v>225.07122507122506</c:v>
                </c:pt>
                <c:pt idx="1230">
                  <c:v>284.17266187050359</c:v>
                </c:pt>
                <c:pt idx="1231">
                  <c:v>150.7058374666158</c:v>
                </c:pt>
                <c:pt idx="1232">
                  <c:v>191.39681005316578</c:v>
                </c:pt>
                <c:pt idx="1233">
                  <c:v>227.22095671981776</c:v>
                </c:pt>
                <c:pt idx="1234">
                  <c:v>268.93073301950233</c:v>
                </c:pt>
                <c:pt idx="1235">
                  <c:v>193.84391662627243</c:v>
                </c:pt>
                <c:pt idx="1236">
                  <c:v>206.93222969477497</c:v>
                </c:pt>
                <c:pt idx="1237">
                  <c:v>154.44015444015443</c:v>
                </c:pt>
                <c:pt idx="1238">
                  <c:v>299.85007496251876</c:v>
                </c:pt>
                <c:pt idx="1239">
                  <c:v>260.41666666666669</c:v>
                </c:pt>
                <c:pt idx="1240">
                  <c:v>188.67924528301887</c:v>
                </c:pt>
                <c:pt idx="1241">
                  <c:v>166.5278934221482</c:v>
                </c:pt>
                <c:pt idx="1242">
                  <c:v>225.73363431151242</c:v>
                </c:pt>
                <c:pt idx="1243">
                  <c:v>133.33333333333334</c:v>
                </c:pt>
                <c:pt idx="1244">
                  <c:v>214.59227467811158</c:v>
                </c:pt>
                <c:pt idx="1245">
                  <c:v>324.93907392363934</c:v>
                </c:pt>
                <c:pt idx="1246">
                  <c:v>152.9051987767584</c:v>
                </c:pt>
                <c:pt idx="1247">
                  <c:v>191.47917663954044</c:v>
                </c:pt>
                <c:pt idx="1248">
                  <c:v>200</c:v>
                </c:pt>
                <c:pt idx="1249">
                  <c:v>181.57058556513846</c:v>
                </c:pt>
                <c:pt idx="1250">
                  <c:v>218.34061135371178</c:v>
                </c:pt>
                <c:pt idx="1251">
                  <c:v>173.91304347826087</c:v>
                </c:pt>
                <c:pt idx="1252">
                  <c:v>169.85520169851381</c:v>
                </c:pt>
                <c:pt idx="1253">
                  <c:v>197.92694965449161</c:v>
                </c:pt>
                <c:pt idx="1254">
                  <c:v>301.80180180180179</c:v>
                </c:pt>
                <c:pt idx="1255">
                  <c:v>242.75362318840581</c:v>
                </c:pt>
                <c:pt idx="1256">
                  <c:v>240.442054958184</c:v>
                </c:pt>
                <c:pt idx="1257">
                  <c:v>227.65837104072398</c:v>
                </c:pt>
                <c:pt idx="1258">
                  <c:v>243.07228915662651</c:v>
                </c:pt>
                <c:pt idx="1259">
                  <c:v>230.85714285714286</c:v>
                </c:pt>
                <c:pt idx="1260">
                  <c:v>218.80064829821717</c:v>
                </c:pt>
                <c:pt idx="1261">
                  <c:v>395.5078125</c:v>
                </c:pt>
                <c:pt idx="1262">
                  <c:v>231.82598740698339</c:v>
                </c:pt>
                <c:pt idx="1263">
                  <c:v>192.85714285714286</c:v>
                </c:pt>
                <c:pt idx="1264">
                  <c:v>353.40314136125653</c:v>
                </c:pt>
                <c:pt idx="1265">
                  <c:v>247.25274725274724</c:v>
                </c:pt>
                <c:pt idx="1266">
                  <c:v>274.13909520594194</c:v>
                </c:pt>
                <c:pt idx="1267">
                  <c:v>191.61958568738228</c:v>
                </c:pt>
                <c:pt idx="1268">
                  <c:v>207.86516853932585</c:v>
                </c:pt>
                <c:pt idx="1269">
                  <c:v>201.42998027613413</c:v>
                </c:pt>
                <c:pt idx="1270">
                  <c:v>191.47940074906367</c:v>
                </c:pt>
                <c:pt idx="1271">
                  <c:v>301.02790014684285</c:v>
                </c:pt>
                <c:pt idx="1272">
                  <c:v>273.33333333333331</c:v>
                </c:pt>
                <c:pt idx="1273">
                  <c:v>189.81481481481481</c:v>
                </c:pt>
                <c:pt idx="1274">
                  <c:v>168.03278688524591</c:v>
                </c:pt>
                <c:pt idx="1275">
                  <c:v>157.9961464354528</c:v>
                </c:pt>
                <c:pt idx="1276">
                  <c:v>167.34693877551021</c:v>
                </c:pt>
                <c:pt idx="1277">
                  <c:v>294.75197699496766</c:v>
                </c:pt>
                <c:pt idx="1278">
                  <c:v>310.841546626232</c:v>
                </c:pt>
                <c:pt idx="1279">
                  <c:v>267.97385620915031</c:v>
                </c:pt>
                <c:pt idx="1280">
                  <c:v>211.12255406797115</c:v>
                </c:pt>
                <c:pt idx="1281">
                  <c:v>308.79038317054847</c:v>
                </c:pt>
                <c:pt idx="1282">
                  <c:v>221.89709051724137</c:v>
                </c:pt>
                <c:pt idx="1283">
                  <c:v>282.96703296703299</c:v>
                </c:pt>
                <c:pt idx="1284">
                  <c:v>174.41860465116278</c:v>
                </c:pt>
                <c:pt idx="1285">
                  <c:v>162.6577287066246</c:v>
                </c:pt>
                <c:pt idx="1286">
                  <c:v>177.80634104541559</c:v>
                </c:pt>
                <c:pt idx="1287">
                  <c:v>153.7037037037037</c:v>
                </c:pt>
                <c:pt idx="1288">
                  <c:v>266.02564102564105</c:v>
                </c:pt>
                <c:pt idx="1289">
                  <c:v>203.53114271701816</c:v>
                </c:pt>
                <c:pt idx="1290">
                  <c:v>152.07035544155369</c:v>
                </c:pt>
                <c:pt idx="1291">
                  <c:v>206.05759682224428</c:v>
                </c:pt>
                <c:pt idx="1292">
                  <c:v>434.55497382198951</c:v>
                </c:pt>
                <c:pt idx="1293">
                  <c:v>163.06483300589392</c:v>
                </c:pt>
                <c:pt idx="1294">
                  <c:v>179.42066580198875</c:v>
                </c:pt>
                <c:pt idx="1295">
                  <c:v>285.42651098901098</c:v>
                </c:pt>
                <c:pt idx="1296">
                  <c:v>368.79432624113474</c:v>
                </c:pt>
                <c:pt idx="1297">
                  <c:v>292.54571026722925</c:v>
                </c:pt>
                <c:pt idx="1298">
                  <c:v>264.63104325699743</c:v>
                </c:pt>
                <c:pt idx="1299">
                  <c:v>238.6949055523755</c:v>
                </c:pt>
                <c:pt idx="1300">
                  <c:v>439.4736842105263</c:v>
                </c:pt>
                <c:pt idx="1301">
                  <c:v>189.67858759619736</c:v>
                </c:pt>
                <c:pt idx="1302">
                  <c:v>165.87490102929533</c:v>
                </c:pt>
                <c:pt idx="1303">
                  <c:v>229.5790049207217</c:v>
                </c:pt>
                <c:pt idx="1304">
                  <c:v>181.66089965397924</c:v>
                </c:pt>
                <c:pt idx="1305">
                  <c:v>178.72340425531914</c:v>
                </c:pt>
                <c:pt idx="1306">
                  <c:v>199.52494061757719</c:v>
                </c:pt>
                <c:pt idx="1307">
                  <c:v>180.87855297157623</c:v>
                </c:pt>
                <c:pt idx="1308">
                  <c:v>329.15360501567397</c:v>
                </c:pt>
                <c:pt idx="1309">
                  <c:v>156.65796344647521</c:v>
                </c:pt>
                <c:pt idx="1310">
                  <c:v>148.65819209039549</c:v>
                </c:pt>
                <c:pt idx="1311">
                  <c:v>263.43730505302557</c:v>
                </c:pt>
                <c:pt idx="1312">
                  <c:v>158.46383296047725</c:v>
                </c:pt>
                <c:pt idx="1313">
                  <c:v>326.92307692307691</c:v>
                </c:pt>
                <c:pt idx="1314">
                  <c:v>207.1150097465887</c:v>
                </c:pt>
                <c:pt idx="1315">
                  <c:v>412.621359223301</c:v>
                </c:pt>
                <c:pt idx="1316">
                  <c:v>192.83121597096189</c:v>
                </c:pt>
                <c:pt idx="1317">
                  <c:v>201.4218009478673</c:v>
                </c:pt>
                <c:pt idx="1318">
                  <c:v>356.54362416107381</c:v>
                </c:pt>
                <c:pt idx="1319">
                  <c:v>399.06103286384979</c:v>
                </c:pt>
                <c:pt idx="1320">
                  <c:v>197.0329160871581</c:v>
                </c:pt>
                <c:pt idx="1321">
                  <c:v>195.4921803127875</c:v>
                </c:pt>
                <c:pt idx="1322">
                  <c:v>183.18965517241378</c:v>
                </c:pt>
                <c:pt idx="1323">
                  <c:v>234.41809156094871</c:v>
                </c:pt>
                <c:pt idx="1324">
                  <c:v>293.10344827586209</c:v>
                </c:pt>
                <c:pt idx="1325">
                  <c:v>183.58531317494601</c:v>
                </c:pt>
                <c:pt idx="1326">
                  <c:v>355.64853556485355</c:v>
                </c:pt>
                <c:pt idx="1327">
                  <c:v>131.94660043464762</c:v>
                </c:pt>
                <c:pt idx="1328">
                  <c:v>172.20421393841167</c:v>
                </c:pt>
                <c:pt idx="1329">
                  <c:v>151.8399428367274</c:v>
                </c:pt>
                <c:pt idx="1330">
                  <c:v>178.12238055322715</c:v>
                </c:pt>
                <c:pt idx="1331">
                  <c:v>163.46153846153845</c:v>
                </c:pt>
                <c:pt idx="1332">
                  <c:v>175.11330861145447</c:v>
                </c:pt>
                <c:pt idx="1333">
                  <c:v>231.71926006528835</c:v>
                </c:pt>
                <c:pt idx="1334">
                  <c:v>287.44123572867699</c:v>
                </c:pt>
                <c:pt idx="1335">
                  <c:v>216.68346774193549</c:v>
                </c:pt>
                <c:pt idx="1336">
                  <c:v>206.98122291766973</c:v>
                </c:pt>
                <c:pt idx="1337">
                  <c:v>251.31502045587376</c:v>
                </c:pt>
                <c:pt idx="1338">
                  <c:v>271.80783817951959</c:v>
                </c:pt>
                <c:pt idx="1339">
                  <c:v>266.58400495970244</c:v>
                </c:pt>
                <c:pt idx="1340">
                  <c:v>182.97872340425531</c:v>
                </c:pt>
                <c:pt idx="1341">
                  <c:v>194.57013574660633</c:v>
                </c:pt>
                <c:pt idx="1342">
                  <c:v>229.82362373062534</c:v>
                </c:pt>
                <c:pt idx="1343">
                  <c:v>375.87412587412587</c:v>
                </c:pt>
                <c:pt idx="1344">
                  <c:v>221.19341563786008</c:v>
                </c:pt>
                <c:pt idx="1345">
                  <c:v>214.57085828343313</c:v>
                </c:pt>
                <c:pt idx="1346">
                  <c:v>207.52895752895753</c:v>
                </c:pt>
                <c:pt idx="1347">
                  <c:v>170.77045274027006</c:v>
                </c:pt>
                <c:pt idx="1348">
                  <c:v>191.19608714984437</c:v>
                </c:pt>
                <c:pt idx="1349">
                  <c:v>284.48844884488449</c:v>
                </c:pt>
                <c:pt idx="1350">
                  <c:v>236.84210526315789</c:v>
                </c:pt>
                <c:pt idx="1351">
                  <c:v>180.20833333333334</c:v>
                </c:pt>
                <c:pt idx="1352">
                  <c:v>185.2863247863248</c:v>
                </c:pt>
                <c:pt idx="1353">
                  <c:v>221.43584521384929</c:v>
                </c:pt>
                <c:pt idx="1354">
                  <c:v>300.13802622498275</c:v>
                </c:pt>
                <c:pt idx="1355">
                  <c:v>191.08084358523726</c:v>
                </c:pt>
                <c:pt idx="1356">
                  <c:v>348.83720930232556</c:v>
                </c:pt>
                <c:pt idx="1357">
                  <c:v>192.81914893617022</c:v>
                </c:pt>
                <c:pt idx="1358">
                  <c:v>159.80896399706097</c:v>
                </c:pt>
                <c:pt idx="1359">
                  <c:v>197.63743752839619</c:v>
                </c:pt>
                <c:pt idx="1360">
                  <c:v>295.91836734693879</c:v>
                </c:pt>
                <c:pt idx="1361">
                  <c:v>250.72046109510086</c:v>
                </c:pt>
                <c:pt idx="1362">
                  <c:v>216.2027833001988</c:v>
                </c:pt>
                <c:pt idx="1363">
                  <c:v>182.38993710691824</c:v>
                </c:pt>
                <c:pt idx="1364">
                  <c:v>279.204107830552</c:v>
                </c:pt>
                <c:pt idx="1365">
                  <c:v>271.875</c:v>
                </c:pt>
                <c:pt idx="1366">
                  <c:v>330.29612756264237</c:v>
                </c:pt>
                <c:pt idx="1367">
                  <c:v>135.3874883286648</c:v>
                </c:pt>
                <c:pt idx="1368">
                  <c:v>210.75581395348837</c:v>
                </c:pt>
                <c:pt idx="1369">
                  <c:v>197.9119382660009</c:v>
                </c:pt>
                <c:pt idx="1370">
                  <c:v>230.62730627306274</c:v>
                </c:pt>
                <c:pt idx="1371">
                  <c:v>178.57142857142858</c:v>
                </c:pt>
                <c:pt idx="1372">
                  <c:v>439</c:v>
                </c:pt>
                <c:pt idx="1373">
                  <c:v>209.94739359158297</c:v>
                </c:pt>
                <c:pt idx="1374">
                  <c:v>189.85757444971946</c:v>
                </c:pt>
                <c:pt idx="1375">
                  <c:v>253.54466858789624</c:v>
                </c:pt>
                <c:pt idx="1376">
                  <c:v>153.31010452961672</c:v>
                </c:pt>
                <c:pt idx="1377">
                  <c:v>277.42749054224464</c:v>
                </c:pt>
                <c:pt idx="1378">
                  <c:v>268.94865525672373</c:v>
                </c:pt>
                <c:pt idx="1379">
                  <c:v>209.12547528517109</c:v>
                </c:pt>
                <c:pt idx="1380">
                  <c:v>139.63821009203429</c:v>
                </c:pt>
                <c:pt idx="1381">
                  <c:v>157.25518227305218</c:v>
                </c:pt>
                <c:pt idx="1382">
                  <c:v>212.56038647342996</c:v>
                </c:pt>
                <c:pt idx="1383">
                  <c:v>330.08252063015755</c:v>
                </c:pt>
                <c:pt idx="1384">
                  <c:v>204.39814814814815</c:v>
                </c:pt>
                <c:pt idx="1385">
                  <c:v>194.68585237258347</c:v>
                </c:pt>
                <c:pt idx="1386">
                  <c:v>273.76543209876542</c:v>
                </c:pt>
                <c:pt idx="1387">
                  <c:v>174.03206883066093</c:v>
                </c:pt>
                <c:pt idx="1388">
                  <c:v>170.89093701996927</c:v>
                </c:pt>
                <c:pt idx="1389">
                  <c:v>211.10056925996204</c:v>
                </c:pt>
                <c:pt idx="1390">
                  <c:v>178</c:v>
                </c:pt>
                <c:pt idx="1391">
                  <c:v>170.67278287461772</c:v>
                </c:pt>
                <c:pt idx="1392">
                  <c:v>288.62314156431802</c:v>
                </c:pt>
                <c:pt idx="1393">
                  <c:v>172.4537037037037</c:v>
                </c:pt>
                <c:pt idx="1394">
                  <c:v>314.46629213483146</c:v>
                </c:pt>
                <c:pt idx="1395">
                  <c:v>229.59549411162314</c:v>
                </c:pt>
                <c:pt idx="1396">
                  <c:v>283.7326607818411</c:v>
                </c:pt>
                <c:pt idx="1397">
                  <c:v>283.55387523629491</c:v>
                </c:pt>
                <c:pt idx="1398">
                  <c:v>235.84905660377359</c:v>
                </c:pt>
                <c:pt idx="1399">
                  <c:v>300</c:v>
                </c:pt>
                <c:pt idx="1400">
                  <c:v>181.81818181818181</c:v>
                </c:pt>
                <c:pt idx="1401">
                  <c:v>302.41935483870969</c:v>
                </c:pt>
                <c:pt idx="1402">
                  <c:v>345.35686876438984</c:v>
                </c:pt>
                <c:pt idx="1403">
                  <c:v>180.65034122842232</c:v>
                </c:pt>
                <c:pt idx="1404">
                  <c:v>202.79405137449302</c:v>
                </c:pt>
                <c:pt idx="1405">
                  <c:v>263.60444704505557</c:v>
                </c:pt>
                <c:pt idx="1406">
                  <c:v>187.00868845676459</c:v>
                </c:pt>
                <c:pt idx="1407">
                  <c:v>255.79423403052573</c:v>
                </c:pt>
                <c:pt idx="1408">
                  <c:v>301.19680851063828</c:v>
                </c:pt>
                <c:pt idx="1409">
                  <c:v>379.16666666666669</c:v>
                </c:pt>
                <c:pt idx="1410">
                  <c:v>195.11149228130361</c:v>
                </c:pt>
                <c:pt idx="1411">
                  <c:v>287.24747474747477</c:v>
                </c:pt>
                <c:pt idx="1412">
                  <c:v>152.68456375838926</c:v>
                </c:pt>
                <c:pt idx="1413">
                  <c:v>277.37226277372264</c:v>
                </c:pt>
                <c:pt idx="1414">
                  <c:v>384.6801346801347</c:v>
                </c:pt>
                <c:pt idx="1415">
                  <c:v>260.25056947608198</c:v>
                </c:pt>
                <c:pt idx="1416">
                  <c:v>205.19713261648747</c:v>
                </c:pt>
                <c:pt idx="1417">
                  <c:v>262.31386025200459</c:v>
                </c:pt>
                <c:pt idx="1418">
                  <c:v>341.77215189873419</c:v>
                </c:pt>
                <c:pt idx="1419">
                  <c:v>247.04618689581096</c:v>
                </c:pt>
                <c:pt idx="1420">
                  <c:v>210.14161717679306</c:v>
                </c:pt>
                <c:pt idx="1421">
                  <c:v>264.67203682393557</c:v>
                </c:pt>
                <c:pt idx="1422">
                  <c:v>207.30058584948173</c:v>
                </c:pt>
                <c:pt idx="1423">
                  <c:v>273.15914489311166</c:v>
                </c:pt>
                <c:pt idx="1424">
                  <c:v>163.52648418059013</c:v>
                </c:pt>
                <c:pt idx="1425">
                  <c:v>128.276631344116</c:v>
                </c:pt>
                <c:pt idx="1426">
                  <c:v>173.91304347826087</c:v>
                </c:pt>
                <c:pt idx="1427">
                  <c:v>132.70893371757924</c:v>
                </c:pt>
                <c:pt idx="1428">
                  <c:v>256.68151447661472</c:v>
                </c:pt>
                <c:pt idx="1429">
                  <c:v>207.64044943820224</c:v>
                </c:pt>
                <c:pt idx="1430">
                  <c:v>167.14905933429813</c:v>
                </c:pt>
                <c:pt idx="1431">
                  <c:v>255.94908688433867</c:v>
                </c:pt>
                <c:pt idx="1432">
                  <c:v>212.03110704483075</c:v>
                </c:pt>
                <c:pt idx="1433">
                  <c:v>215.17815826006478</c:v>
                </c:pt>
                <c:pt idx="1434">
                  <c:v>200.34467901766479</c:v>
                </c:pt>
                <c:pt idx="1435">
                  <c:v>290.625</c:v>
                </c:pt>
                <c:pt idx="1436">
                  <c:v>273.52941176470586</c:v>
                </c:pt>
                <c:pt idx="1437">
                  <c:v>280.79710144927537</c:v>
                </c:pt>
                <c:pt idx="1438">
                  <c:v>175.00940910801657</c:v>
                </c:pt>
                <c:pt idx="1439">
                  <c:v>227.3170731707317</c:v>
                </c:pt>
                <c:pt idx="1440">
                  <c:v>216.37291280148423</c:v>
                </c:pt>
                <c:pt idx="1441">
                  <c:v>243.4827945776851</c:v>
                </c:pt>
                <c:pt idx="1442">
                  <c:v>237.78004073319755</c:v>
                </c:pt>
                <c:pt idx="1443">
                  <c:v>186.20414673046253</c:v>
                </c:pt>
                <c:pt idx="1444">
                  <c:v>237.43016759776538</c:v>
                </c:pt>
                <c:pt idx="1445">
                  <c:v>187.2</c:v>
                </c:pt>
                <c:pt idx="1446">
                  <c:v>186.23159570234779</c:v>
                </c:pt>
                <c:pt idx="1447">
                  <c:v>180.76477404403244</c:v>
                </c:pt>
                <c:pt idx="1448">
                  <c:v>223.73447946513849</c:v>
                </c:pt>
                <c:pt idx="1449">
                  <c:v>189.95544754961523</c:v>
                </c:pt>
                <c:pt idx="1450">
                  <c:v>145.56176288019864</c:v>
                </c:pt>
                <c:pt idx="1451">
                  <c:v>274.18176504967857</c:v>
                </c:pt>
                <c:pt idx="1452">
                  <c:v>197.02306079664569</c:v>
                </c:pt>
                <c:pt idx="1453">
                  <c:v>249.68119022316685</c:v>
                </c:pt>
                <c:pt idx="1454">
                  <c:v>220.55373064289066</c:v>
                </c:pt>
                <c:pt idx="1455">
                  <c:v>173.81656804733728</c:v>
                </c:pt>
                <c:pt idx="1456">
                  <c:v>177.35849056603774</c:v>
                </c:pt>
                <c:pt idx="1457">
                  <c:v>144.34889434889436</c:v>
                </c:pt>
                <c:pt idx="1458">
                  <c:v>196.1602671118531</c:v>
                </c:pt>
                <c:pt idx="1459">
                  <c:v>277.58112094395278</c:v>
                </c:pt>
                <c:pt idx="1460">
                  <c:v>188.64094362255099</c:v>
                </c:pt>
                <c:pt idx="1461">
                  <c:v>314.66666666666669</c:v>
                </c:pt>
                <c:pt idx="1462">
                  <c:v>247.38493723849373</c:v>
                </c:pt>
                <c:pt idx="1463">
                  <c:v>236.645032451323</c:v>
                </c:pt>
                <c:pt idx="1464">
                  <c:v>226.83858643744031</c:v>
                </c:pt>
                <c:pt idx="1465">
                  <c:v>149.46507237256137</c:v>
                </c:pt>
                <c:pt idx="1466">
                  <c:v>200</c:v>
                </c:pt>
                <c:pt idx="1467">
                  <c:v>436.17998163452711</c:v>
                </c:pt>
                <c:pt idx="1468">
                  <c:v>369.93769470404982</c:v>
                </c:pt>
                <c:pt idx="1469">
                  <c:v>169.94633273703042</c:v>
                </c:pt>
                <c:pt idx="1470">
                  <c:v>371.96554424432264</c:v>
                </c:pt>
                <c:pt idx="1471">
                  <c:v>192.93257514216086</c:v>
                </c:pt>
                <c:pt idx="1472">
                  <c:v>187.00787401574803</c:v>
                </c:pt>
                <c:pt idx="1473">
                  <c:v>172.2643553629469</c:v>
                </c:pt>
                <c:pt idx="1474">
                  <c:v>267.97752808988764</c:v>
                </c:pt>
                <c:pt idx="1475">
                  <c:v>172.2643553629469</c:v>
                </c:pt>
                <c:pt idx="1476">
                  <c:v>162.20338983050848</c:v>
                </c:pt>
                <c:pt idx="1477">
                  <c:v>233.77257198633481</c:v>
                </c:pt>
                <c:pt idx="1478">
                  <c:v>206.77015955153084</c:v>
                </c:pt>
                <c:pt idx="1479">
                  <c:v>174.5090909090909</c:v>
                </c:pt>
                <c:pt idx="1480">
                  <c:v>240.4809619238477</c:v>
                </c:pt>
                <c:pt idx="1481">
                  <c:v>248.19027921406411</c:v>
                </c:pt>
                <c:pt idx="1482">
                  <c:v>267.70775237032905</c:v>
                </c:pt>
                <c:pt idx="1483">
                  <c:v>289.50542822677926</c:v>
                </c:pt>
                <c:pt idx="1484">
                  <c:v>188.67924528301887</c:v>
                </c:pt>
                <c:pt idx="1485">
                  <c:v>141.92785334121822</c:v>
                </c:pt>
                <c:pt idx="1486">
                  <c:v>187.28053062817011</c:v>
                </c:pt>
                <c:pt idx="1487">
                  <c:v>279.06976744186045</c:v>
                </c:pt>
                <c:pt idx="1488">
                  <c:v>249.73985431841831</c:v>
                </c:pt>
                <c:pt idx="1489">
                  <c:v>202.87404902789518</c:v>
                </c:pt>
                <c:pt idx="1490">
                  <c:v>221.19815668202764</c:v>
                </c:pt>
                <c:pt idx="1491">
                  <c:v>212.95886775762938</c:v>
                </c:pt>
                <c:pt idx="1492">
                  <c:v>254.89159175039663</c:v>
                </c:pt>
                <c:pt idx="1493">
                  <c:v>261.63419913419915</c:v>
                </c:pt>
                <c:pt idx="1494">
                  <c:v>239.32806324110672</c:v>
                </c:pt>
                <c:pt idx="1495">
                  <c:v>248.20880245649948</c:v>
                </c:pt>
                <c:pt idx="1496">
                  <c:v>170.05610098176717</c:v>
                </c:pt>
                <c:pt idx="1497">
                  <c:v>181.30841121495328</c:v>
                </c:pt>
                <c:pt idx="1498">
                  <c:v>265.89912280701753</c:v>
                </c:pt>
                <c:pt idx="1499">
                  <c:v>199.67064635652531</c:v>
                </c:pt>
                <c:pt idx="1500">
                  <c:v>241.53386454183266</c:v>
                </c:pt>
                <c:pt idx="1501">
                  <c:v>356.04395604395603</c:v>
                </c:pt>
                <c:pt idx="1502">
                  <c:v>272.06648044692736</c:v>
                </c:pt>
                <c:pt idx="1503">
                  <c:v>292.84425736620562</c:v>
                </c:pt>
                <c:pt idx="1504">
                  <c:v>235.72120038722167</c:v>
                </c:pt>
                <c:pt idx="1505">
                  <c:v>280.81797235023043</c:v>
                </c:pt>
                <c:pt idx="1506">
                  <c:v>286.65886483323578</c:v>
                </c:pt>
                <c:pt idx="1507">
                  <c:v>148.4848484848485</c:v>
                </c:pt>
                <c:pt idx="1508">
                  <c:v>186.09950626661603</c:v>
                </c:pt>
                <c:pt idx="1509">
                  <c:v>267.75956284153006</c:v>
                </c:pt>
                <c:pt idx="1510">
                  <c:v>194.75357710651829</c:v>
                </c:pt>
                <c:pt idx="1511">
                  <c:v>332.65444670739987</c:v>
                </c:pt>
                <c:pt idx="1512">
                  <c:v>174.00568181818181</c:v>
                </c:pt>
                <c:pt idx="1513">
                  <c:v>217.41051701281484</c:v>
                </c:pt>
                <c:pt idx="1514">
                  <c:v>173.89770723104056</c:v>
                </c:pt>
                <c:pt idx="1515">
                  <c:v>197.83306581059389</c:v>
                </c:pt>
                <c:pt idx="1516">
                  <c:v>233.49056603773585</c:v>
                </c:pt>
                <c:pt idx="1517">
                  <c:v>234.26407950780882</c:v>
                </c:pt>
                <c:pt idx="1518">
                  <c:v>179.08827785817655</c:v>
                </c:pt>
                <c:pt idx="1519">
                  <c:v>247.13216957605985</c:v>
                </c:pt>
                <c:pt idx="1520">
                  <c:v>390.33018867924528</c:v>
                </c:pt>
                <c:pt idx="1521">
                  <c:v>183.76383763837637</c:v>
                </c:pt>
                <c:pt idx="1522">
                  <c:v>241.52952565343659</c:v>
                </c:pt>
                <c:pt idx="1523">
                  <c:v>392.07843137254901</c:v>
                </c:pt>
                <c:pt idx="1524">
                  <c:v>144.9405624818788</c:v>
                </c:pt>
                <c:pt idx="1525">
                  <c:v>272.57360959651038</c:v>
                </c:pt>
                <c:pt idx="1526">
                  <c:v>214.96130696474634</c:v>
                </c:pt>
                <c:pt idx="1527">
                  <c:v>210.43771043771045</c:v>
                </c:pt>
                <c:pt idx="1528">
                  <c:v>176.67844522968198</c:v>
                </c:pt>
                <c:pt idx="1529">
                  <c:v>273.82256297918951</c:v>
                </c:pt>
                <c:pt idx="1530">
                  <c:v>212.7659574468085</c:v>
                </c:pt>
                <c:pt idx="1531">
                  <c:v>221.14108801415304</c:v>
                </c:pt>
                <c:pt idx="1532">
                  <c:v>367.64705882352939</c:v>
                </c:pt>
                <c:pt idx="1533">
                  <c:v>352.11267605633805</c:v>
                </c:pt>
                <c:pt idx="1534">
                  <c:v>172.05781142463869</c:v>
                </c:pt>
                <c:pt idx="1535">
                  <c:v>250</c:v>
                </c:pt>
                <c:pt idx="1536">
                  <c:v>182.34865061998542</c:v>
                </c:pt>
                <c:pt idx="1537">
                  <c:v>236.75496688741723</c:v>
                </c:pt>
                <c:pt idx="1538">
                  <c:v>258.86333161423414</c:v>
                </c:pt>
                <c:pt idx="1539">
                  <c:v>281.07502799552071</c:v>
                </c:pt>
                <c:pt idx="1540">
                  <c:v>238.36657169990502</c:v>
                </c:pt>
                <c:pt idx="1541">
                  <c:v>282.66965787997759</c:v>
                </c:pt>
                <c:pt idx="1542">
                  <c:v>731.8840579710145</c:v>
                </c:pt>
                <c:pt idx="1543">
                  <c:v>260.44352759154202</c:v>
                </c:pt>
                <c:pt idx="1544">
                  <c:v>261.92946058091286</c:v>
                </c:pt>
                <c:pt idx="1545">
                  <c:v>192.08824648155192</c:v>
                </c:pt>
                <c:pt idx="1546">
                  <c:v>202.64847512038523</c:v>
                </c:pt>
                <c:pt idx="1547">
                  <c:v>260.44352759154202</c:v>
                </c:pt>
                <c:pt idx="1548">
                  <c:v>177.05779334500875</c:v>
                </c:pt>
                <c:pt idx="1549">
                  <c:v>305.92503022974608</c:v>
                </c:pt>
                <c:pt idx="1550">
                  <c:v>451.11111111111109</c:v>
                </c:pt>
                <c:pt idx="1551">
                  <c:v>249.1417361451692</c:v>
                </c:pt>
                <c:pt idx="1552">
                  <c:v>183.71757925072046</c:v>
                </c:pt>
                <c:pt idx="1553">
                  <c:v>172.41379310344828</c:v>
                </c:pt>
                <c:pt idx="1554">
                  <c:v>227.47546833184657</c:v>
                </c:pt>
                <c:pt idx="1555">
                  <c:v>238.20644558617468</c:v>
                </c:pt>
                <c:pt idx="1556">
                  <c:v>231.18766999093381</c:v>
                </c:pt>
                <c:pt idx="1557">
                  <c:v>193.280483201208</c:v>
                </c:pt>
                <c:pt idx="1558">
                  <c:v>190.59129788025288</c:v>
                </c:pt>
                <c:pt idx="1559">
                  <c:v>123.31568816169394</c:v>
                </c:pt>
                <c:pt idx="1560">
                  <c:v>190.14084507042253</c:v>
                </c:pt>
                <c:pt idx="1561">
                  <c:v>190.14084507042253</c:v>
                </c:pt>
                <c:pt idx="1562">
                  <c:v>179.75567190226877</c:v>
                </c:pt>
                <c:pt idx="1563">
                  <c:v>211.84697655285891</c:v>
                </c:pt>
                <c:pt idx="1564">
                  <c:v>212.37113402061857</c:v>
                </c:pt>
                <c:pt idx="1565">
                  <c:v>188.92149669845929</c:v>
                </c:pt>
                <c:pt idx="1566">
                  <c:v>169.74291364535267</c:v>
                </c:pt>
                <c:pt idx="1567">
                  <c:v>155.30759951749096</c:v>
                </c:pt>
                <c:pt idx="1568">
                  <c:v>340.15852047556143</c:v>
                </c:pt>
                <c:pt idx="1569">
                  <c:v>187.68221574344022</c:v>
                </c:pt>
                <c:pt idx="1570">
                  <c:v>197.54507096279249</c:v>
                </c:pt>
                <c:pt idx="1571">
                  <c:v>194.26631459826481</c:v>
                </c:pt>
                <c:pt idx="1572">
                  <c:v>195.44592030360531</c:v>
                </c:pt>
                <c:pt idx="1573">
                  <c:v>223.52430555555554</c:v>
                </c:pt>
                <c:pt idx="1574">
                  <c:v>195.37177541729895</c:v>
                </c:pt>
                <c:pt idx="1575">
                  <c:v>214.8581560283688</c:v>
                </c:pt>
                <c:pt idx="1576">
                  <c:v>235</c:v>
                </c:pt>
                <c:pt idx="1577">
                  <c:v>240.47397769516729</c:v>
                </c:pt>
                <c:pt idx="1578">
                  <c:v>254.65230166503429</c:v>
                </c:pt>
                <c:pt idx="1579">
                  <c:v>249.75984630163305</c:v>
                </c:pt>
                <c:pt idx="1580">
                  <c:v>241.18738404452691</c:v>
                </c:pt>
                <c:pt idx="1581">
                  <c:v>247.61904761904762</c:v>
                </c:pt>
                <c:pt idx="1582">
                  <c:v>170.49180327868854</c:v>
                </c:pt>
                <c:pt idx="1583">
                  <c:v>279.11969940955447</c:v>
                </c:pt>
                <c:pt idx="1584">
                  <c:v>368.64406779661016</c:v>
                </c:pt>
                <c:pt idx="1585">
                  <c:v>345.34038334434899</c:v>
                </c:pt>
                <c:pt idx="1586">
                  <c:v>231.84628975265016</c:v>
                </c:pt>
                <c:pt idx="1587">
                  <c:v>220.86663862010937</c:v>
                </c:pt>
                <c:pt idx="1588">
                  <c:v>187.5</c:v>
                </c:pt>
                <c:pt idx="1589">
                  <c:v>366.62011173184356</c:v>
                </c:pt>
                <c:pt idx="1590">
                  <c:v>350</c:v>
                </c:pt>
                <c:pt idx="1591">
                  <c:v>167.03786191536747</c:v>
                </c:pt>
                <c:pt idx="1592">
                  <c:v>222.9299363057325</c:v>
                </c:pt>
                <c:pt idx="1593">
                  <c:v>194.44444444444446</c:v>
                </c:pt>
                <c:pt idx="1594">
                  <c:v>240.84082568807341</c:v>
                </c:pt>
                <c:pt idx="1595">
                  <c:v>192.16819012797075</c:v>
                </c:pt>
                <c:pt idx="1596">
                  <c:v>191.95778748180496</c:v>
                </c:pt>
                <c:pt idx="1597">
                  <c:v>172.83142389525369</c:v>
                </c:pt>
                <c:pt idx="1598">
                  <c:v>181.04452054794521</c:v>
                </c:pt>
                <c:pt idx="1599">
                  <c:v>187.58865248226951</c:v>
                </c:pt>
                <c:pt idx="1600">
                  <c:v>326.09230769230771</c:v>
                </c:pt>
                <c:pt idx="1601">
                  <c:v>210.73558648111333</c:v>
                </c:pt>
                <c:pt idx="1602">
                  <c:v>193.14868804664724</c:v>
                </c:pt>
                <c:pt idx="1603">
                  <c:v>212.68057784911718</c:v>
                </c:pt>
                <c:pt idx="1604">
                  <c:v>247.08624708624708</c:v>
                </c:pt>
                <c:pt idx="1605">
                  <c:v>158.39808726838015</c:v>
                </c:pt>
                <c:pt idx="1606">
                  <c:v>212.68057784911718</c:v>
                </c:pt>
                <c:pt idx="1607">
                  <c:v>182.02054794520549</c:v>
                </c:pt>
                <c:pt idx="1608">
                  <c:v>180.06756756756758</c:v>
                </c:pt>
                <c:pt idx="1609">
                  <c:v>168.19185863048281</c:v>
                </c:pt>
                <c:pt idx="1610">
                  <c:v>320.14388489208631</c:v>
                </c:pt>
                <c:pt idx="1611">
                  <c:v>253.11848341232226</c:v>
                </c:pt>
                <c:pt idx="1612">
                  <c:v>233.11546840958604</c:v>
                </c:pt>
                <c:pt idx="1613">
                  <c:v>247.79990736452061</c:v>
                </c:pt>
                <c:pt idx="1614">
                  <c:v>170.92651757188497</c:v>
                </c:pt>
                <c:pt idx="1615">
                  <c:v>212.02531645569621</c:v>
                </c:pt>
                <c:pt idx="1616">
                  <c:v>248.14814814814815</c:v>
                </c:pt>
                <c:pt idx="1617">
                  <c:v>623.69337979094075</c:v>
                </c:pt>
                <c:pt idx="1618">
                  <c:v>163.91941391941393</c:v>
                </c:pt>
                <c:pt idx="1619">
                  <c:v>234.884732492388</c:v>
                </c:pt>
                <c:pt idx="1620">
                  <c:v>253.99811853245532</c:v>
                </c:pt>
                <c:pt idx="1621">
                  <c:v>227.17711400925538</c:v>
                </c:pt>
                <c:pt idx="1622">
                  <c:v>183.54860639021075</c:v>
                </c:pt>
                <c:pt idx="1623">
                  <c:v>245.90163934426229</c:v>
                </c:pt>
                <c:pt idx="1624">
                  <c:v>234.78260869565219</c:v>
                </c:pt>
                <c:pt idx="1625">
                  <c:v>170.40075733669929</c:v>
                </c:pt>
                <c:pt idx="1626">
                  <c:v>191.95320808224034</c:v>
                </c:pt>
                <c:pt idx="1627">
                  <c:v>277.74936061381072</c:v>
                </c:pt>
                <c:pt idx="1628">
                  <c:v>196.88179840464105</c:v>
                </c:pt>
                <c:pt idx="1629">
                  <c:v>185.79234972677597</c:v>
                </c:pt>
                <c:pt idx="1630">
                  <c:v>384.88700564971754</c:v>
                </c:pt>
                <c:pt idx="1631">
                  <c:v>228.12892423608204</c:v>
                </c:pt>
                <c:pt idx="1632">
                  <c:v>242.22222222222223</c:v>
                </c:pt>
                <c:pt idx="1633">
                  <c:v>215.75613618368962</c:v>
                </c:pt>
                <c:pt idx="1634">
                  <c:v>208.09469263077511</c:v>
                </c:pt>
                <c:pt idx="1635">
                  <c:v>209.32463545663853</c:v>
                </c:pt>
                <c:pt idx="1636">
                  <c:v>170.89598997493735</c:v>
                </c:pt>
                <c:pt idx="1637">
                  <c:v>249.04545454545453</c:v>
                </c:pt>
                <c:pt idx="1638">
                  <c:v>193.446088794926</c:v>
                </c:pt>
                <c:pt idx="1639">
                  <c:v>422.30769230769232</c:v>
                </c:pt>
                <c:pt idx="1640">
                  <c:v>359.05820797907131</c:v>
                </c:pt>
                <c:pt idx="1641">
                  <c:v>196.35844341306677</c:v>
                </c:pt>
                <c:pt idx="1642">
                  <c:v>362.31884057971013</c:v>
                </c:pt>
                <c:pt idx="1643">
                  <c:v>188.22724161533196</c:v>
                </c:pt>
                <c:pt idx="1644">
                  <c:v>151.84980673660959</c:v>
                </c:pt>
                <c:pt idx="1645">
                  <c:v>258.45864661654133</c:v>
                </c:pt>
                <c:pt idx="1646">
                  <c:v>192.30769230769232</c:v>
                </c:pt>
                <c:pt idx="1647">
                  <c:v>233.05084745762713</c:v>
                </c:pt>
                <c:pt idx="1648">
                  <c:v>245.09803921568627</c:v>
                </c:pt>
                <c:pt idx="1649">
                  <c:v>238.92267593397045</c:v>
                </c:pt>
                <c:pt idx="1650">
                  <c:v>272.54707631318138</c:v>
                </c:pt>
                <c:pt idx="1651">
                  <c:v>196.28836545324768</c:v>
                </c:pt>
                <c:pt idx="1652">
                  <c:v>238.19835426591598</c:v>
                </c:pt>
                <c:pt idx="1653">
                  <c:v>282.05128205128204</c:v>
                </c:pt>
                <c:pt idx="1654">
                  <c:v>225.76687116564418</c:v>
                </c:pt>
                <c:pt idx="1655">
                  <c:v>239.56889081455805</c:v>
                </c:pt>
                <c:pt idx="1656">
                  <c:v>143.97089397089397</c:v>
                </c:pt>
                <c:pt idx="1657">
                  <c:v>247.45064761054041</c:v>
                </c:pt>
                <c:pt idx="1658">
                  <c:v>260.31894934333957</c:v>
                </c:pt>
                <c:pt idx="1659">
                  <c:v>246.55708573967127</c:v>
                </c:pt>
                <c:pt idx="1660">
                  <c:v>288.31168831168833</c:v>
                </c:pt>
                <c:pt idx="1661">
                  <c:v>190.32921810699588</c:v>
                </c:pt>
                <c:pt idx="1662">
                  <c:v>262.53547776726583</c:v>
                </c:pt>
                <c:pt idx="1663">
                  <c:v>239.94811932555123</c:v>
                </c:pt>
                <c:pt idx="1664">
                  <c:v>208.3170731707317</c:v>
                </c:pt>
                <c:pt idx="1665">
                  <c:v>220.86131963650732</c:v>
                </c:pt>
                <c:pt idx="1666">
                  <c:v>224</c:v>
                </c:pt>
                <c:pt idx="1667">
                  <c:v>192.90389252497417</c:v>
                </c:pt>
                <c:pt idx="1668">
                  <c:v>378.37837837837839</c:v>
                </c:pt>
                <c:pt idx="1669">
                  <c:v>205.73108008817047</c:v>
                </c:pt>
                <c:pt idx="1670">
                  <c:v>237.28813559322035</c:v>
                </c:pt>
                <c:pt idx="1671">
                  <c:v>414.20118343195264</c:v>
                </c:pt>
                <c:pt idx="1672">
                  <c:v>204.52885317750182</c:v>
                </c:pt>
                <c:pt idx="1673">
                  <c:v>260.46511627906978</c:v>
                </c:pt>
                <c:pt idx="1674">
                  <c:v>172.92307692307693</c:v>
                </c:pt>
                <c:pt idx="1675">
                  <c:v>220.93479968578163</c:v>
                </c:pt>
                <c:pt idx="1676">
                  <c:v>205.32458059810358</c:v>
                </c:pt>
                <c:pt idx="1677">
                  <c:v>202.1236559139785</c:v>
                </c:pt>
                <c:pt idx="1678">
                  <c:v>218.04633204633205</c:v>
                </c:pt>
                <c:pt idx="1679">
                  <c:v>167.0609107037256</c:v>
                </c:pt>
                <c:pt idx="1680">
                  <c:v>201.28250801567509</c:v>
                </c:pt>
                <c:pt idx="1681">
                  <c:v>171.87026371627766</c:v>
                </c:pt>
                <c:pt idx="1682">
                  <c:v>261.51012891344385</c:v>
                </c:pt>
                <c:pt idx="1683">
                  <c:v>205.25747209218582</c:v>
                </c:pt>
                <c:pt idx="1684">
                  <c:v>221.27329192546583</c:v>
                </c:pt>
                <c:pt idx="1685">
                  <c:v>169.89567809239941</c:v>
                </c:pt>
                <c:pt idx="1686">
                  <c:v>189.71807628524047</c:v>
                </c:pt>
                <c:pt idx="1687">
                  <c:v>166.59871869539896</c:v>
                </c:pt>
                <c:pt idx="1688">
                  <c:v>249.13043478260869</c:v>
                </c:pt>
                <c:pt idx="1689">
                  <c:v>229.96</c:v>
                </c:pt>
                <c:pt idx="1690">
                  <c:v>377.54432042022324</c:v>
                </c:pt>
                <c:pt idx="1691">
                  <c:v>219.46564885496184</c:v>
                </c:pt>
                <c:pt idx="1692">
                  <c:v>220.39095438865465</c:v>
                </c:pt>
                <c:pt idx="1693">
                  <c:v>257.84753363228697</c:v>
                </c:pt>
                <c:pt idx="1694">
                  <c:v>287.5</c:v>
                </c:pt>
                <c:pt idx="1695">
                  <c:v>203.97304008513657</c:v>
                </c:pt>
                <c:pt idx="1696">
                  <c:v>305.12956107879427</c:v>
                </c:pt>
                <c:pt idx="1697">
                  <c:v>196.36178170690241</c:v>
                </c:pt>
                <c:pt idx="1698">
                  <c:v>290.74446680080484</c:v>
                </c:pt>
                <c:pt idx="1699">
                  <c:v>222.76579352850538</c:v>
                </c:pt>
                <c:pt idx="1700">
                  <c:v>263.59090909090907</c:v>
                </c:pt>
                <c:pt idx="1701">
                  <c:v>226.04547221142636</c:v>
                </c:pt>
                <c:pt idx="1702">
                  <c:v>258.62068965517244</c:v>
                </c:pt>
                <c:pt idx="1703">
                  <c:v>214.91550330639237</c:v>
                </c:pt>
                <c:pt idx="1704">
                  <c:v>188.70967741935485</c:v>
                </c:pt>
                <c:pt idx="1705">
                  <c:v>217.31054977711739</c:v>
                </c:pt>
                <c:pt idx="1706">
                  <c:v>202.34806629834253</c:v>
                </c:pt>
                <c:pt idx="1707">
                  <c:v>182.34930448222565</c:v>
                </c:pt>
                <c:pt idx="1708">
                  <c:v>306.01659751037346</c:v>
                </c:pt>
                <c:pt idx="1709">
                  <c:v>207.89288231148697</c:v>
                </c:pt>
                <c:pt idx="1710">
                  <c:v>275.18656716417911</c:v>
                </c:pt>
                <c:pt idx="1711">
                  <c:v>214.72615161407327</c:v>
                </c:pt>
                <c:pt idx="1712">
                  <c:v>269.58105646630236</c:v>
                </c:pt>
                <c:pt idx="1713">
                  <c:v>297.03300000000002</c:v>
                </c:pt>
                <c:pt idx="1714">
                  <c:v>220.03333333333333</c:v>
                </c:pt>
                <c:pt idx="1715">
                  <c:v>220.03333333333333</c:v>
                </c:pt>
                <c:pt idx="1716">
                  <c:v>169.41913439635536</c:v>
                </c:pt>
                <c:pt idx="1717">
                  <c:v>170.73170731707316</c:v>
                </c:pt>
                <c:pt idx="1718">
                  <c:v>228.44568138195777</c:v>
                </c:pt>
                <c:pt idx="1719">
                  <c:v>191.45241157556271</c:v>
                </c:pt>
                <c:pt idx="1720">
                  <c:v>202.88495575221239</c:v>
                </c:pt>
                <c:pt idx="1721">
                  <c:v>211.66288951841361</c:v>
                </c:pt>
                <c:pt idx="1722">
                  <c:v>167.78711484593836</c:v>
                </c:pt>
                <c:pt idx="1723">
                  <c:v>218.21493624772313</c:v>
                </c:pt>
                <c:pt idx="1724">
                  <c:v>232.0696324951644</c:v>
                </c:pt>
                <c:pt idx="1725">
                  <c:v>519.03114186851212</c:v>
                </c:pt>
                <c:pt idx="1726">
                  <c:v>175.33606078316774</c:v>
                </c:pt>
                <c:pt idx="1727">
                  <c:v>206.68274199104374</c:v>
                </c:pt>
                <c:pt idx="1728">
                  <c:v>172.56255392579811</c:v>
                </c:pt>
                <c:pt idx="1729">
                  <c:v>168.53932584269663</c:v>
                </c:pt>
                <c:pt idx="1730">
                  <c:v>314.79538300104934</c:v>
                </c:pt>
                <c:pt idx="1731">
                  <c:v>201.54517971111858</c:v>
                </c:pt>
                <c:pt idx="1732">
                  <c:v>300</c:v>
                </c:pt>
                <c:pt idx="1733">
                  <c:v>296.68858131487889</c:v>
                </c:pt>
                <c:pt idx="1734">
                  <c:v>263.57267950963222</c:v>
                </c:pt>
                <c:pt idx="1735">
                  <c:v>205.83617166212534</c:v>
                </c:pt>
                <c:pt idx="1736">
                  <c:v>274.61607949412826</c:v>
                </c:pt>
                <c:pt idx="1737">
                  <c:v>347.18269778030736</c:v>
                </c:pt>
                <c:pt idx="1738">
                  <c:v>197.66688269604666</c:v>
                </c:pt>
                <c:pt idx="1739">
                  <c:v>271.5939447907391</c:v>
                </c:pt>
                <c:pt idx="1740">
                  <c:v>220.0216060496939</c:v>
                </c:pt>
                <c:pt idx="1741">
                  <c:v>248.87667887667888</c:v>
                </c:pt>
                <c:pt idx="1742">
                  <c:v>210.86206896551724</c:v>
                </c:pt>
                <c:pt idx="1743">
                  <c:v>233.39840182648402</c:v>
                </c:pt>
                <c:pt idx="1744">
                  <c:v>214.78504019573575</c:v>
                </c:pt>
                <c:pt idx="1745">
                  <c:v>205</c:v>
                </c:pt>
                <c:pt idx="1746">
                  <c:v>271.88328912466841</c:v>
                </c:pt>
                <c:pt idx="1747">
                  <c:v>228.02218114602587</c:v>
                </c:pt>
                <c:pt idx="1748">
                  <c:v>213.34716459197787</c:v>
                </c:pt>
                <c:pt idx="1749">
                  <c:v>267.49870017331023</c:v>
                </c:pt>
                <c:pt idx="1750">
                  <c:v>197.01302828090246</c:v>
                </c:pt>
                <c:pt idx="1751">
                  <c:v>272.04914436156207</c:v>
                </c:pt>
                <c:pt idx="1752">
                  <c:v>577.13754646840152</c:v>
                </c:pt>
                <c:pt idx="1753">
                  <c:v>241.37262504846839</c:v>
                </c:pt>
                <c:pt idx="1754">
                  <c:v>200.32154340836013</c:v>
                </c:pt>
                <c:pt idx="1755">
                  <c:v>264.22832980972515</c:v>
                </c:pt>
                <c:pt idx="1756">
                  <c:v>388.19875776397515</c:v>
                </c:pt>
                <c:pt idx="1757">
                  <c:v>230.96821877309682</c:v>
                </c:pt>
                <c:pt idx="1758">
                  <c:v>233.47030257751214</c:v>
                </c:pt>
                <c:pt idx="1759">
                  <c:v>241.77949709864603</c:v>
                </c:pt>
                <c:pt idx="1760">
                  <c:v>277.90128946198308</c:v>
                </c:pt>
                <c:pt idx="1761">
                  <c:v>163.31330023517114</c:v>
                </c:pt>
                <c:pt idx="1762">
                  <c:v>322.67783505154637</c:v>
                </c:pt>
                <c:pt idx="1763">
                  <c:v>180.04026459591603</c:v>
                </c:pt>
                <c:pt idx="1764">
                  <c:v>263.23529411764707</c:v>
                </c:pt>
                <c:pt idx="1765">
                  <c:v>192.87534540988639</c:v>
                </c:pt>
                <c:pt idx="1766">
                  <c:v>221.16736990154712</c:v>
                </c:pt>
                <c:pt idx="1767">
                  <c:v>303.42003853564546</c:v>
                </c:pt>
                <c:pt idx="1768">
                  <c:v>252.60625501202887</c:v>
                </c:pt>
                <c:pt idx="1769">
                  <c:v>243.05555555555554</c:v>
                </c:pt>
                <c:pt idx="1770">
                  <c:v>241.84261036468331</c:v>
                </c:pt>
                <c:pt idx="1771">
                  <c:v>259.68672712283592</c:v>
                </c:pt>
                <c:pt idx="1772">
                  <c:v>226.29310344827587</c:v>
                </c:pt>
                <c:pt idx="1773">
                  <c:v>208.26446280991735</c:v>
                </c:pt>
                <c:pt idx="1774">
                  <c:v>198.11320754716982</c:v>
                </c:pt>
                <c:pt idx="1775">
                  <c:v>236.5752910251596</c:v>
                </c:pt>
                <c:pt idx="1776">
                  <c:v>86.729074889867846</c:v>
                </c:pt>
                <c:pt idx="1777">
                  <c:v>185.93335299321734</c:v>
                </c:pt>
                <c:pt idx="1778">
                  <c:v>289.3772893772894</c:v>
                </c:pt>
                <c:pt idx="1779">
                  <c:v>201.78799489144316</c:v>
                </c:pt>
                <c:pt idx="1780">
                  <c:v>214.63826910074374</c:v>
                </c:pt>
                <c:pt idx="1781">
                  <c:v>346.04904632152591</c:v>
                </c:pt>
                <c:pt idx="1782">
                  <c:v>176.38888888888889</c:v>
                </c:pt>
                <c:pt idx="1783">
                  <c:v>245.74303405572755</c:v>
                </c:pt>
                <c:pt idx="1784">
                  <c:v>259.91820040899796</c:v>
                </c:pt>
                <c:pt idx="1785">
                  <c:v>309.69785575048735</c:v>
                </c:pt>
                <c:pt idx="1786">
                  <c:v>266.39565035549981</c:v>
                </c:pt>
                <c:pt idx="1787">
                  <c:v>193.03030303030303</c:v>
                </c:pt>
                <c:pt idx="1788">
                  <c:v>424.5847176079734</c:v>
                </c:pt>
                <c:pt idx="1789">
                  <c:v>266.625</c:v>
                </c:pt>
                <c:pt idx="1790">
                  <c:v>237.03703703703704</c:v>
                </c:pt>
                <c:pt idx="1791">
                  <c:v>295.2029520295203</c:v>
                </c:pt>
                <c:pt idx="1792">
                  <c:v>281.4423922603342</c:v>
                </c:pt>
                <c:pt idx="1793">
                  <c:v>238.25018587360594</c:v>
                </c:pt>
                <c:pt idx="1794">
                  <c:v>206.30833601544899</c:v>
                </c:pt>
                <c:pt idx="1795">
                  <c:v>303.87523629489601</c:v>
                </c:pt>
                <c:pt idx="1796">
                  <c:v>177.14913485306235</c:v>
                </c:pt>
                <c:pt idx="1797">
                  <c:v>215.25</c:v>
                </c:pt>
                <c:pt idx="1798">
                  <c:v>236.77489967165269</c:v>
                </c:pt>
                <c:pt idx="1799">
                  <c:v>260.93536732236049</c:v>
                </c:pt>
                <c:pt idx="1800">
                  <c:v>196.49334945586457</c:v>
                </c:pt>
                <c:pt idx="1801">
                  <c:v>260</c:v>
                </c:pt>
                <c:pt idx="1802">
                  <c:v>186.67432510051694</c:v>
                </c:pt>
                <c:pt idx="1803">
                  <c:v>219.66880702940182</c:v>
                </c:pt>
                <c:pt idx="1804">
                  <c:v>175.24939336748449</c:v>
                </c:pt>
                <c:pt idx="1805">
                  <c:v>214.73406012553684</c:v>
                </c:pt>
                <c:pt idx="1806">
                  <c:v>333.24795081967216</c:v>
                </c:pt>
                <c:pt idx="1807">
                  <c:v>205.98110236220472</c:v>
                </c:pt>
                <c:pt idx="1808">
                  <c:v>250.38255547054322</c:v>
                </c:pt>
                <c:pt idx="1809">
                  <c:v>271.78423236514521</c:v>
                </c:pt>
                <c:pt idx="1810">
                  <c:v>266.69381107491859</c:v>
                </c:pt>
                <c:pt idx="1811">
                  <c:v>219.13683506189361</c:v>
                </c:pt>
                <c:pt idx="1812">
                  <c:v>210.67867481505309</c:v>
                </c:pt>
                <c:pt idx="1813">
                  <c:v>281.78694158075604</c:v>
                </c:pt>
                <c:pt idx="1814">
                  <c:v>325.81107814045498</c:v>
                </c:pt>
                <c:pt idx="1815">
                  <c:v>159.14030427432988</c:v>
                </c:pt>
                <c:pt idx="1816">
                  <c:v>261.80087266957554</c:v>
                </c:pt>
                <c:pt idx="1817">
                  <c:v>212.90322580645162</c:v>
                </c:pt>
                <c:pt idx="1818">
                  <c:v>195.67791592658378</c:v>
                </c:pt>
                <c:pt idx="1819">
                  <c:v>248.81445238991344</c:v>
                </c:pt>
                <c:pt idx="1820">
                  <c:v>220.77922077922079</c:v>
                </c:pt>
                <c:pt idx="1821">
                  <c:v>266</c:v>
                </c:pt>
                <c:pt idx="1822">
                  <c:v>348.89821615949631</c:v>
                </c:pt>
                <c:pt idx="1823">
                  <c:v>250.65963060686016</c:v>
                </c:pt>
                <c:pt idx="1824">
                  <c:v>220.63702720637028</c:v>
                </c:pt>
                <c:pt idx="1825">
                  <c:v>300.97423146473778</c:v>
                </c:pt>
                <c:pt idx="1826">
                  <c:v>273.09893704006544</c:v>
                </c:pt>
                <c:pt idx="1827">
                  <c:v>197.99054373522458</c:v>
                </c:pt>
                <c:pt idx="1828">
                  <c:v>229.60932145305003</c:v>
                </c:pt>
                <c:pt idx="1829">
                  <c:v>457.02592087312416</c:v>
                </c:pt>
                <c:pt idx="1830">
                  <c:v>199.70193740685545</c:v>
                </c:pt>
                <c:pt idx="1831">
                  <c:v>264.56692913385825</c:v>
                </c:pt>
                <c:pt idx="1832">
                  <c:v>225.23427041499332</c:v>
                </c:pt>
                <c:pt idx="1833">
                  <c:v>192.58202567760341</c:v>
                </c:pt>
                <c:pt idx="1834">
                  <c:v>255.93667546174143</c:v>
                </c:pt>
                <c:pt idx="1835">
                  <c:v>294.45647466435685</c:v>
                </c:pt>
                <c:pt idx="1836">
                  <c:v>233.11621528968118</c:v>
                </c:pt>
                <c:pt idx="1837">
                  <c:v>246.37681159420291</c:v>
                </c:pt>
                <c:pt idx="1838">
                  <c:v>233.11621528968118</c:v>
                </c:pt>
                <c:pt idx="1839">
                  <c:v>226.66666666666666</c:v>
                </c:pt>
                <c:pt idx="1840">
                  <c:v>251.37614678899084</c:v>
                </c:pt>
                <c:pt idx="1841">
                  <c:v>235.39518900343643</c:v>
                </c:pt>
                <c:pt idx="1842">
                  <c:v>288.70292887029291</c:v>
                </c:pt>
                <c:pt idx="1843">
                  <c:v>250.27203482045701</c:v>
                </c:pt>
                <c:pt idx="1844">
                  <c:v>286.18830360846124</c:v>
                </c:pt>
                <c:pt idx="1845">
                  <c:v>217.3228346456693</c:v>
                </c:pt>
                <c:pt idx="1846">
                  <c:v>241.52986377925254</c:v>
                </c:pt>
                <c:pt idx="1847">
                  <c:v>300.73561228905237</c:v>
                </c:pt>
                <c:pt idx="1848">
                  <c:v>295.74468085106383</c:v>
                </c:pt>
                <c:pt idx="1849">
                  <c:v>214.97061552737395</c:v>
                </c:pt>
                <c:pt idx="1850">
                  <c:v>234.8993288590604</c:v>
                </c:pt>
                <c:pt idx="1851">
                  <c:v>214.92170709241634</c:v>
                </c:pt>
                <c:pt idx="1852">
                  <c:v>201.2072434607646</c:v>
                </c:pt>
                <c:pt idx="1853">
                  <c:v>280.33640368442133</c:v>
                </c:pt>
                <c:pt idx="1854">
                  <c:v>262.42062009712367</c:v>
                </c:pt>
                <c:pt idx="1855">
                  <c:v>258.62068965517244</c:v>
                </c:pt>
                <c:pt idx="1856">
                  <c:v>245.98743893928821</c:v>
                </c:pt>
                <c:pt idx="1857">
                  <c:v>223.61889763779527</c:v>
                </c:pt>
                <c:pt idx="1858">
                  <c:v>219.54236239950527</c:v>
                </c:pt>
                <c:pt idx="1859">
                  <c:v>194.62719298245614</c:v>
                </c:pt>
                <c:pt idx="1860">
                  <c:v>191.37466307277629</c:v>
                </c:pt>
                <c:pt idx="1861">
                  <c:v>237.7762893503014</c:v>
                </c:pt>
                <c:pt idx="1862">
                  <c:v>184.93506493506493</c:v>
                </c:pt>
                <c:pt idx="1863">
                  <c:v>339.52380952380952</c:v>
                </c:pt>
                <c:pt idx="1864">
                  <c:v>267.48971193415639</c:v>
                </c:pt>
                <c:pt idx="1865">
                  <c:v>212.67102914931587</c:v>
                </c:pt>
                <c:pt idx="1866">
                  <c:v>313.04728546409808</c:v>
                </c:pt>
                <c:pt idx="1867">
                  <c:v>196.21295279912184</c:v>
                </c:pt>
                <c:pt idx="1868">
                  <c:v>201.00783874580068</c:v>
                </c:pt>
                <c:pt idx="1869">
                  <c:v>232.58064516129033</c:v>
                </c:pt>
                <c:pt idx="1870">
                  <c:v>214.62544589774078</c:v>
                </c:pt>
                <c:pt idx="1871">
                  <c:v>289.95999999999998</c:v>
                </c:pt>
                <c:pt idx="1872">
                  <c:v>199.12112057127163</c:v>
                </c:pt>
                <c:pt idx="1873">
                  <c:v>216.41791044776119</c:v>
                </c:pt>
                <c:pt idx="1874">
                  <c:v>302.9669870455495</c:v>
                </c:pt>
                <c:pt idx="1875">
                  <c:v>354.52322738386306</c:v>
                </c:pt>
                <c:pt idx="1876">
                  <c:v>242.15096860387442</c:v>
                </c:pt>
                <c:pt idx="1877">
                  <c:v>193.79844961240309</c:v>
                </c:pt>
                <c:pt idx="1878">
                  <c:v>263.06240928882437</c:v>
                </c:pt>
                <c:pt idx="1879">
                  <c:v>193.90211286440226</c:v>
                </c:pt>
                <c:pt idx="1880">
                  <c:v>222.6967663209274</c:v>
                </c:pt>
                <c:pt idx="1881">
                  <c:v>222.35759975632044</c:v>
                </c:pt>
                <c:pt idx="1882">
                  <c:v>328.23741007194246</c:v>
                </c:pt>
                <c:pt idx="1883">
                  <c:v>278.83880825057298</c:v>
                </c:pt>
                <c:pt idx="1884">
                  <c:v>291.98244914240126</c:v>
                </c:pt>
                <c:pt idx="1885">
                  <c:v>225.32188841201716</c:v>
                </c:pt>
                <c:pt idx="1886">
                  <c:v>339.33518005540168</c:v>
                </c:pt>
                <c:pt idx="1887">
                  <c:v>259.5808383233533</c:v>
                </c:pt>
                <c:pt idx="1888">
                  <c:v>256.08061153578876</c:v>
                </c:pt>
                <c:pt idx="1889">
                  <c:v>329.57683741648106</c:v>
                </c:pt>
                <c:pt idx="1890">
                  <c:v>218.67316784869976</c:v>
                </c:pt>
                <c:pt idx="1891">
                  <c:v>333.48355114916632</c:v>
                </c:pt>
                <c:pt idx="1892">
                  <c:v>254.38294946717085</c:v>
                </c:pt>
                <c:pt idx="1893">
                  <c:v>236.27075351213281</c:v>
                </c:pt>
                <c:pt idx="1894">
                  <c:v>370</c:v>
                </c:pt>
                <c:pt idx="1895">
                  <c:v>232.70440251572327</c:v>
                </c:pt>
                <c:pt idx="1896">
                  <c:v>302.5347506132461</c:v>
                </c:pt>
                <c:pt idx="1897">
                  <c:v>312.08333333333331</c:v>
                </c:pt>
                <c:pt idx="1898">
                  <c:v>267.85714285714283</c:v>
                </c:pt>
                <c:pt idx="1899">
                  <c:v>237.11666139740751</c:v>
                </c:pt>
                <c:pt idx="1900">
                  <c:v>250</c:v>
                </c:pt>
                <c:pt idx="1901">
                  <c:v>291.3752913752914</c:v>
                </c:pt>
                <c:pt idx="1902">
                  <c:v>213.24992891669035</c:v>
                </c:pt>
                <c:pt idx="1903">
                  <c:v>267.64076977904489</c:v>
                </c:pt>
                <c:pt idx="1904">
                  <c:v>272.56956993133355</c:v>
                </c:pt>
                <c:pt idx="1905">
                  <c:v>295.38341158059467</c:v>
                </c:pt>
                <c:pt idx="1906">
                  <c:v>219.03104148534959</c:v>
                </c:pt>
                <c:pt idx="1907">
                  <c:v>222.28721848493711</c:v>
                </c:pt>
                <c:pt idx="1908">
                  <c:v>275.1798561151079</c:v>
                </c:pt>
                <c:pt idx="1909">
                  <c:v>217.51492749502418</c:v>
                </c:pt>
                <c:pt idx="1910">
                  <c:v>227.07166027720436</c:v>
                </c:pt>
                <c:pt idx="1911">
                  <c:v>187.83325254483762</c:v>
                </c:pt>
                <c:pt idx="1912">
                  <c:v>193.55644355644355</c:v>
                </c:pt>
                <c:pt idx="1913">
                  <c:v>250</c:v>
                </c:pt>
                <c:pt idx="1914">
                  <c:v>258.19265143992055</c:v>
                </c:pt>
                <c:pt idx="1915">
                  <c:v>243.75</c:v>
                </c:pt>
                <c:pt idx="1916">
                  <c:v>246.54088050314465</c:v>
                </c:pt>
                <c:pt idx="1917">
                  <c:v>229.19708029197079</c:v>
                </c:pt>
                <c:pt idx="1918">
                  <c:v>275.05255781359494</c:v>
                </c:pt>
                <c:pt idx="1919">
                  <c:v>223.57954545454547</c:v>
                </c:pt>
                <c:pt idx="1920">
                  <c:v>305.06523407521104</c:v>
                </c:pt>
                <c:pt idx="1921">
                  <c:v>244.31887599266952</c:v>
                </c:pt>
                <c:pt idx="1922">
                  <c:v>218.75854525567405</c:v>
                </c:pt>
                <c:pt idx="1923">
                  <c:v>375.76326914044154</c:v>
                </c:pt>
                <c:pt idx="1924">
                  <c:v>214.93820526598603</c:v>
                </c:pt>
                <c:pt idx="1925">
                  <c:v>273.5042735042735</c:v>
                </c:pt>
                <c:pt idx="1926">
                  <c:v>273.5042735042735</c:v>
                </c:pt>
                <c:pt idx="1927">
                  <c:v>294.09280233832663</c:v>
                </c:pt>
                <c:pt idx="1928">
                  <c:v>228.10994616038539</c:v>
                </c:pt>
                <c:pt idx="1929">
                  <c:v>266.85393258426967</c:v>
                </c:pt>
                <c:pt idx="1930">
                  <c:v>226.06754116662015</c:v>
                </c:pt>
                <c:pt idx="1931">
                  <c:v>200.94269412056562</c:v>
                </c:pt>
                <c:pt idx="1932">
                  <c:v>260.71657069737682</c:v>
                </c:pt>
                <c:pt idx="1933">
                  <c:v>253.18421870146008</c:v>
                </c:pt>
                <c:pt idx="1934">
                  <c:v>213.12761506276149</c:v>
                </c:pt>
                <c:pt idx="1935">
                  <c:v>268.3388157894737</c:v>
                </c:pt>
                <c:pt idx="1936">
                  <c:v>235.55226029369422</c:v>
                </c:pt>
                <c:pt idx="1937">
                  <c:v>169.84258492129246</c:v>
                </c:pt>
                <c:pt idx="1938">
                  <c:v>235.04273504273505</c:v>
                </c:pt>
                <c:pt idx="1939">
                  <c:v>228.90237175951461</c:v>
                </c:pt>
                <c:pt idx="1940">
                  <c:v>264.24705507800064</c:v>
                </c:pt>
                <c:pt idx="1941">
                  <c:v>449.92050874403816</c:v>
                </c:pt>
                <c:pt idx="1942">
                  <c:v>160.89343176225628</c:v>
                </c:pt>
                <c:pt idx="1943">
                  <c:v>248.17518248175182</c:v>
                </c:pt>
                <c:pt idx="1944">
                  <c:v>295.75504523312458</c:v>
                </c:pt>
                <c:pt idx="1945">
                  <c:v>232.87671232876713</c:v>
                </c:pt>
                <c:pt idx="1946">
                  <c:v>260.41666666666669</c:v>
                </c:pt>
                <c:pt idx="1947">
                  <c:v>312.84504968715493</c:v>
                </c:pt>
                <c:pt idx="1948">
                  <c:v>240.2487280949689</c:v>
                </c:pt>
                <c:pt idx="1949">
                  <c:v>163.9344262295082</c:v>
                </c:pt>
                <c:pt idx="1950">
                  <c:v>255.86995785671283</c:v>
                </c:pt>
                <c:pt idx="1951">
                  <c:v>192.5254813137033</c:v>
                </c:pt>
                <c:pt idx="1952">
                  <c:v>197.49070631970261</c:v>
                </c:pt>
                <c:pt idx="1953">
                  <c:v>257.57575757575756</c:v>
                </c:pt>
                <c:pt idx="1954">
                  <c:v>265.4320987654321</c:v>
                </c:pt>
                <c:pt idx="1955">
                  <c:v>207.02936928261917</c:v>
                </c:pt>
                <c:pt idx="1956">
                  <c:v>353.34967320261438</c:v>
                </c:pt>
                <c:pt idx="1957">
                  <c:v>262.67840874582447</c:v>
                </c:pt>
                <c:pt idx="1958">
                  <c:v>202.95635851712811</c:v>
                </c:pt>
                <c:pt idx="1959">
                  <c:v>179.61466749533872</c:v>
                </c:pt>
                <c:pt idx="1960">
                  <c:v>265.23191943851083</c:v>
                </c:pt>
                <c:pt idx="1961">
                  <c:v>224.37451637864328</c:v>
                </c:pt>
                <c:pt idx="1962">
                  <c:v>209.73963355834138</c:v>
                </c:pt>
                <c:pt idx="1963">
                  <c:v>244.96080627099664</c:v>
                </c:pt>
                <c:pt idx="1964">
                  <c:v>180.44957723241905</c:v>
                </c:pt>
                <c:pt idx="1965">
                  <c:v>273.8873327108621</c:v>
                </c:pt>
                <c:pt idx="1966">
                  <c:v>352</c:v>
                </c:pt>
                <c:pt idx="1967">
                  <c:v>279.96850393700788</c:v>
                </c:pt>
                <c:pt idx="1968">
                  <c:v>367.16171617161717</c:v>
                </c:pt>
                <c:pt idx="1969">
                  <c:v>356</c:v>
                </c:pt>
                <c:pt idx="1970">
                  <c:v>278.71499999999997</c:v>
                </c:pt>
                <c:pt idx="1971">
                  <c:v>421.7719132893497</c:v>
                </c:pt>
                <c:pt idx="1972">
                  <c:v>343.51145038167937</c:v>
                </c:pt>
                <c:pt idx="1973">
                  <c:v>243.374797187669</c:v>
                </c:pt>
                <c:pt idx="1974">
                  <c:v>567.39811912225707</c:v>
                </c:pt>
                <c:pt idx="1975">
                  <c:v>459.79899497487435</c:v>
                </c:pt>
                <c:pt idx="1976">
                  <c:v>198.43851659076122</c:v>
                </c:pt>
                <c:pt idx="1977">
                  <c:v>208.0036174542166</c:v>
                </c:pt>
                <c:pt idx="1978">
                  <c:v>290.66834804539724</c:v>
                </c:pt>
                <c:pt idx="1979">
                  <c:v>339.82365907421013</c:v>
                </c:pt>
                <c:pt idx="1980">
                  <c:v>307.71789753825681</c:v>
                </c:pt>
                <c:pt idx="1981">
                  <c:v>198.32761578044597</c:v>
                </c:pt>
                <c:pt idx="1982">
                  <c:v>245.51214361140444</c:v>
                </c:pt>
                <c:pt idx="1983">
                  <c:v>283.79615501983523</c:v>
                </c:pt>
                <c:pt idx="1984">
                  <c:v>368.69085173501577</c:v>
                </c:pt>
                <c:pt idx="1985">
                  <c:v>239.74358974358975</c:v>
                </c:pt>
                <c:pt idx="1986">
                  <c:v>315.55855551805604</c:v>
                </c:pt>
                <c:pt idx="1987">
                  <c:v>261.08333333333331</c:v>
                </c:pt>
                <c:pt idx="1988">
                  <c:v>335.9542530378842</c:v>
                </c:pt>
                <c:pt idx="1989">
                  <c:v>277.28873239436621</c:v>
                </c:pt>
                <c:pt idx="1990">
                  <c:v>230.6945118989801</c:v>
                </c:pt>
                <c:pt idx="1991">
                  <c:v>316.45569620253167</c:v>
                </c:pt>
                <c:pt idx="1992">
                  <c:v>333.33333333333331</c:v>
                </c:pt>
                <c:pt idx="1993">
                  <c:v>293.30040135844399</c:v>
                </c:pt>
                <c:pt idx="1994">
                  <c:v>226.94696607740087</c:v>
                </c:pt>
                <c:pt idx="1995">
                  <c:v>367.02536510376632</c:v>
                </c:pt>
                <c:pt idx="1996">
                  <c:v>458.29338446788114</c:v>
                </c:pt>
                <c:pt idx="1997">
                  <c:v>289.45739235170129</c:v>
                </c:pt>
                <c:pt idx="1998">
                  <c:v>314.99672560576295</c:v>
                </c:pt>
                <c:pt idx="1999">
                  <c:v>355.30191458026508</c:v>
                </c:pt>
                <c:pt idx="2000">
                  <c:v>239.86152324431256</c:v>
                </c:pt>
                <c:pt idx="2001">
                  <c:v>593.27217125382265</c:v>
                </c:pt>
                <c:pt idx="2002">
                  <c:v>410.49513330512059</c:v>
                </c:pt>
                <c:pt idx="2003">
                  <c:v>219.0454750112562</c:v>
                </c:pt>
                <c:pt idx="2004">
                  <c:v>206.01198234181206</c:v>
                </c:pt>
                <c:pt idx="2005">
                  <c:v>373.00380228136885</c:v>
                </c:pt>
                <c:pt idx="2006">
                  <c:v>286.23587652882935</c:v>
                </c:pt>
                <c:pt idx="2007">
                  <c:v>323.05673991472617</c:v>
                </c:pt>
                <c:pt idx="2008">
                  <c:v>315.2</c:v>
                </c:pt>
                <c:pt idx="2009">
                  <c:v>668.91891891891896</c:v>
                </c:pt>
                <c:pt idx="2010">
                  <c:v>248.31038798498122</c:v>
                </c:pt>
                <c:pt idx="2011">
                  <c:v>281.25</c:v>
                </c:pt>
                <c:pt idx="2012">
                  <c:v>330.46642408203769</c:v>
                </c:pt>
                <c:pt idx="2013">
                  <c:v>304.69226081657524</c:v>
                </c:pt>
                <c:pt idx="2014">
                  <c:v>420.16806722689074</c:v>
                </c:pt>
                <c:pt idx="2015">
                  <c:v>327.86885245901641</c:v>
                </c:pt>
                <c:pt idx="2016">
                  <c:v>451.72878311629995</c:v>
                </c:pt>
                <c:pt idx="2017">
                  <c:v>253.25977933801406</c:v>
                </c:pt>
                <c:pt idx="2018">
                  <c:v>332.90029230269568</c:v>
                </c:pt>
                <c:pt idx="2019">
                  <c:v>340.82644628099172</c:v>
                </c:pt>
                <c:pt idx="2020">
                  <c:v>303.91876430205951</c:v>
                </c:pt>
                <c:pt idx="2021">
                  <c:v>334.6875</c:v>
                </c:pt>
                <c:pt idx="2022">
                  <c:v>284.54208575966118</c:v>
                </c:pt>
                <c:pt idx="2023">
                  <c:v>337.15625</c:v>
                </c:pt>
                <c:pt idx="2024">
                  <c:v>337.15625</c:v>
                </c:pt>
                <c:pt idx="2025">
                  <c:v>341.27979924717692</c:v>
                </c:pt>
                <c:pt idx="2026">
                  <c:v>341.79993728441519</c:v>
                </c:pt>
                <c:pt idx="2027">
                  <c:v>358.53976531942635</c:v>
                </c:pt>
                <c:pt idx="2028">
                  <c:v>310.47135196161446</c:v>
                </c:pt>
                <c:pt idx="2029">
                  <c:v>242.55788313120178</c:v>
                </c:pt>
                <c:pt idx="2030">
                  <c:v>353.125</c:v>
                </c:pt>
                <c:pt idx="2031">
                  <c:v>339.46042099021645</c:v>
                </c:pt>
                <c:pt idx="2032">
                  <c:v>310.81081081081084</c:v>
                </c:pt>
                <c:pt idx="2033">
                  <c:v>262.37736710015969</c:v>
                </c:pt>
                <c:pt idx="2034">
                  <c:v>246.78111587982832</c:v>
                </c:pt>
                <c:pt idx="2035">
                  <c:v>455.43776992540245</c:v>
                </c:pt>
                <c:pt idx="2036">
                  <c:v>283.18798449612405</c:v>
                </c:pt>
                <c:pt idx="2037">
                  <c:v>467.38265712012731</c:v>
                </c:pt>
                <c:pt idx="2038">
                  <c:v>281.57894736842104</c:v>
                </c:pt>
                <c:pt idx="2039">
                  <c:v>375</c:v>
                </c:pt>
                <c:pt idx="2040">
                  <c:v>192.70916974466036</c:v>
                </c:pt>
                <c:pt idx="2041">
                  <c:v>455.29497984609748</c:v>
                </c:pt>
                <c:pt idx="2042">
                  <c:v>338.68443960826988</c:v>
                </c:pt>
                <c:pt idx="2043">
                  <c:v>315.89730682104204</c:v>
                </c:pt>
                <c:pt idx="2044">
                  <c:v>314.75</c:v>
                </c:pt>
                <c:pt idx="2045">
                  <c:v>243.73924679793538</c:v>
                </c:pt>
                <c:pt idx="2046">
                  <c:v>378.00939518496773</c:v>
                </c:pt>
                <c:pt idx="2047">
                  <c:v>258.2952513411484</c:v>
                </c:pt>
                <c:pt idx="2048">
                  <c:v>332.23231814749562</c:v>
                </c:pt>
                <c:pt idx="2049">
                  <c:v>380</c:v>
                </c:pt>
                <c:pt idx="2050">
                  <c:v>344.2999234889059</c:v>
                </c:pt>
                <c:pt idx="2051">
                  <c:v>273.24057269610807</c:v>
                </c:pt>
                <c:pt idx="2052">
                  <c:v>314.13612565445027</c:v>
                </c:pt>
                <c:pt idx="2053">
                  <c:v>262.46719160104988</c:v>
                </c:pt>
                <c:pt idx="2054">
                  <c:v>318.22242072353731</c:v>
                </c:pt>
                <c:pt idx="2055">
                  <c:v>487.39495798319325</c:v>
                </c:pt>
                <c:pt idx="2056">
                  <c:v>302.08333333333331</c:v>
                </c:pt>
                <c:pt idx="2057">
                  <c:v>216.07605877268799</c:v>
                </c:pt>
                <c:pt idx="2058">
                  <c:v>307.44004919040788</c:v>
                </c:pt>
                <c:pt idx="2059">
                  <c:v>346.98521046643913</c:v>
                </c:pt>
                <c:pt idx="2060">
                  <c:v>324.87948019283169</c:v>
                </c:pt>
                <c:pt idx="2061">
                  <c:v>302.91186241938635</c:v>
                </c:pt>
                <c:pt idx="2062">
                  <c:v>388.76678876678875</c:v>
                </c:pt>
                <c:pt idx="2063">
                  <c:v>438.75584916047342</c:v>
                </c:pt>
                <c:pt idx="2064">
                  <c:v>310.73446327683615</c:v>
                </c:pt>
                <c:pt idx="2065">
                  <c:v>512.32788984950366</c:v>
                </c:pt>
                <c:pt idx="2066">
                  <c:v>440.73772714944397</c:v>
                </c:pt>
                <c:pt idx="2067">
                  <c:v>422.84673432214419</c:v>
                </c:pt>
                <c:pt idx="2068">
                  <c:v>353.47043701799487</c:v>
                </c:pt>
                <c:pt idx="2069">
                  <c:v>254.11982134606498</c:v>
                </c:pt>
                <c:pt idx="2070">
                  <c:v>314.87101669195749</c:v>
                </c:pt>
                <c:pt idx="2071">
                  <c:v>434.78260869565219</c:v>
                </c:pt>
                <c:pt idx="2072">
                  <c:v>378.87107401713155</c:v>
                </c:pt>
                <c:pt idx="2073">
                  <c:v>342.9289026275116</c:v>
                </c:pt>
                <c:pt idx="2074">
                  <c:v>434.52380952380952</c:v>
                </c:pt>
                <c:pt idx="2075">
                  <c:v>527.02702702702697</c:v>
                </c:pt>
                <c:pt idx="2076">
                  <c:v>305.20204366000928</c:v>
                </c:pt>
                <c:pt idx="2077">
                  <c:v>419.76668772373131</c:v>
                </c:pt>
                <c:pt idx="2078">
                  <c:v>585.78590425531911</c:v>
                </c:pt>
                <c:pt idx="2079">
                  <c:v>623.53858144972719</c:v>
                </c:pt>
                <c:pt idx="2080">
                  <c:v>544.44444444444446</c:v>
                </c:pt>
                <c:pt idx="2081">
                  <c:v>462.27272727272725</c:v>
                </c:pt>
                <c:pt idx="2082">
                  <c:v>584.86238532110087</c:v>
                </c:pt>
                <c:pt idx="2083">
                  <c:v>409.96287128712873</c:v>
                </c:pt>
                <c:pt idx="2084">
                  <c:v>609.99321727334393</c:v>
                </c:pt>
                <c:pt idx="2085">
                  <c:v>436.71875</c:v>
                </c:pt>
                <c:pt idx="2086">
                  <c:v>409.72222222222223</c:v>
                </c:pt>
                <c:pt idx="2087">
                  <c:v>613.49693251533745</c:v>
                </c:pt>
                <c:pt idx="2088">
                  <c:v>455.27389277389278</c:v>
                </c:pt>
                <c:pt idx="2089">
                  <c:v>647.41035856573706</c:v>
                </c:pt>
                <c:pt idx="2090">
                  <c:v>346.9387755102041</c:v>
                </c:pt>
                <c:pt idx="2091">
                  <c:v>457.66590389016017</c:v>
                </c:pt>
                <c:pt idx="2092">
                  <c:v>346.9387755102041</c:v>
                </c:pt>
                <c:pt idx="2093">
                  <c:v>704.22535211267609</c:v>
                </c:pt>
                <c:pt idx="2094">
                  <c:v>604.4763927462833</c:v>
                </c:pt>
                <c:pt idx="2095">
                  <c:v>598.80239520958082</c:v>
                </c:pt>
                <c:pt idx="2096">
                  <c:v>572.21332112611583</c:v>
                </c:pt>
                <c:pt idx="2097" formatCode="_(&quot;$&quot;* #,##0.00_);_(&quot;$&quot;* \(#,##0.00\);_(&quot;$&quot;* &quot;-&quot;??_);_(@_)">
                  <c:v>26.5625</c:v>
                </c:pt>
                <c:pt idx="2098" formatCode="_(&quot;$&quot;* #,##0.00_);_(&quot;$&quot;* \(#,##0.00\);_(&quot;$&quot;* &quot;-&quot;??_);_(@_)">
                  <c:v>22.197558268590456</c:v>
                </c:pt>
                <c:pt idx="2099" formatCode="_(&quot;$&quot;* #,##0.00_);_(&quot;$&quot;* \(#,##0.00\);_(&quot;$&quot;* &quot;-&quot;??_);_(@_)">
                  <c:v>27.586206896551722</c:v>
                </c:pt>
                <c:pt idx="2100" formatCode="_(&quot;$&quot;* #,##0.00_);_(&quot;$&quot;* \(#,##0.00\);_(&quot;$&quot;* &quot;-&quot;??_);_(@_)">
                  <c:v>42.892156862745097</c:v>
                </c:pt>
                <c:pt idx="2101" formatCode="_(&quot;$&quot;* #,##0.00_);_(&quot;$&quot;* \(#,##0.00\);_(&quot;$&quot;* &quot;-&quot;??_);_(@_)">
                  <c:v>38.095238095238095</c:v>
                </c:pt>
                <c:pt idx="2102" formatCode="_(&quot;$&quot;* #,##0.00_);_(&quot;$&quot;* \(#,##0.00\);_(&quot;$&quot;* &quot;-&quot;??_);_(@_)">
                  <c:v>44.719827586206897</c:v>
                </c:pt>
                <c:pt idx="2103" formatCode="_(&quot;$&quot;* #,##0.00_);_(&quot;$&quot;* \(#,##0.00\);_(&quot;$&quot;* &quot;-&quot;??_);_(@_)">
                  <c:v>62.5</c:v>
                </c:pt>
                <c:pt idx="2104" formatCode="_(&quot;$&quot;* #,##0.00_);_(&quot;$&quot;* \(#,##0.00\);_(&quot;$&quot;* &quot;-&quot;??_);_(@_)">
                  <c:v>43.604651162790695</c:v>
                </c:pt>
                <c:pt idx="2105" formatCode="_(&quot;$&quot;* #,##0.00_);_(&quot;$&quot;* \(#,##0.00\);_(&quot;$&quot;* &quot;-&quot;??_);_(@_)">
                  <c:v>46.226415094339622</c:v>
                </c:pt>
                <c:pt idx="2106" formatCode="_(&quot;$&quot;* #,##0.00_);_(&quot;$&quot;* \(#,##0.00\);_(&quot;$&quot;* &quot;-&quot;??_);_(@_)">
                  <c:v>27.901785714285715</c:v>
                </c:pt>
                <c:pt idx="2107" formatCode="_(&quot;$&quot;* #,##0.00_);_(&quot;$&quot;* \(#,##0.00\);_(&quot;$&quot;* &quot;-&quot;??_);_(@_)">
                  <c:v>87.24832214765101</c:v>
                </c:pt>
                <c:pt idx="2108" formatCode="_(&quot;$&quot;* #,##0.00_);_(&quot;$&quot;* \(#,##0.00\);_(&quot;$&quot;* &quot;-&quot;??_);_(@_)">
                  <c:v>75.862068965517238</c:v>
                </c:pt>
                <c:pt idx="2109" formatCode="_(&quot;$&quot;* #,##0.00_);_(&quot;$&quot;* \(#,##0.00\);_(&quot;$&quot;* &quot;-&quot;??_);_(@_)">
                  <c:v>36.089238845144358</c:v>
                </c:pt>
                <c:pt idx="2110" formatCode="_(&quot;$&quot;* #,##0.00_);_(&quot;$&quot;* \(#,##0.00\);_(&quot;$&quot;* &quot;-&quot;??_);_(@_)">
                  <c:v>27.281746031746032</c:v>
                </c:pt>
                <c:pt idx="2111" formatCode="_(&quot;$&quot;* #,##0.00_);_(&quot;$&quot;* \(#,##0.00\);_(&quot;$&quot;* &quot;-&quot;??_);_(@_)">
                  <c:v>65.294117647058826</c:v>
                </c:pt>
                <c:pt idx="2112" formatCode="_(&quot;$&quot;* #,##0.00_);_(&quot;$&quot;* \(#,##0.00\);_(&quot;$&quot;* &quot;-&quot;??_);_(@_)">
                  <c:v>93.023255813953483</c:v>
                </c:pt>
                <c:pt idx="2113" formatCode="_(&quot;$&quot;* #,##0.00_);_(&quot;$&quot;* \(#,##0.00\);_(&quot;$&quot;* &quot;-&quot;??_);_(@_)">
                  <c:v>65.476190476190482</c:v>
                </c:pt>
                <c:pt idx="2114" formatCode="_(&quot;$&quot;* #,##0.00_);_(&quot;$&quot;* \(#,##0.00\);_(&quot;$&quot;* &quot;-&quot;??_);_(@_)">
                  <c:v>66.593886462882097</c:v>
                </c:pt>
                <c:pt idx="2115" formatCode="_(&quot;$&quot;* #,##0.00_);_(&quot;$&quot;* \(#,##0.00\);_(&quot;$&quot;* &quot;-&quot;??_);_(@_)">
                  <c:v>57.710501419110692</c:v>
                </c:pt>
                <c:pt idx="2116" formatCode="_(&quot;$&quot;* #,##0.00_);_(&quot;$&quot;* \(#,##0.00\);_(&quot;$&quot;* &quot;-&quot;??_);_(@_)">
                  <c:v>89.080459770114942</c:v>
                </c:pt>
                <c:pt idx="2117" formatCode="_(&quot;$&quot;* #,##0.00_);_(&quot;$&quot;* \(#,##0.00\);_(&quot;$&quot;* &quot;-&quot;??_);_(@_)">
                  <c:v>73.943661971830991</c:v>
                </c:pt>
                <c:pt idx="2118" formatCode="_(&quot;$&quot;* #,##0.00_);_(&quot;$&quot;* \(#,##0.00\);_(&quot;$&quot;* &quot;-&quot;??_);_(@_)">
                  <c:v>65.306122448979593</c:v>
                </c:pt>
                <c:pt idx="2119" formatCode="_(&quot;$&quot;* #,##0.00_);_(&quot;$&quot;* \(#,##0.00\);_(&quot;$&quot;* &quot;-&quot;??_);_(@_)">
                  <c:v>93.390804597701148</c:v>
                </c:pt>
                <c:pt idx="2120" formatCode="_(&quot;$&quot;* #,##0.00_);_(&quot;$&quot;* \(#,##0.00\);_(&quot;$&quot;* &quot;-&quot;??_);_(@_)">
                  <c:v>75.934579439252332</c:v>
                </c:pt>
                <c:pt idx="2121" formatCode="_(&quot;$&quot;* #,##0.00_);_(&quot;$&quot;* \(#,##0.00\);_(&quot;$&quot;* &quot;-&quot;??_);_(@_)">
                  <c:v>60.296846011131727</c:v>
                </c:pt>
                <c:pt idx="2122" formatCode="_(&quot;$&quot;* #,##0.00_);_(&quot;$&quot;* \(#,##0.00\);_(&quot;$&quot;* &quot;-&quot;??_);_(@_)">
                  <c:v>93.390804597701148</c:v>
                </c:pt>
                <c:pt idx="2123" formatCode="_(&quot;$&quot;* #,##0.00_);_(&quot;$&quot;* \(#,##0.00\);_(&quot;$&quot;* &quot;-&quot;??_);_(@_)">
                  <c:v>64.03591682419659</c:v>
                </c:pt>
                <c:pt idx="2124" formatCode="_(&quot;$&quot;* #,##0.00_);_(&quot;$&quot;* \(#,##0.00\);_(&quot;$&quot;* &quot;-&quot;??_);_(@_)">
                  <c:v>65.384615384615387</c:v>
                </c:pt>
                <c:pt idx="2125" formatCode="_(&quot;$&quot;* #,##0.00_);_(&quot;$&quot;* \(#,##0.00\);_(&quot;$&quot;* &quot;-&quot;??_);_(@_)">
                  <c:v>42.711779448621556</c:v>
                </c:pt>
                <c:pt idx="2126" formatCode="_(&quot;$&quot;* #,##0.00_);_(&quot;$&quot;* \(#,##0.00\);_(&quot;$&quot;* &quot;-&quot;??_);_(@_)">
                  <c:v>75.824175824175825</c:v>
                </c:pt>
                <c:pt idx="2127" formatCode="_(&quot;$&quot;* #,##0.00_);_(&quot;$&quot;* \(#,##0.00\);_(&quot;$&quot;* &quot;-&quot;??_);_(@_)">
                  <c:v>68.675889328063235</c:v>
                </c:pt>
                <c:pt idx="2128" formatCode="_(&quot;$&quot;* #,##0.00_);_(&quot;$&quot;* \(#,##0.00\);_(&quot;$&quot;* &quot;-&quot;??_);_(@_)">
                  <c:v>80.831408775981529</c:v>
                </c:pt>
                <c:pt idx="2129" formatCode="_(&quot;$&quot;* #,##0.00_);_(&quot;$&quot;* \(#,##0.00\);_(&quot;$&quot;* &quot;-&quot;??_);_(@_)">
                  <c:v>71.794871794871796</c:v>
                </c:pt>
                <c:pt idx="2130" formatCode="_(&quot;$&quot;* #,##0.00_);_(&quot;$&quot;* \(#,##0.00\);_(&quot;$&quot;* &quot;-&quot;??_);_(@_)">
                  <c:v>99.431818181818187</c:v>
                </c:pt>
                <c:pt idx="2131" formatCode="_(&quot;$&quot;* #,##0.00_);_(&quot;$&quot;* \(#,##0.00\);_(&quot;$&quot;* &quot;-&quot;??_);_(@_)">
                  <c:v>90.206185567010309</c:v>
                </c:pt>
                <c:pt idx="2132" formatCode="_(&quot;$&quot;* #,##0.00_);_(&quot;$&quot;* \(#,##0.00\);_(&quot;$&quot;* &quot;-&quot;??_);_(@_)">
                  <c:v>82.772166105499437</c:v>
                </c:pt>
                <c:pt idx="2133" formatCode="_(&quot;$&quot;* #,##0.00_);_(&quot;$&quot;* \(#,##0.00\);_(&quot;$&quot;* &quot;-&quot;??_);_(@_)">
                  <c:v>93.434343434343432</c:v>
                </c:pt>
                <c:pt idx="2134" formatCode="_(&quot;$&quot;* #,##0.00_);_(&quot;$&quot;* \(#,##0.00\);_(&quot;$&quot;* &quot;-&quot;??_);_(@_)">
                  <c:v>52.414275717284816</c:v>
                </c:pt>
                <c:pt idx="2135" formatCode="_(&quot;$&quot;* #,##0.00_);_(&quot;$&quot;* \(#,##0.00\);_(&quot;$&quot;* &quot;-&quot;??_);_(@_)">
                  <c:v>66.72597864768683</c:v>
                </c:pt>
                <c:pt idx="2136" formatCode="_(&quot;$&quot;* #,##0.00_);_(&quot;$&quot;* \(#,##0.00\);_(&quot;$&quot;* &quot;-&quot;??_);_(@_)">
                  <c:v>69.444444444444443</c:v>
                </c:pt>
                <c:pt idx="2137" formatCode="_(&quot;$&quot;* #,##0.00_);_(&quot;$&quot;* \(#,##0.00\);_(&quot;$&quot;* &quot;-&quot;??_);_(@_)">
                  <c:v>96.286811779769522</c:v>
                </c:pt>
                <c:pt idx="2138" formatCode="_(&quot;$&quot;* #,##0.00_);_(&quot;$&quot;* \(#,##0.00\);_(&quot;$&quot;* &quot;-&quot;??_);_(@_)">
                  <c:v>85.556780595369347</c:v>
                </c:pt>
                <c:pt idx="2139" formatCode="_(&quot;$&quot;* #,##0.00_);_(&quot;$&quot;* \(#,##0.00\);_(&quot;$&quot;* &quot;-&quot;??_);_(@_)">
                  <c:v>101.2987012987013</c:v>
                </c:pt>
                <c:pt idx="2140" formatCode="_(&quot;$&quot;* #,##0.00_);_(&quot;$&quot;* \(#,##0.00\);_(&quot;$&quot;* &quot;-&quot;??_);_(@_)">
                  <c:v>83.333333333333329</c:v>
                </c:pt>
                <c:pt idx="2141" formatCode="_(&quot;$&quot;* #,##0.00_);_(&quot;$&quot;* \(#,##0.00\);_(&quot;$&quot;* &quot;-&quot;??_);_(@_)">
                  <c:v>110.04126547455296</c:v>
                </c:pt>
                <c:pt idx="2142" formatCode="_(&quot;$&quot;* #,##0.00_);_(&quot;$&quot;* \(#,##0.00\);_(&quot;$&quot;* &quot;-&quot;??_);_(@_)">
                  <c:v>75.549450549450555</c:v>
                </c:pt>
                <c:pt idx="2143" formatCode="_(&quot;$&quot;* #,##0.00_);_(&quot;$&quot;* \(#,##0.00\);_(&quot;$&quot;* &quot;-&quot;??_);_(@_)">
                  <c:v>110</c:v>
                </c:pt>
                <c:pt idx="2144" formatCode="_(&quot;$&quot;* #,##0.00_);_(&quot;$&quot;* \(#,##0.00\);_(&quot;$&quot;* &quot;-&quot;??_);_(@_)">
                  <c:v>85.111788617886177</c:v>
                </c:pt>
                <c:pt idx="2145" formatCode="_(&quot;$&quot;* #,##0.00_);_(&quot;$&quot;* \(#,##0.00\);_(&quot;$&quot;* &quot;-&quot;??_);_(@_)">
                  <c:v>90.909090909090907</c:v>
                </c:pt>
                <c:pt idx="2146" formatCode="_(&quot;$&quot;* #,##0.00_);_(&quot;$&quot;* \(#,##0.00\);_(&quot;$&quot;* &quot;-&quot;??_);_(@_)">
                  <c:v>122.1264367816092</c:v>
                </c:pt>
                <c:pt idx="2147" formatCode="_(&quot;$&quot;* #,##0.00_);_(&quot;$&quot;* \(#,##0.00\);_(&quot;$&quot;* &quot;-&quot;??_);_(@_)">
                  <c:v>121.42857142857143</c:v>
                </c:pt>
                <c:pt idx="2148" formatCode="_(&quot;$&quot;* #,##0.00_);_(&quot;$&quot;* \(#,##0.00\);_(&quot;$&quot;* &quot;-&quot;??_);_(@_)">
                  <c:v>121.42857142857143</c:v>
                </c:pt>
                <c:pt idx="2149" formatCode="_(&quot;$&quot;* #,##0.00_);_(&quot;$&quot;* \(#,##0.00\);_(&quot;$&quot;* &quot;-&quot;??_);_(@_)">
                  <c:v>67.193675889328063</c:v>
                </c:pt>
                <c:pt idx="2150" formatCode="_(&quot;$&quot;* #,##0.00_);_(&quot;$&quot;* \(#,##0.00\);_(&quot;$&quot;* &quot;-&quot;??_);_(@_)">
                  <c:v>90.909090909090907</c:v>
                </c:pt>
                <c:pt idx="2151" formatCode="_(&quot;$&quot;* #,##0.00_);_(&quot;$&quot;* \(#,##0.00\);_(&quot;$&quot;* &quot;-&quot;??_);_(@_)">
                  <c:v>77.272727272727266</c:v>
                </c:pt>
                <c:pt idx="2152" formatCode="_(&quot;$&quot;* #,##0.00_);_(&quot;$&quot;* \(#,##0.00\);_(&quot;$&quot;* &quot;-&quot;??_);_(@_)">
                  <c:v>81.904761904761898</c:v>
                </c:pt>
                <c:pt idx="2153" formatCode="_(&quot;$&quot;* #,##0.00_);_(&quot;$&quot;* \(#,##0.00\);_(&quot;$&quot;* &quot;-&quot;??_);_(@_)">
                  <c:v>106.69975186104219</c:v>
                </c:pt>
                <c:pt idx="2154" formatCode="_(&quot;$&quot;* #,##0.00_);_(&quot;$&quot;* \(#,##0.00\);_(&quot;$&quot;* &quot;-&quot;??_);_(@_)">
                  <c:v>122.86931818181819</c:v>
                </c:pt>
                <c:pt idx="2155" formatCode="_(&quot;$&quot;* #,##0.00_);_(&quot;$&quot;* \(#,##0.00\);_(&quot;$&quot;* &quot;-&quot;??_);_(@_)">
                  <c:v>87.174348697394791</c:v>
                </c:pt>
                <c:pt idx="2156" formatCode="_(&quot;$&quot;* #,##0.00_);_(&quot;$&quot;* \(#,##0.00\);_(&quot;$&quot;* &quot;-&quot;??_);_(@_)">
                  <c:v>121.52777777777777</c:v>
                </c:pt>
                <c:pt idx="2157" formatCode="_(&quot;$&quot;* #,##0.00_);_(&quot;$&quot;* \(#,##0.00\);_(&quot;$&quot;* &quot;-&quot;??_);_(@_)">
                  <c:v>108.64197530864197</c:v>
                </c:pt>
                <c:pt idx="2158" formatCode="_(&quot;$&quot;* #,##0.00_);_(&quot;$&quot;* \(#,##0.00\);_(&quot;$&quot;* &quot;-&quot;??_);_(@_)">
                  <c:v>90.332313965341484</c:v>
                </c:pt>
                <c:pt idx="2159" formatCode="_(&quot;$&quot;* #,##0.00_);_(&quot;$&quot;* \(#,##0.00\);_(&quot;$&quot;* &quot;-&quot;??_);_(@_)">
                  <c:v>87.976539589442808</c:v>
                </c:pt>
                <c:pt idx="2160" formatCode="_(&quot;$&quot;* #,##0.00_);_(&quot;$&quot;* \(#,##0.00\);_(&quot;$&quot;* &quot;-&quot;??_);_(@_)">
                  <c:v>109.22330097087378</c:v>
                </c:pt>
                <c:pt idx="2161" formatCode="_(&quot;$&quot;* #,##0.00_);_(&quot;$&quot;* \(#,##0.00\);_(&quot;$&quot;* &quot;-&quot;??_);_(@_)">
                  <c:v>111.52416356877323</c:v>
                </c:pt>
                <c:pt idx="2162" formatCode="_(&quot;$&quot;* #,##0.00_);_(&quot;$&quot;* \(#,##0.00\);_(&quot;$&quot;* &quot;-&quot;??_);_(@_)">
                  <c:v>101.11111111111111</c:v>
                </c:pt>
                <c:pt idx="2163" formatCode="_(&quot;$&quot;* #,##0.00_);_(&quot;$&quot;* \(#,##0.00\);_(&quot;$&quot;* &quot;-&quot;??_);_(@_)">
                  <c:v>88.223938223938219</c:v>
                </c:pt>
                <c:pt idx="2164" formatCode="_(&quot;$&quot;* #,##0.00_);_(&quot;$&quot;* \(#,##0.00\);_(&quot;$&quot;* &quot;-&quot;??_);_(@_)">
                  <c:v>73.599999999999994</c:v>
                </c:pt>
                <c:pt idx="2165" formatCode="_(&quot;$&quot;* #,##0.00_);_(&quot;$&quot;* \(#,##0.00\);_(&quot;$&quot;* &quot;-&quot;??_);_(@_)">
                  <c:v>102.22222222222223</c:v>
                </c:pt>
                <c:pt idx="2166" formatCode="_(&quot;$&quot;* #,##0.00_);_(&quot;$&quot;* \(#,##0.00\);_(&quot;$&quot;* &quot;-&quot;??_);_(@_)">
                  <c:v>109.28319623971798</c:v>
                </c:pt>
                <c:pt idx="2167" formatCode="_(&quot;$&quot;* #,##0.00_);_(&quot;$&quot;* \(#,##0.00\);_(&quot;$&quot;* &quot;-&quot;??_);_(@_)">
                  <c:v>77.5</c:v>
                </c:pt>
                <c:pt idx="2168" formatCode="_(&quot;$&quot;* #,##0.00_);_(&quot;$&quot;* \(#,##0.00\);_(&quot;$&quot;* &quot;-&quot;??_);_(@_)">
                  <c:v>90.077071290944119</c:v>
                </c:pt>
                <c:pt idx="2169" formatCode="_(&quot;$&quot;* #,##0.00_);_(&quot;$&quot;* \(#,##0.00\);_(&quot;$&quot;* &quot;-&quot;??_);_(@_)">
                  <c:v>77.787021630615641</c:v>
                </c:pt>
                <c:pt idx="2170" formatCode="_(&quot;$&quot;* #,##0.00_);_(&quot;$&quot;* \(#,##0.00\);_(&quot;$&quot;* &quot;-&quot;??_);_(@_)">
                  <c:v>87.037037037037038</c:v>
                </c:pt>
                <c:pt idx="2171" formatCode="_(&quot;$&quot;* #,##0.00_);_(&quot;$&quot;* \(#,##0.00\);_(&quot;$&quot;* &quot;-&quot;??_);_(@_)">
                  <c:v>96</c:v>
                </c:pt>
                <c:pt idx="2172" formatCode="_(&quot;$&quot;* #,##0.00_);_(&quot;$&quot;* \(#,##0.00\);_(&quot;$&quot;* &quot;-&quot;??_);_(@_)">
                  <c:v>108.67117117117117</c:v>
                </c:pt>
                <c:pt idx="2173" formatCode="_(&quot;$&quot;* #,##0.00_);_(&quot;$&quot;* \(#,##0.00\);_(&quot;$&quot;* &quot;-&quot;??_);_(@_)">
                  <c:v>105.89519650655022</c:v>
                </c:pt>
                <c:pt idx="2174" formatCode="_(&quot;$&quot;* #,##0.00_);_(&quot;$&quot;* \(#,##0.00\);_(&quot;$&quot;* &quot;-&quot;??_);_(@_)">
                  <c:v>134.72222222222223</c:v>
                </c:pt>
                <c:pt idx="2175" formatCode="_(&quot;$&quot;* #,##0.00_);_(&quot;$&quot;* \(#,##0.00\);_(&quot;$&quot;* &quot;-&quot;??_);_(@_)">
                  <c:v>105.43478260869566</c:v>
                </c:pt>
                <c:pt idx="2176" formatCode="_(&quot;$&quot;* #,##0.00_);_(&quot;$&quot;* \(#,##0.00\);_(&quot;$&quot;* &quot;-&quot;??_);_(@_)">
                  <c:v>105.89519650655022</c:v>
                </c:pt>
                <c:pt idx="2177" formatCode="_(&quot;$&quot;* #,##0.00_);_(&quot;$&quot;* \(#,##0.00\);_(&quot;$&quot;* &quot;-&quot;??_);_(@_)">
                  <c:v>104.83870967741936</c:v>
                </c:pt>
                <c:pt idx="2178" formatCode="_(&quot;$&quot;* #,##0.00_);_(&quot;$&quot;* \(#,##0.00\);_(&quot;$&quot;* &quot;-&quot;??_);_(@_)">
                  <c:v>102.27272727272727</c:v>
                </c:pt>
                <c:pt idx="2179" formatCode="_(&quot;$&quot;* #,##0.00_);_(&quot;$&quot;* \(#,##0.00\);_(&quot;$&quot;* &quot;-&quot;??_);_(@_)">
                  <c:v>97.465886939571149</c:v>
                </c:pt>
                <c:pt idx="2180" formatCode="_(&quot;$&quot;* #,##0.00_);_(&quot;$&quot;* \(#,##0.00\);_(&quot;$&quot;* &quot;-&quot;??_);_(@_)">
                  <c:v>142.85714285714286</c:v>
                </c:pt>
                <c:pt idx="2181" formatCode="_(&quot;$&quot;* #,##0.00_);_(&quot;$&quot;* \(#,##0.00\);_(&quot;$&quot;* &quot;-&quot;??_);_(@_)">
                  <c:v>111.60714285714286</c:v>
                </c:pt>
                <c:pt idx="2182" formatCode="_(&quot;$&quot;* #,##0.00_);_(&quot;$&quot;* \(#,##0.00\);_(&quot;$&quot;* &quot;-&quot;??_);_(@_)">
                  <c:v>146.84287812041117</c:v>
                </c:pt>
                <c:pt idx="2183" formatCode="_(&quot;$&quot;* #,##0.00_);_(&quot;$&quot;* \(#,##0.00\);_(&quot;$&quot;* &quot;-&quot;??_);_(@_)">
                  <c:v>157.9778830963665</c:v>
                </c:pt>
                <c:pt idx="2184" formatCode="_(&quot;$&quot;* #,##0.00_);_(&quot;$&quot;* \(#,##0.00\);_(&quot;$&quot;* &quot;-&quot;??_);_(@_)">
                  <c:v>100</c:v>
                </c:pt>
                <c:pt idx="2185" formatCode="_(&quot;$&quot;* #,##0.00_);_(&quot;$&quot;* \(#,##0.00\);_(&quot;$&quot;* &quot;-&quot;??_);_(@_)">
                  <c:v>144.28571428571428</c:v>
                </c:pt>
                <c:pt idx="2186" formatCode="_(&quot;$&quot;* #,##0.00_);_(&quot;$&quot;* \(#,##0.00\);_(&quot;$&quot;* &quot;-&quot;??_);_(@_)">
                  <c:v>149.62962962962962</c:v>
                </c:pt>
                <c:pt idx="2187" formatCode="_(&quot;$&quot;* #,##0.00_);_(&quot;$&quot;* \(#,##0.00\);_(&quot;$&quot;* &quot;-&quot;??_);_(@_)">
                  <c:v>124.69135802469135</c:v>
                </c:pt>
                <c:pt idx="2188" formatCode="_(&quot;$&quot;* #,##0.00_);_(&quot;$&quot;* \(#,##0.00\);_(&quot;$&quot;* &quot;-&quot;??_);_(@_)">
                  <c:v>111.08671789242591</c:v>
                </c:pt>
                <c:pt idx="2189" formatCode="_(&quot;$&quot;* #,##0.00_);_(&quot;$&quot;* \(#,##0.00\);_(&quot;$&quot;* &quot;-&quot;??_);_(@_)">
                  <c:v>108.05084745762711</c:v>
                </c:pt>
                <c:pt idx="2190" formatCode="_(&quot;$&quot;* #,##0.00_);_(&quot;$&quot;* \(#,##0.00\);_(&quot;$&quot;* &quot;-&quot;??_);_(@_)">
                  <c:v>109.22587486744433</c:v>
                </c:pt>
                <c:pt idx="2191" formatCode="_(&quot;$&quot;* #,##0.00_);_(&quot;$&quot;* \(#,##0.00\);_(&quot;$&quot;* &quot;-&quot;??_);_(@_)">
                  <c:v>85.123966942148755</c:v>
                </c:pt>
                <c:pt idx="2192" formatCode="_(&quot;$&quot;* #,##0.00_);_(&quot;$&quot;* \(#,##0.00\);_(&quot;$&quot;* &quot;-&quot;??_);_(@_)">
                  <c:v>106.07621009268794</c:v>
                </c:pt>
                <c:pt idx="2193" formatCode="_(&quot;$&quot;* #,##0.00_);_(&quot;$&quot;* \(#,##0.00\);_(&quot;$&quot;* &quot;-&quot;??_);_(@_)">
                  <c:v>115.38461538461539</c:v>
                </c:pt>
                <c:pt idx="2194" formatCode="_(&quot;$&quot;* #,##0.00_);_(&quot;$&quot;* \(#,##0.00\);_(&quot;$&quot;* &quot;-&quot;??_);_(@_)">
                  <c:v>103.65251727541954</c:v>
                </c:pt>
                <c:pt idx="2195" formatCode="_(&quot;$&quot;* #,##0.00_);_(&quot;$&quot;* \(#,##0.00\);_(&quot;$&quot;* &quot;-&quot;??_);_(@_)">
                  <c:v>150.64562410329987</c:v>
                </c:pt>
                <c:pt idx="2196" formatCode="_(&quot;$&quot;* #,##0.00_);_(&quot;$&quot;* \(#,##0.00\);_(&quot;$&quot;* &quot;-&quot;??_);_(@_)">
                  <c:v>109.375</c:v>
                </c:pt>
                <c:pt idx="2197" formatCode="_(&quot;$&quot;* #,##0.00_);_(&quot;$&quot;* \(#,##0.00\);_(&quot;$&quot;* &quot;-&quot;??_);_(@_)">
                  <c:v>150.86206896551724</c:v>
                </c:pt>
                <c:pt idx="2198" formatCode="_(&quot;$&quot;* #,##0.00_);_(&quot;$&quot;* \(#,##0.00\);_(&quot;$&quot;* &quot;-&quot;??_);_(@_)">
                  <c:v>78.299776286353463</c:v>
                </c:pt>
                <c:pt idx="2199" formatCode="_(&quot;$&quot;* #,##0.00_);_(&quot;$&quot;* \(#,##0.00\);_(&quot;$&quot;* &quot;-&quot;??_);_(@_)">
                  <c:v>147.91666666666666</c:v>
                </c:pt>
                <c:pt idx="2200" formatCode="_(&quot;$&quot;* #,##0.00_);_(&quot;$&quot;* \(#,##0.00\);_(&quot;$&quot;* &quot;-&quot;??_);_(@_)">
                  <c:v>149.93055555555554</c:v>
                </c:pt>
                <c:pt idx="2201" formatCode="_(&quot;$&quot;* #,##0.00_);_(&quot;$&quot;* \(#,##0.00\);_(&quot;$&quot;* &quot;-&quot;??_);_(@_)">
                  <c:v>109.7560975609756</c:v>
                </c:pt>
                <c:pt idx="2202" formatCode="_(&quot;$&quot;* #,##0.00_);_(&quot;$&quot;* \(#,##0.00\);_(&quot;$&quot;* &quot;-&quot;??_);_(@_)">
                  <c:v>150.55248618784532</c:v>
                </c:pt>
                <c:pt idx="2203" formatCode="_(&quot;$&quot;* #,##0.00_);_(&quot;$&quot;* \(#,##0.00\);_(&quot;$&quot;* &quot;-&quot;??_);_(@_)">
                  <c:v>144.56233421750665</c:v>
                </c:pt>
                <c:pt idx="2204" formatCode="_(&quot;$&quot;* #,##0.00_);_(&quot;$&quot;* \(#,##0.00\);_(&quot;$&quot;* &quot;-&quot;??_);_(@_)">
                  <c:v>157.14285714285714</c:v>
                </c:pt>
                <c:pt idx="2205" formatCode="_(&quot;$&quot;* #,##0.00_);_(&quot;$&quot;* \(#,##0.00\);_(&quot;$&quot;* &quot;-&quot;??_);_(@_)">
                  <c:v>66.344993968636913</c:v>
                </c:pt>
                <c:pt idx="2206" formatCode="_(&quot;$&quot;* #,##0.00_);_(&quot;$&quot;* \(#,##0.00\);_(&quot;$&quot;* &quot;-&quot;??_);_(@_)">
                  <c:v>110</c:v>
                </c:pt>
                <c:pt idx="2207" formatCode="_(&quot;$&quot;* #,##0.00_);_(&quot;$&quot;* \(#,##0.00\);_(&quot;$&quot;* &quot;-&quot;??_);_(@_)">
                  <c:v>83.144368858654573</c:v>
                </c:pt>
                <c:pt idx="2208" formatCode="_(&quot;$&quot;* #,##0.00_);_(&quot;$&quot;* \(#,##0.00\);_(&quot;$&quot;* &quot;-&quot;??_);_(@_)">
                  <c:v>136.13861386138615</c:v>
                </c:pt>
                <c:pt idx="2209" formatCode="_(&quot;$&quot;* #,##0.00_);_(&quot;$&quot;* \(#,##0.00\);_(&quot;$&quot;* &quot;-&quot;??_);_(@_)">
                  <c:v>123.07692307692308</c:v>
                </c:pt>
                <c:pt idx="2210" formatCode="_(&quot;$&quot;* #,##0.00_);_(&quot;$&quot;* \(#,##0.00\);_(&quot;$&quot;* &quot;-&quot;??_);_(@_)">
                  <c:v>146.10389610389609</c:v>
                </c:pt>
                <c:pt idx="2211" formatCode="_(&quot;$&quot;* #,##0.00_);_(&quot;$&quot;* \(#,##0.00\);_(&quot;$&quot;* &quot;-&quot;??_);_(@_)">
                  <c:v>145.80645161290323</c:v>
                </c:pt>
                <c:pt idx="2212" formatCode="_(&quot;$&quot;* #,##0.00_);_(&quot;$&quot;* \(#,##0.00\);_(&quot;$&quot;* &quot;-&quot;??_);_(@_)">
                  <c:v>122.86324786324786</c:v>
                </c:pt>
                <c:pt idx="2213" formatCode="_(&quot;$&quot;* #,##0.00_);_(&quot;$&quot;* \(#,##0.00\);_(&quot;$&quot;* &quot;-&quot;??_);_(@_)">
                  <c:v>95.356550580431175</c:v>
                </c:pt>
                <c:pt idx="2214" formatCode="_(&quot;$&quot;* #,##0.00_);_(&quot;$&quot;* \(#,##0.00\);_(&quot;$&quot;* &quot;-&quot;??_);_(@_)">
                  <c:v>75.757575757575751</c:v>
                </c:pt>
                <c:pt idx="2215" formatCode="_(&quot;$&quot;* #,##0.00_);_(&quot;$&quot;* \(#,##0.00\);_(&quot;$&quot;* &quot;-&quot;??_);_(@_)">
                  <c:v>112.74509803921569</c:v>
                </c:pt>
                <c:pt idx="2216" formatCode="_(&quot;$&quot;* #,##0.00_);_(&quot;$&quot;* \(#,##0.00\);_(&quot;$&quot;* &quot;-&quot;??_);_(@_)">
                  <c:v>113.63636363636364</c:v>
                </c:pt>
                <c:pt idx="2217" formatCode="_(&quot;$&quot;* #,##0.00_);_(&quot;$&quot;* \(#,##0.00\);_(&quot;$&quot;* &quot;-&quot;??_);_(@_)">
                  <c:v>116.90283400809717</c:v>
                </c:pt>
                <c:pt idx="2218" formatCode="_(&quot;$&quot;* #,##0.00_);_(&quot;$&quot;* \(#,##0.00\);_(&quot;$&quot;* &quot;-&quot;??_);_(@_)">
                  <c:v>123.15789473684211</c:v>
                </c:pt>
                <c:pt idx="2219" formatCode="_(&quot;$&quot;* #,##0.00_);_(&quot;$&quot;* \(#,##0.00\);_(&quot;$&quot;* &quot;-&quot;??_);_(@_)">
                  <c:v>107.69935838680109</c:v>
                </c:pt>
                <c:pt idx="2220" formatCode="_(&quot;$&quot;* #,##0.00_);_(&quot;$&quot;* \(#,##0.00\);_(&quot;$&quot;* &quot;-&quot;??_);_(@_)">
                  <c:v>169.54022988505747</c:v>
                </c:pt>
                <c:pt idx="2221" formatCode="_(&quot;$&quot;* #,##0.00_);_(&quot;$&quot;* \(#,##0.00\);_(&quot;$&quot;* &quot;-&quot;??_);_(@_)">
                  <c:v>160.13513513513513</c:v>
                </c:pt>
                <c:pt idx="2222" formatCode="_(&quot;$&quot;* #,##0.00_);_(&quot;$&quot;* \(#,##0.00\);_(&quot;$&quot;* &quot;-&quot;??_);_(@_)">
                  <c:v>148.75930521091811</c:v>
                </c:pt>
                <c:pt idx="2223" formatCode="_(&quot;$&quot;* #,##0.00_);_(&quot;$&quot;* \(#,##0.00\);_(&quot;$&quot;* &quot;-&quot;??_);_(@_)">
                  <c:v>108.79419764279238</c:v>
                </c:pt>
                <c:pt idx="2224" formatCode="_(&quot;$&quot;* #,##0.00_);_(&quot;$&quot;* \(#,##0.00\);_(&quot;$&quot;* &quot;-&quot;??_);_(@_)">
                  <c:v>127.11864406779661</c:v>
                </c:pt>
                <c:pt idx="2225" formatCode="_(&quot;$&quot;* #,##0.00_);_(&quot;$&quot;* \(#,##0.00\);_(&quot;$&quot;* &quot;-&quot;??_);_(@_)">
                  <c:v>116.16650532429816</c:v>
                </c:pt>
                <c:pt idx="2226" formatCode="_(&quot;$&quot;* #,##0.00_);_(&quot;$&quot;* \(#,##0.00\);_(&quot;$&quot;* &quot;-&quot;??_);_(@_)">
                  <c:v>80.699394754539341</c:v>
                </c:pt>
                <c:pt idx="2227" formatCode="_(&quot;$&quot;* #,##0.00_);_(&quot;$&quot;* \(#,##0.00\);_(&quot;$&quot;* &quot;-&quot;??_);_(@_)">
                  <c:v>77.120822622107966</c:v>
                </c:pt>
                <c:pt idx="2228" formatCode="_(&quot;$&quot;* #,##0.00_);_(&quot;$&quot;* \(#,##0.00\);_(&quot;$&quot;* &quot;-&quot;??_);_(@_)">
                  <c:v>127.11864406779661</c:v>
                </c:pt>
                <c:pt idx="2229" formatCode="_(&quot;$&quot;* #,##0.00_);_(&quot;$&quot;* \(#,##0.00\);_(&quot;$&quot;* &quot;-&quot;??_);_(@_)">
                  <c:v>120.0199203187251</c:v>
                </c:pt>
                <c:pt idx="2230" formatCode="_(&quot;$&quot;* #,##0.00_);_(&quot;$&quot;* \(#,##0.00\);_(&quot;$&quot;* &quot;-&quot;??_);_(@_)">
                  <c:v>122.21095334685599</c:v>
                </c:pt>
                <c:pt idx="2231" formatCode="_(&quot;$&quot;* #,##0.00_);_(&quot;$&quot;* \(#,##0.00\);_(&quot;$&quot;* &quot;-&quot;??_);_(@_)">
                  <c:v>166.89655172413794</c:v>
                </c:pt>
                <c:pt idx="2232" formatCode="_(&quot;$&quot;* #,##0.00_);_(&quot;$&quot;* \(#,##0.00\);_(&quot;$&quot;* &quot;-&quot;??_);_(@_)">
                  <c:v>126.04166666666667</c:v>
                </c:pt>
                <c:pt idx="2233" formatCode="_(&quot;$&quot;* #,##0.00_);_(&quot;$&quot;* \(#,##0.00\);_(&quot;$&quot;* &quot;-&quot;??_);_(@_)">
                  <c:v>96.260938743038977</c:v>
                </c:pt>
                <c:pt idx="2234" formatCode="_(&quot;$&quot;* #,##0.00_);_(&quot;$&quot;* \(#,##0.00\);_(&quot;$&quot;* &quot;-&quot;??_);_(@_)">
                  <c:v>81.653225806451616</c:v>
                </c:pt>
                <c:pt idx="2235" formatCode="_(&quot;$&quot;* #,##0.00_);_(&quot;$&quot;* \(#,##0.00\);_(&quot;$&quot;* &quot;-&quot;??_);_(@_)">
                  <c:v>83.848797250859107</c:v>
                </c:pt>
                <c:pt idx="2236" formatCode="_(&quot;$&quot;* #,##0.00_);_(&quot;$&quot;* \(#,##0.00\);_(&quot;$&quot;* &quot;-&quot;??_);_(@_)">
                  <c:v>121.39303482587064</c:v>
                </c:pt>
                <c:pt idx="2237" formatCode="_(&quot;$&quot;* #,##0.00_);_(&quot;$&quot;* \(#,##0.00\);_(&quot;$&quot;* &quot;-&quot;??_);_(@_)">
                  <c:v>116.19047619047619</c:v>
                </c:pt>
                <c:pt idx="2238" formatCode="_(&quot;$&quot;* #,##0.00_);_(&quot;$&quot;* \(#,##0.00\);_(&quot;$&quot;* &quot;-&quot;??_);_(@_)">
                  <c:v>146.10778443113773</c:v>
                </c:pt>
                <c:pt idx="2239" formatCode="_(&quot;$&quot;* #,##0.00_);_(&quot;$&quot;* \(#,##0.00\);_(&quot;$&quot;* &quot;-&quot;??_);_(@_)">
                  <c:v>50.742574257425744</c:v>
                </c:pt>
                <c:pt idx="2240" formatCode="_(&quot;$&quot;* #,##0.00_);_(&quot;$&quot;* \(#,##0.00\);_(&quot;$&quot;* &quot;-&quot;??_);_(@_)">
                  <c:v>113.72099447513813</c:v>
                </c:pt>
                <c:pt idx="2241" formatCode="_(&quot;$&quot;* #,##0.00_);_(&quot;$&quot;* \(#,##0.00\);_(&quot;$&quot;* &quot;-&quot;??_);_(@_)">
                  <c:v>165.33333333333334</c:v>
                </c:pt>
                <c:pt idx="2242" formatCode="_(&quot;$&quot;* #,##0.00_);_(&quot;$&quot;* \(#,##0.00\);_(&quot;$&quot;* &quot;-&quot;??_);_(@_)">
                  <c:v>128.49740932642487</c:v>
                </c:pt>
                <c:pt idx="2243" formatCode="_(&quot;$&quot;* #,##0.00_);_(&quot;$&quot;* \(#,##0.00\);_(&quot;$&quot;* &quot;-&quot;??_);_(@_)">
                  <c:v>131.47368421052633</c:v>
                </c:pt>
                <c:pt idx="2244" formatCode="_(&quot;$&quot;* #,##0.00_);_(&quot;$&quot;* \(#,##0.00\);_(&quot;$&quot;* &quot;-&quot;??_);_(@_)">
                  <c:v>115.22140221402213</c:v>
                </c:pt>
                <c:pt idx="2245" formatCode="_(&quot;$&quot;* #,##0.00_);_(&quot;$&quot;* \(#,##0.00\);_(&quot;$&quot;* &quot;-&quot;??_);_(@_)">
                  <c:v>131.57894736842104</c:v>
                </c:pt>
                <c:pt idx="2246" formatCode="_(&quot;$&quot;* #,##0.00_);_(&quot;$&quot;* \(#,##0.00\);_(&quot;$&quot;* &quot;-&quot;??_);_(@_)">
                  <c:v>133.54700854700855</c:v>
                </c:pt>
                <c:pt idx="2247" formatCode="_(&quot;$&quot;* #,##0.00_);_(&quot;$&quot;* \(#,##0.00\);_(&quot;$&quot;* &quot;-&quot;??_);_(@_)">
                  <c:v>126.77484787018255</c:v>
                </c:pt>
                <c:pt idx="2248" formatCode="_(&quot;$&quot;* #,##0.00_);_(&quot;$&quot;* \(#,##0.00\);_(&quot;$&quot;* &quot;-&quot;??_);_(@_)">
                  <c:v>156.25</c:v>
                </c:pt>
                <c:pt idx="2249" formatCode="_(&quot;$&quot;* #,##0.00_);_(&quot;$&quot;* \(#,##0.00\);_(&quot;$&quot;* &quot;-&quot;??_);_(@_)">
                  <c:v>144.57142857142858</c:v>
                </c:pt>
                <c:pt idx="2250" formatCode="_(&quot;$&quot;* #,##0.00_);_(&quot;$&quot;* \(#,##0.00\);_(&quot;$&quot;* &quot;-&quot;??_);_(@_)">
                  <c:v>130.95238095238096</c:v>
                </c:pt>
                <c:pt idx="2251" formatCode="_(&quot;$&quot;* #,##0.00_);_(&quot;$&quot;* \(#,##0.00\);_(&quot;$&quot;* &quot;-&quot;??_);_(@_)">
                  <c:v>137.44588744588745</c:v>
                </c:pt>
                <c:pt idx="2252" formatCode="_(&quot;$&quot;* #,##0.00_);_(&quot;$&quot;* \(#,##0.00\);_(&quot;$&quot;* &quot;-&quot;??_);_(@_)">
                  <c:v>134.81953290870487</c:v>
                </c:pt>
                <c:pt idx="2253" formatCode="_(&quot;$&quot;* #,##0.00_);_(&quot;$&quot;* \(#,##0.00\);_(&quot;$&quot;* &quot;-&quot;??_);_(@_)">
                  <c:v>81.61953727506426</c:v>
                </c:pt>
                <c:pt idx="2254" formatCode="_(&quot;$&quot;* #,##0.00_);_(&quot;$&quot;* \(#,##0.00\);_(&quot;$&quot;* &quot;-&quot;??_);_(@_)">
                  <c:v>143.0976430976431</c:v>
                </c:pt>
                <c:pt idx="2255" formatCode="_(&quot;$&quot;* #,##0.00_);_(&quot;$&quot;* \(#,##0.00\);_(&quot;$&quot;* &quot;-&quot;??_);_(@_)">
                  <c:v>75.176886792452834</c:v>
                </c:pt>
                <c:pt idx="2256" formatCode="_(&quot;$&quot;* #,##0.00_);_(&quot;$&quot;* \(#,##0.00\);_(&quot;$&quot;* &quot;-&quot;??_);_(@_)">
                  <c:v>129.94923857868019</c:v>
                </c:pt>
                <c:pt idx="2257" formatCode="_(&quot;$&quot;* #,##0.00_);_(&quot;$&quot;* \(#,##0.00\);_(&quot;$&quot;* &quot;-&quot;??_);_(@_)">
                  <c:v>103.50597609561753</c:v>
                </c:pt>
                <c:pt idx="2258" formatCode="_(&quot;$&quot;* #,##0.00_);_(&quot;$&quot;* \(#,##0.00\);_(&quot;$&quot;* &quot;-&quot;??_);_(@_)">
                  <c:v>142.74725274725276</c:v>
                </c:pt>
                <c:pt idx="2259" formatCode="_(&quot;$&quot;* #,##0.00_);_(&quot;$&quot;* \(#,##0.00\);_(&quot;$&quot;* &quot;-&quot;??_);_(@_)">
                  <c:v>124.52107279693486</c:v>
                </c:pt>
                <c:pt idx="2260" formatCode="_(&quot;$&quot;* #,##0.00_);_(&quot;$&quot;* \(#,##0.00\);_(&quot;$&quot;* &quot;-&quot;??_);_(@_)">
                  <c:v>119.26605504587155</c:v>
                </c:pt>
                <c:pt idx="2261" formatCode="_(&quot;$&quot;* #,##0.00_);_(&quot;$&quot;* \(#,##0.00\);_(&quot;$&quot;* &quot;-&quot;??_);_(@_)">
                  <c:v>101.24610591900311</c:v>
                </c:pt>
                <c:pt idx="2262" formatCode="_(&quot;$&quot;* #,##0.00_);_(&quot;$&quot;* \(#,##0.00\);_(&quot;$&quot;* &quot;-&quot;??_);_(@_)">
                  <c:v>152.40328253223916</c:v>
                </c:pt>
                <c:pt idx="2263" formatCode="_(&quot;$&quot;* #,##0.00_);_(&quot;$&quot;* \(#,##0.00\);_(&quot;$&quot;* &quot;-&quot;??_);_(@_)">
                  <c:v>143.17180616740089</c:v>
                </c:pt>
                <c:pt idx="2264" formatCode="_(&quot;$&quot;* #,##0.00_);_(&quot;$&quot;* \(#,##0.00\);_(&quot;$&quot;* &quot;-&quot;??_);_(@_)">
                  <c:v>101.24610591900311</c:v>
                </c:pt>
                <c:pt idx="2265" formatCode="_(&quot;$&quot;* #,##0.00_);_(&quot;$&quot;* \(#,##0.00\);_(&quot;$&quot;* &quot;-&quot;??_);_(@_)">
                  <c:v>92.989985693848354</c:v>
                </c:pt>
                <c:pt idx="2266" formatCode="_(&quot;$&quot;* #,##0.00_);_(&quot;$&quot;* \(#,##0.00\);_(&quot;$&quot;* &quot;-&quot;??_);_(@_)">
                  <c:v>124.87992315081652</c:v>
                </c:pt>
                <c:pt idx="2267" formatCode="_(&quot;$&quot;* #,##0.00_);_(&quot;$&quot;* \(#,##0.00\);_(&quot;$&quot;* &quot;-&quot;??_);_(@_)">
                  <c:v>96.32352941176471</c:v>
                </c:pt>
                <c:pt idx="2268" formatCode="_(&quot;$&quot;* #,##0.00_);_(&quot;$&quot;* \(#,##0.00\);_(&quot;$&quot;* &quot;-&quot;??_);_(@_)">
                  <c:v>179.94505494505495</c:v>
                </c:pt>
                <c:pt idx="2269" formatCode="_(&quot;$&quot;* #,##0.00_);_(&quot;$&quot;* \(#,##0.00\);_(&quot;$&quot;* &quot;-&quot;??_);_(@_)">
                  <c:v>142.85714285714286</c:v>
                </c:pt>
                <c:pt idx="2270" formatCode="_(&quot;$&quot;* #,##0.00_);_(&quot;$&quot;* \(#,##0.00\);_(&quot;$&quot;* &quot;-&quot;??_);_(@_)">
                  <c:v>147.450110864745</c:v>
                </c:pt>
                <c:pt idx="2271" formatCode="_(&quot;$&quot;* #,##0.00_);_(&quot;$&quot;* \(#,##0.00\);_(&quot;$&quot;* &quot;-&quot;??_);_(@_)">
                  <c:v>131.16370808678502</c:v>
                </c:pt>
                <c:pt idx="2272" formatCode="_(&quot;$&quot;* #,##0.00_);_(&quot;$&quot;* \(#,##0.00\);_(&quot;$&quot;* &quot;-&quot;??_);_(@_)">
                  <c:v>148.88888888888889</c:v>
                </c:pt>
                <c:pt idx="2273" formatCode="_(&quot;$&quot;* #,##0.00_);_(&quot;$&quot;* \(#,##0.00\);_(&quot;$&quot;* &quot;-&quot;??_);_(@_)">
                  <c:v>107.11430855315747</c:v>
                </c:pt>
                <c:pt idx="2274" formatCode="_(&quot;$&quot;* #,##0.00_);_(&quot;$&quot;* \(#,##0.00\);_(&quot;$&quot;* &quot;-&quot;??_);_(@_)">
                  <c:v>124.23963133640552</c:v>
                </c:pt>
                <c:pt idx="2275" formatCode="_(&quot;$&quot;* #,##0.00_);_(&quot;$&quot;* \(#,##0.00\);_(&quot;$&quot;* &quot;-&quot;??_);_(@_)">
                  <c:v>122.50453720508168</c:v>
                </c:pt>
                <c:pt idx="2276" formatCode="_(&quot;$&quot;* #,##0.00_);_(&quot;$&quot;* \(#,##0.00\);_(&quot;$&quot;* &quot;-&quot;??_);_(@_)">
                  <c:v>150</c:v>
                </c:pt>
                <c:pt idx="2277" formatCode="_(&quot;$&quot;* #,##0.00_);_(&quot;$&quot;* \(#,##0.00\);_(&quot;$&quot;* &quot;-&quot;??_);_(@_)">
                  <c:v>120.32085561497327</c:v>
                </c:pt>
                <c:pt idx="2278" formatCode="_(&quot;$&quot;* #,##0.00_);_(&quot;$&quot;* \(#,##0.00\);_(&quot;$&quot;* &quot;-&quot;??_);_(@_)">
                  <c:v>120</c:v>
                </c:pt>
                <c:pt idx="2279" formatCode="_(&quot;$&quot;* #,##0.00_);_(&quot;$&quot;* \(#,##0.00\);_(&quot;$&quot;* &quot;-&quot;??_);_(@_)">
                  <c:v>152.02702702702703</c:v>
                </c:pt>
                <c:pt idx="2280" formatCode="_(&quot;$&quot;* #,##0.00_);_(&quot;$&quot;* \(#,##0.00\);_(&quot;$&quot;* &quot;-&quot;??_);_(@_)">
                  <c:v>113.25503355704699</c:v>
                </c:pt>
                <c:pt idx="2281" formatCode="_(&quot;$&quot;* #,##0.00_);_(&quot;$&quot;* \(#,##0.00\);_(&quot;$&quot;* &quot;-&quot;??_);_(@_)">
                  <c:v>144.23076923076923</c:v>
                </c:pt>
                <c:pt idx="2282" formatCode="_(&quot;$&quot;* #,##0.00_);_(&quot;$&quot;* \(#,##0.00\);_(&quot;$&quot;* &quot;-&quot;??_);_(@_)">
                  <c:v>114.30990685859442</c:v>
                </c:pt>
                <c:pt idx="2283" formatCode="_(&quot;$&quot;* #,##0.00_);_(&quot;$&quot;* \(#,##0.00\);_(&quot;$&quot;* &quot;-&quot;??_);_(@_)">
                  <c:v>113.25503355704699</c:v>
                </c:pt>
                <c:pt idx="2284" formatCode="_(&quot;$&quot;* #,##0.00_);_(&quot;$&quot;* \(#,##0.00\);_(&quot;$&quot;* &quot;-&quot;??_);_(@_)">
                  <c:v>130.18322082931533</c:v>
                </c:pt>
                <c:pt idx="2285" formatCode="_(&quot;$&quot;* #,##0.00_);_(&quot;$&quot;* \(#,##0.00\);_(&quot;$&quot;* &quot;-&quot;??_);_(@_)">
                  <c:v>157.40740740740742</c:v>
                </c:pt>
                <c:pt idx="2286" formatCode="_(&quot;$&quot;* #,##0.00_);_(&quot;$&quot;* \(#,##0.00\);_(&quot;$&quot;* &quot;-&quot;??_);_(@_)">
                  <c:v>143.45549738219896</c:v>
                </c:pt>
                <c:pt idx="2287" formatCode="_(&quot;$&quot;* #,##0.00_);_(&quot;$&quot;* \(#,##0.00\);_(&quot;$&quot;* &quot;-&quot;??_);_(@_)">
                  <c:v>102.31516056758775</c:v>
                </c:pt>
                <c:pt idx="2288" formatCode="_(&quot;$&quot;* #,##0.00_);_(&quot;$&quot;* \(#,##0.00\);_(&quot;$&quot;* &quot;-&quot;??_);_(@_)">
                  <c:v>121.58590308370044</c:v>
                </c:pt>
                <c:pt idx="2289" formatCode="_(&quot;$&quot;* #,##0.00_);_(&quot;$&quot;* \(#,##0.00\);_(&quot;$&quot;* &quot;-&quot;??_);_(@_)">
                  <c:v>152.48618784530387</c:v>
                </c:pt>
                <c:pt idx="2290" formatCode="_(&quot;$&quot;* #,##0.00_);_(&quot;$&quot;* \(#,##0.00\);_(&quot;$&quot;* &quot;-&quot;??_);_(@_)">
                  <c:v>143.75</c:v>
                </c:pt>
                <c:pt idx="2291" formatCode="_(&quot;$&quot;* #,##0.00_);_(&quot;$&quot;* \(#,##0.00\);_(&quot;$&quot;* &quot;-&quot;??_);_(@_)">
                  <c:v>161.45833333333334</c:v>
                </c:pt>
                <c:pt idx="2292" formatCode="_(&quot;$&quot;* #,##0.00_);_(&quot;$&quot;* \(#,##0.00\);_(&quot;$&quot;* &quot;-&quot;??_);_(@_)">
                  <c:v>145.83333333333334</c:v>
                </c:pt>
                <c:pt idx="2293" formatCode="_(&quot;$&quot;* #,##0.00_);_(&quot;$&quot;* \(#,##0.00\);_(&quot;$&quot;* &quot;-&quot;??_);_(@_)">
                  <c:v>121.73913043478261</c:v>
                </c:pt>
                <c:pt idx="2294" formatCode="_(&quot;$&quot;* #,##0.00_);_(&quot;$&quot;* \(#,##0.00\);_(&quot;$&quot;* &quot;-&quot;??_);_(@_)">
                  <c:v>71.68458781362007</c:v>
                </c:pt>
                <c:pt idx="2295" formatCode="_(&quot;$&quot;* #,##0.00_);_(&quot;$&quot;* \(#,##0.00\);_(&quot;$&quot;* &quot;-&quot;??_);_(@_)">
                  <c:v>140</c:v>
                </c:pt>
                <c:pt idx="2296" formatCode="_(&quot;$&quot;* #,##0.00_);_(&quot;$&quot;* \(#,##0.00\);_(&quot;$&quot;* &quot;-&quot;??_);_(@_)">
                  <c:v>89.514066496163679</c:v>
                </c:pt>
                <c:pt idx="2297" formatCode="_(&quot;$&quot;* #,##0.00_);_(&quot;$&quot;* \(#,##0.00\);_(&quot;$&quot;* &quot;-&quot;??_);_(@_)">
                  <c:v>144.03292181069958</c:v>
                </c:pt>
                <c:pt idx="2298" formatCode="_(&quot;$&quot;* #,##0.00_);_(&quot;$&quot;* \(#,##0.00\);_(&quot;$&quot;* &quot;-&quot;??_);_(@_)">
                  <c:v>195.83333333333334</c:v>
                </c:pt>
                <c:pt idx="2299" formatCode="_(&quot;$&quot;* #,##0.00_);_(&quot;$&quot;* \(#,##0.00\);_(&quot;$&quot;* &quot;-&quot;??_);_(@_)">
                  <c:v>110.58823529411765</c:v>
                </c:pt>
                <c:pt idx="2300" formatCode="_(&quot;$&quot;* #,##0.00_);_(&quot;$&quot;* \(#,##0.00\);_(&quot;$&quot;* &quot;-&quot;??_);_(@_)">
                  <c:v>147.39583333333334</c:v>
                </c:pt>
                <c:pt idx="2301" formatCode="_(&quot;$&quot;* #,##0.00_);_(&quot;$&quot;* \(#,##0.00\);_(&quot;$&quot;* &quot;-&quot;??_);_(@_)">
                  <c:v>128.72628726287263</c:v>
                </c:pt>
                <c:pt idx="2302" formatCode="_(&quot;$&quot;* #,##0.00_);_(&quot;$&quot;* \(#,##0.00\);_(&quot;$&quot;* &quot;-&quot;??_);_(@_)">
                  <c:v>116.83006535947712</c:v>
                </c:pt>
                <c:pt idx="2303" formatCode="_(&quot;$&quot;* #,##0.00_);_(&quot;$&quot;* \(#,##0.00\);_(&quot;$&quot;* &quot;-&quot;??_);_(@_)">
                  <c:v>152.77777777777777</c:v>
                </c:pt>
                <c:pt idx="2304" formatCode="_(&quot;$&quot;* #,##0.00_);_(&quot;$&quot;* \(#,##0.00\);_(&quot;$&quot;* &quot;-&quot;??_);_(@_)">
                  <c:v>132.01471941122355</c:v>
                </c:pt>
                <c:pt idx="2305" formatCode="_(&quot;$&quot;* #,##0.00_);_(&quot;$&quot;* \(#,##0.00\);_(&quot;$&quot;* &quot;-&quot;??_);_(@_)">
                  <c:v>199.86072423398329</c:v>
                </c:pt>
                <c:pt idx="2306" formatCode="_(&quot;$&quot;* #,##0.00_);_(&quot;$&quot;* \(#,##0.00\);_(&quot;$&quot;* &quot;-&quot;??_);_(@_)">
                  <c:v>167.63678696158323</c:v>
                </c:pt>
                <c:pt idx="2307" formatCode="_(&quot;$&quot;* #,##0.00_);_(&quot;$&quot;* \(#,##0.00\);_(&quot;$&quot;* &quot;-&quot;??_);_(@_)">
                  <c:v>133.05785123966942</c:v>
                </c:pt>
                <c:pt idx="2308" formatCode="_(&quot;$&quot;* #,##0.00_);_(&quot;$&quot;* \(#,##0.00\);_(&quot;$&quot;* &quot;-&quot;??_);_(@_)">
                  <c:v>143.84920634920636</c:v>
                </c:pt>
                <c:pt idx="2309" formatCode="_(&quot;$&quot;* #,##0.00_);_(&quot;$&quot;* \(#,##0.00\);_(&quot;$&quot;* &quot;-&quot;??_);_(@_)">
                  <c:v>142.99802761341223</c:v>
                </c:pt>
                <c:pt idx="2310" formatCode="_(&quot;$&quot;* #,##0.00_);_(&quot;$&quot;* \(#,##0.00\);_(&quot;$&quot;* &quot;-&quot;??_);_(@_)">
                  <c:v>131.4596554850408</c:v>
                </c:pt>
                <c:pt idx="2311" formatCode="_(&quot;$&quot;* #,##0.00_);_(&quot;$&quot;* \(#,##0.00\);_(&quot;$&quot;* &quot;-&quot;??_);_(@_)">
                  <c:v>141.46341463414635</c:v>
                </c:pt>
                <c:pt idx="2312" formatCode="_(&quot;$&quot;* #,##0.00_);_(&quot;$&quot;* \(#,##0.00\);_(&quot;$&quot;* &quot;-&quot;??_);_(@_)">
                  <c:v>151.04166666666666</c:v>
                </c:pt>
                <c:pt idx="2313" formatCode="_(&quot;$&quot;* #,##0.00_);_(&quot;$&quot;* \(#,##0.00\);_(&quot;$&quot;* &quot;-&quot;??_);_(@_)">
                  <c:v>112.40310077519379</c:v>
                </c:pt>
                <c:pt idx="2314" formatCode="_(&quot;$&quot;* #,##0.00_);_(&quot;$&quot;* \(#,##0.00\);_(&quot;$&quot;* &quot;-&quot;??_);_(@_)">
                  <c:v>241.66666666666666</c:v>
                </c:pt>
                <c:pt idx="2315" formatCode="_(&quot;$&quot;* #,##0.00_);_(&quot;$&quot;* \(#,##0.00\);_(&quot;$&quot;* &quot;-&quot;??_);_(@_)">
                  <c:v>112.24692307692308</c:v>
                </c:pt>
                <c:pt idx="2316" formatCode="_(&quot;$&quot;* #,##0.00_);_(&quot;$&quot;* \(#,##0.00\);_(&quot;$&quot;* &quot;-&quot;??_);_(@_)">
                  <c:v>134.93530499075786</c:v>
                </c:pt>
                <c:pt idx="2317" formatCode="_(&quot;$&quot;* #,##0.00_);_(&quot;$&quot;* \(#,##0.00\);_(&quot;$&quot;* &quot;-&quot;??_);_(@_)">
                  <c:v>147</c:v>
                </c:pt>
                <c:pt idx="2318" formatCode="_(&quot;$&quot;* #,##0.00_);_(&quot;$&quot;* \(#,##0.00\);_(&quot;$&quot;* &quot;-&quot;??_);_(@_)">
                  <c:v>144.82758620689654</c:v>
                </c:pt>
                <c:pt idx="2319" formatCode="_(&quot;$&quot;* #,##0.00_);_(&quot;$&quot;* \(#,##0.00\);_(&quot;$&quot;* &quot;-&quot;??_);_(@_)">
                  <c:v>147</c:v>
                </c:pt>
                <c:pt idx="2320" formatCode="_(&quot;$&quot;* #,##0.00_);_(&quot;$&quot;* \(#,##0.00\);_(&quot;$&quot;* &quot;-&quot;??_);_(@_)">
                  <c:v>113.37432744043043</c:v>
                </c:pt>
                <c:pt idx="2321" formatCode="_(&quot;$&quot;* #,##0.00_);_(&quot;$&quot;* \(#,##0.00\);_(&quot;$&quot;* &quot;-&quot;??_);_(@_)">
                  <c:v>151.42276422764229</c:v>
                </c:pt>
                <c:pt idx="2322" formatCode="_(&quot;$&quot;* #,##0.00_);_(&quot;$&quot;* \(#,##0.00\);_(&quot;$&quot;* &quot;-&quot;??_);_(@_)">
                  <c:v>113.55757575757576</c:v>
                </c:pt>
                <c:pt idx="2323" formatCode="_(&quot;$&quot;* #,##0.00_);_(&quot;$&quot;* \(#,##0.00\);_(&quot;$&quot;* &quot;-&quot;??_);_(@_)">
                  <c:v>149.9</c:v>
                </c:pt>
                <c:pt idx="2324" formatCode="_(&quot;$&quot;* #,##0.00_);_(&quot;$&quot;* \(#,##0.00\);_(&quot;$&quot;* &quot;-&quot;??_);_(@_)">
                  <c:v>149.9</c:v>
                </c:pt>
                <c:pt idx="2325" formatCode="_(&quot;$&quot;* #,##0.00_);_(&quot;$&quot;* \(#,##0.00\);_(&quot;$&quot;* &quot;-&quot;??_);_(@_)">
                  <c:v>149.9</c:v>
                </c:pt>
                <c:pt idx="2326" formatCode="_(&quot;$&quot;* #,##0.00_);_(&quot;$&quot;* \(#,##0.00\);_(&quot;$&quot;* &quot;-&quot;??_);_(@_)">
                  <c:v>166.66666666666666</c:v>
                </c:pt>
                <c:pt idx="2327" formatCode="_(&quot;$&quot;* #,##0.00_);_(&quot;$&quot;* \(#,##0.00\);_(&quot;$&quot;* &quot;-&quot;??_);_(@_)">
                  <c:v>127.9863481228669</c:v>
                </c:pt>
                <c:pt idx="2328" formatCode="_(&quot;$&quot;* #,##0.00_);_(&quot;$&quot;* \(#,##0.00\);_(&quot;$&quot;* &quot;-&quot;??_);_(@_)">
                  <c:v>110.45655375552283</c:v>
                </c:pt>
                <c:pt idx="2329" formatCode="_(&quot;$&quot;* #,##0.00_);_(&quot;$&quot;* \(#,##0.00\);_(&quot;$&quot;* &quot;-&quot;??_);_(@_)">
                  <c:v>156.90376569037656</c:v>
                </c:pt>
                <c:pt idx="2330" formatCode="_(&quot;$&quot;* #,##0.00_);_(&quot;$&quot;* \(#,##0.00\);_(&quot;$&quot;* &quot;-&quot;??_);_(@_)">
                  <c:v>158.89830508474577</c:v>
                </c:pt>
                <c:pt idx="2331" formatCode="_(&quot;$&quot;* #,##0.00_);_(&quot;$&quot;* \(#,##0.00\);_(&quot;$&quot;* &quot;-&quot;??_);_(@_)">
                  <c:v>146.19883040935673</c:v>
                </c:pt>
                <c:pt idx="2332" formatCode="_(&quot;$&quot;* #,##0.00_);_(&quot;$&quot;* \(#,##0.00\);_(&quot;$&quot;* &quot;-&quot;??_);_(@_)">
                  <c:v>150</c:v>
                </c:pt>
                <c:pt idx="2333" formatCode="_(&quot;$&quot;* #,##0.00_);_(&quot;$&quot;* \(#,##0.00\);_(&quot;$&quot;* &quot;-&quot;??_);_(@_)">
                  <c:v>135.62386980108499</c:v>
                </c:pt>
                <c:pt idx="2334" formatCode="_(&quot;$&quot;* #,##0.00_);_(&quot;$&quot;* \(#,##0.00\);_(&quot;$&quot;* &quot;-&quot;??_);_(@_)">
                  <c:v>133.92857142857142</c:v>
                </c:pt>
                <c:pt idx="2335" formatCode="_(&quot;$&quot;* #,##0.00_);_(&quot;$&quot;* \(#,##0.00\);_(&quot;$&quot;* &quot;-&quot;??_);_(@_)">
                  <c:v>82.236842105263165</c:v>
                </c:pt>
                <c:pt idx="2336" formatCode="_(&quot;$&quot;* #,##0.00_);_(&quot;$&quot;* \(#,##0.00\);_(&quot;$&quot;* &quot;-&quot;??_);_(@_)">
                  <c:v>151</c:v>
                </c:pt>
                <c:pt idx="2337" formatCode="_(&quot;$&quot;* #,##0.00_);_(&quot;$&quot;* \(#,##0.00\);_(&quot;$&quot;* &quot;-&quot;??_);_(@_)">
                  <c:v>151.1</c:v>
                </c:pt>
                <c:pt idx="2338" formatCode="_(&quot;$&quot;* #,##0.00_);_(&quot;$&quot;* \(#,##0.00\);_(&quot;$&quot;* &quot;-&quot;??_);_(@_)">
                  <c:v>146.15384615384616</c:v>
                </c:pt>
                <c:pt idx="2339" formatCode="_(&quot;$&quot;* #,##0.00_);_(&quot;$&quot;* \(#,##0.00\);_(&quot;$&quot;* &quot;-&quot;??_);_(@_)">
                  <c:v>114.3609022556391</c:v>
                </c:pt>
                <c:pt idx="2340" formatCode="_(&quot;$&quot;* #,##0.00_);_(&quot;$&quot;* \(#,##0.00\);_(&quot;$&quot;* &quot;-&quot;??_);_(@_)">
                  <c:v>163.35470085470087</c:v>
                </c:pt>
                <c:pt idx="2341" formatCode="_(&quot;$&quot;* #,##0.00_);_(&quot;$&quot;* \(#,##0.00\);_(&quot;$&quot;* &quot;-&quot;??_);_(@_)">
                  <c:v>157.78688524590163</c:v>
                </c:pt>
                <c:pt idx="2342" formatCode="_(&quot;$&quot;* #,##0.00_);_(&quot;$&quot;* \(#,##0.00\);_(&quot;$&quot;* &quot;-&quot;??_);_(@_)">
                  <c:v>90.882352941176464</c:v>
                </c:pt>
                <c:pt idx="2343" formatCode="_(&quot;$&quot;* #,##0.00_);_(&quot;$&quot;* \(#,##0.00\);_(&quot;$&quot;* &quot;-&quot;??_);_(@_)">
                  <c:v>180.32596041909196</c:v>
                </c:pt>
                <c:pt idx="2344" formatCode="_(&quot;$&quot;* #,##0.00_);_(&quot;$&quot;* \(#,##0.00\);_(&quot;$&quot;* &quot;-&quot;??_);_(@_)">
                  <c:v>169.95614035087721</c:v>
                </c:pt>
                <c:pt idx="2345" formatCode="_(&quot;$&quot;* #,##0.00_);_(&quot;$&quot;* \(#,##0.00\);_(&quot;$&quot;* &quot;-&quot;??_);_(@_)">
                  <c:v>147.3384030418251</c:v>
                </c:pt>
                <c:pt idx="2346" formatCode="_(&quot;$&quot;* #,##0.00_);_(&quot;$&quot;* \(#,##0.00\);_(&quot;$&quot;* &quot;-&quot;??_);_(@_)">
                  <c:v>155</c:v>
                </c:pt>
                <c:pt idx="2347" formatCode="_(&quot;$&quot;* #,##0.00_);_(&quot;$&quot;* \(#,##0.00\);_(&quot;$&quot;* &quot;-&quot;??_);_(@_)">
                  <c:v>161.96447230929991</c:v>
                </c:pt>
                <c:pt idx="2348" formatCode="_(&quot;$&quot;* #,##0.00_);_(&quot;$&quot;* \(#,##0.00\);_(&quot;$&quot;* &quot;-&quot;??_);_(@_)">
                  <c:v>141.94139194139194</c:v>
                </c:pt>
                <c:pt idx="2349" formatCode="_(&quot;$&quot;* #,##0.00_);_(&quot;$&quot;* \(#,##0.00\);_(&quot;$&quot;* &quot;-&quot;??_);_(@_)">
                  <c:v>103.6096256684492</c:v>
                </c:pt>
                <c:pt idx="2350" formatCode="_(&quot;$&quot;* #,##0.00_);_(&quot;$&quot;* \(#,##0.00\);_(&quot;$&quot;* &quot;-&quot;??_);_(@_)">
                  <c:v>147.61904761904762</c:v>
                </c:pt>
                <c:pt idx="2351" formatCode="_(&quot;$&quot;* #,##0.00_);_(&quot;$&quot;* \(#,##0.00\);_(&quot;$&quot;* &quot;-&quot;??_);_(@_)">
                  <c:v>142.85714285714286</c:v>
                </c:pt>
                <c:pt idx="2352" formatCode="_(&quot;$&quot;* #,##0.00_);_(&quot;$&quot;* \(#,##0.00\);_(&quot;$&quot;* &quot;-&quot;??_);_(@_)">
                  <c:v>120.62256809338521</c:v>
                </c:pt>
                <c:pt idx="2353" formatCode="_(&quot;$&quot;* #,##0.00_);_(&quot;$&quot;* \(#,##0.00\);_(&quot;$&quot;* &quot;-&quot;??_);_(@_)">
                  <c:v>154.69061876247505</c:v>
                </c:pt>
                <c:pt idx="2354" formatCode="_(&quot;$&quot;* #,##0.00_);_(&quot;$&quot;* \(#,##0.00\);_(&quot;$&quot;* &quot;-&quot;??_);_(@_)">
                  <c:v>164.0295358649789</c:v>
                </c:pt>
                <c:pt idx="2355" formatCode="_(&quot;$&quot;* #,##0.00_);_(&quot;$&quot;* \(#,##0.00\);_(&quot;$&quot;* &quot;-&quot;??_);_(@_)">
                  <c:v>149.56855225311602</c:v>
                </c:pt>
                <c:pt idx="2356" formatCode="_(&quot;$&quot;* #,##0.00_);_(&quot;$&quot;* \(#,##0.00\);_(&quot;$&quot;* &quot;-&quot;??_);_(@_)">
                  <c:v>156.15615615615616</c:v>
                </c:pt>
                <c:pt idx="2357" formatCode="_(&quot;$&quot;* #,##0.00_);_(&quot;$&quot;* \(#,##0.00\);_(&quot;$&quot;* &quot;-&quot;??_);_(@_)">
                  <c:v>162.5</c:v>
                </c:pt>
                <c:pt idx="2358" formatCode="_(&quot;$&quot;* #,##0.00_);_(&quot;$&quot;* \(#,##0.00\);_(&quot;$&quot;* &quot;-&quot;??_);_(@_)">
                  <c:v>222.6950354609929</c:v>
                </c:pt>
                <c:pt idx="2359" formatCode="_(&quot;$&quot;* #,##0.00_);_(&quot;$&quot;* \(#,##0.00\);_(&quot;$&quot;* &quot;-&quot;??_);_(@_)">
                  <c:v>163.54166666666666</c:v>
                </c:pt>
                <c:pt idx="2360" formatCode="_(&quot;$&quot;* #,##0.00_);_(&quot;$&quot;* \(#,##0.00\);_(&quot;$&quot;* &quot;-&quot;??_);_(@_)">
                  <c:v>152.22868217054264</c:v>
                </c:pt>
                <c:pt idx="2361" formatCode="_(&quot;$&quot;* #,##0.00_);_(&quot;$&quot;* \(#,##0.00\);_(&quot;$&quot;* &quot;-&quot;??_);_(@_)">
                  <c:v>176.85393258426967</c:v>
                </c:pt>
                <c:pt idx="2362" formatCode="_(&quot;$&quot;* #,##0.00_);_(&quot;$&quot;* \(#,##0.00\);_(&quot;$&quot;* &quot;-&quot;??_);_(@_)">
                  <c:v>157.9</c:v>
                </c:pt>
                <c:pt idx="2363" formatCode="_(&quot;$&quot;* #,##0.00_);_(&quot;$&quot;* \(#,##0.00\);_(&quot;$&quot;* &quot;-&quot;??_);_(@_)">
                  <c:v>142.35611510791367</c:v>
                </c:pt>
                <c:pt idx="2364" formatCode="_(&quot;$&quot;* #,##0.00_);_(&quot;$&quot;* \(#,##0.00\);_(&quot;$&quot;* &quot;-&quot;??_);_(@_)">
                  <c:v>143.84057971014494</c:v>
                </c:pt>
                <c:pt idx="2365" formatCode="_(&quot;$&quot;* #,##0.00_);_(&quot;$&quot;* \(#,##0.00\);_(&quot;$&quot;* &quot;-&quot;??_);_(@_)">
                  <c:v>173.39149400218102</c:v>
                </c:pt>
                <c:pt idx="2366" formatCode="_(&quot;$&quot;* #,##0.00_);_(&quot;$&quot;* \(#,##0.00\);_(&quot;$&quot;* &quot;-&quot;??_);_(@_)">
                  <c:v>159.9</c:v>
                </c:pt>
                <c:pt idx="2367" formatCode="_(&quot;$&quot;* #,##0.00_);_(&quot;$&quot;* \(#,##0.00\);_(&quot;$&quot;* &quot;-&quot;??_);_(@_)">
                  <c:v>129.65964343598054</c:v>
                </c:pt>
                <c:pt idx="2368" formatCode="_(&quot;$&quot;* #,##0.00_);_(&quot;$&quot;* \(#,##0.00\);_(&quot;$&quot;* &quot;-&quot;??_);_(@_)">
                  <c:v>141.2180052956752</c:v>
                </c:pt>
                <c:pt idx="2369" formatCode="_(&quot;$&quot;* #,##0.00_);_(&quot;$&quot;* \(#,##0.00\);_(&quot;$&quot;* &quot;-&quot;??_);_(@_)">
                  <c:v>176.60044150110375</c:v>
                </c:pt>
                <c:pt idx="2370" formatCode="_(&quot;$&quot;* #,##0.00_);_(&quot;$&quot;* \(#,##0.00\);_(&quot;$&quot;* &quot;-&quot;??_);_(@_)">
                  <c:v>180.18018018018017</c:v>
                </c:pt>
                <c:pt idx="2371" formatCode="_(&quot;$&quot;* #,##0.00_);_(&quot;$&quot;* \(#,##0.00\);_(&quot;$&quot;* &quot;-&quot;??_);_(@_)">
                  <c:v>131.79571663920922</c:v>
                </c:pt>
                <c:pt idx="2372" formatCode="_(&quot;$&quot;* #,##0.00_);_(&quot;$&quot;* \(#,##0.00\);_(&quot;$&quot;* &quot;-&quot;??_);_(@_)">
                  <c:v>131.79571663920922</c:v>
                </c:pt>
                <c:pt idx="2373" formatCode="_(&quot;$&quot;* #,##0.00_);_(&quot;$&quot;* \(#,##0.00\);_(&quot;$&quot;* &quot;-&quot;??_);_(@_)">
                  <c:v>170.57569296375266</c:v>
                </c:pt>
                <c:pt idx="2374" formatCode="_(&quot;$&quot;* #,##0.00_);_(&quot;$&quot;* \(#,##0.00\);_(&quot;$&quot;* &quot;-&quot;??_);_(@_)">
                  <c:v>153.55086372360844</c:v>
                </c:pt>
                <c:pt idx="2375" formatCode="_(&quot;$&quot;* #,##0.00_);_(&quot;$&quot;* \(#,##0.00\);_(&quot;$&quot;* &quot;-&quot;??_);_(@_)">
                  <c:v>145.45454545454547</c:v>
                </c:pt>
                <c:pt idx="2376" formatCode="_(&quot;$&quot;* #,##0.00_);_(&quot;$&quot;* \(#,##0.00\);_(&quot;$&quot;* &quot;-&quot;??_);_(@_)">
                  <c:v>168.59852476290831</c:v>
                </c:pt>
                <c:pt idx="2377" formatCode="_(&quot;$&quot;* #,##0.00_);_(&quot;$&quot;* \(#,##0.00\);_(&quot;$&quot;* &quot;-&quot;??_);_(@_)">
                  <c:v>112.67605633802818</c:v>
                </c:pt>
                <c:pt idx="2378" formatCode="_(&quot;$&quot;* #,##0.00_);_(&quot;$&quot;* \(#,##0.00\);_(&quot;$&quot;* &quot;-&quot;??_);_(@_)">
                  <c:v>175.43859649122808</c:v>
                </c:pt>
                <c:pt idx="2379" formatCode="_(&quot;$&quot;* #,##0.00_);_(&quot;$&quot;* \(#,##0.00\);_(&quot;$&quot;* &quot;-&quot;??_);_(@_)">
                  <c:v>160</c:v>
                </c:pt>
                <c:pt idx="2380" formatCode="_(&quot;$&quot;* #,##0.00_);_(&quot;$&quot;* \(#,##0.00\);_(&quot;$&quot;* &quot;-&quot;??_);_(@_)">
                  <c:v>132.4503311258278</c:v>
                </c:pt>
                <c:pt idx="2381" formatCode="_(&quot;$&quot;* #,##0.00_);_(&quot;$&quot;* \(#,##0.00\);_(&quot;$&quot;* &quot;-&quot;??_);_(@_)">
                  <c:v>94.062316284538511</c:v>
                </c:pt>
                <c:pt idx="2382" formatCode="_(&quot;$&quot;* #,##0.00_);_(&quot;$&quot;* \(#,##0.00\);_(&quot;$&quot;* &quot;-&quot;??_);_(@_)">
                  <c:v>88.888888888888886</c:v>
                </c:pt>
                <c:pt idx="2383" formatCode="_(&quot;$&quot;* #,##0.00_);_(&quot;$&quot;* \(#,##0.00\);_(&quot;$&quot;* &quot;-&quot;??_);_(@_)">
                  <c:v>106.8090787716956</c:v>
                </c:pt>
                <c:pt idx="2384" formatCode="_(&quot;$&quot;* #,##0.00_);_(&quot;$&quot;* \(#,##0.00\);_(&quot;$&quot;* &quot;-&quot;??_);_(@_)">
                  <c:v>161.94331983805668</c:v>
                </c:pt>
                <c:pt idx="2385" formatCode="_(&quot;$&quot;* #,##0.00_);_(&quot;$&quot;* \(#,##0.00\);_(&quot;$&quot;* &quot;-&quot;??_);_(@_)">
                  <c:v>68.463842533162179</c:v>
                </c:pt>
                <c:pt idx="2386" formatCode="_(&quot;$&quot;* #,##0.00_);_(&quot;$&quot;* \(#,##0.00\);_(&quot;$&quot;* &quot;-&quot;??_);_(@_)">
                  <c:v>143.30357142857142</c:v>
                </c:pt>
                <c:pt idx="2387" formatCode="_(&quot;$&quot;* #,##0.00_);_(&quot;$&quot;* \(#,##0.00\);_(&quot;$&quot;* &quot;-&quot;??_);_(@_)">
                  <c:v>133.19502074688796</c:v>
                </c:pt>
                <c:pt idx="2388" formatCode="_(&quot;$&quot;* #,##0.00_);_(&quot;$&quot;* \(#,##0.00\);_(&quot;$&quot;* &quot;-&quot;??_);_(@_)">
                  <c:v>128.90625</c:v>
                </c:pt>
                <c:pt idx="2389" formatCode="_(&quot;$&quot;* #,##0.00_);_(&quot;$&quot;* \(#,##0.00\);_(&quot;$&quot;* &quot;-&quot;??_);_(@_)">
                  <c:v>177.63157894736841</c:v>
                </c:pt>
                <c:pt idx="2390" formatCode="_(&quot;$&quot;* #,##0.00_);_(&quot;$&quot;* \(#,##0.00\);_(&quot;$&quot;* &quot;-&quot;??_);_(@_)">
                  <c:v>168.75</c:v>
                </c:pt>
                <c:pt idx="2391" formatCode="_(&quot;$&quot;* #,##0.00_);_(&quot;$&quot;* \(#,##0.00\);_(&quot;$&quot;* &quot;-&quot;??_);_(@_)">
                  <c:v>162.97786720321932</c:v>
                </c:pt>
                <c:pt idx="2392" formatCode="_(&quot;$&quot;* #,##0.00_);_(&quot;$&quot;* \(#,##0.00\);_(&quot;$&quot;* &quot;-&quot;??_);_(@_)">
                  <c:v>144.06028368794327</c:v>
                </c:pt>
                <c:pt idx="2393" formatCode="_(&quot;$&quot;* #,##0.00_);_(&quot;$&quot;* \(#,##0.00\);_(&quot;$&quot;* &quot;-&quot;??_);_(@_)">
                  <c:v>145.66577301161752</c:v>
                </c:pt>
                <c:pt idx="2394" formatCode="_(&quot;$&quot;* #,##0.00_);_(&quot;$&quot;* \(#,##0.00\);_(&quot;$&quot;* &quot;-&quot;??_);_(@_)">
                  <c:v>152.13358070500928</c:v>
                </c:pt>
                <c:pt idx="2395" formatCode="_(&quot;$&quot;* #,##0.00_);_(&quot;$&quot;* \(#,##0.00\);_(&quot;$&quot;* &quot;-&quot;??_);_(@_)">
                  <c:v>132.47172859450728</c:v>
                </c:pt>
                <c:pt idx="2396" formatCode="_(&quot;$&quot;* #,##0.00_);_(&quot;$&quot;* \(#,##0.00\);_(&quot;$&quot;* &quot;-&quot;??_);_(@_)">
                  <c:v>158.17307692307693</c:v>
                </c:pt>
                <c:pt idx="2397" formatCode="_(&quot;$&quot;* #,##0.00_);_(&quot;$&quot;* \(#,##0.00\);_(&quot;$&quot;* &quot;-&quot;??_);_(@_)">
                  <c:v>134.80392156862746</c:v>
                </c:pt>
                <c:pt idx="2398" formatCode="_(&quot;$&quot;* #,##0.00_);_(&quot;$&quot;* \(#,##0.00\);_(&quot;$&quot;* &quot;-&quot;??_);_(@_)">
                  <c:v>179.73856209150327</c:v>
                </c:pt>
                <c:pt idx="2399" formatCode="_(&quot;$&quot;* #,##0.00_);_(&quot;$&quot;* \(#,##0.00\);_(&quot;$&quot;* &quot;-&quot;??_);_(@_)">
                  <c:v>183.33333333333334</c:v>
                </c:pt>
                <c:pt idx="2400" formatCode="_(&quot;$&quot;* #,##0.00_);_(&quot;$&quot;* \(#,##0.00\);_(&quot;$&quot;* &quot;-&quot;??_);_(@_)">
                  <c:v>177.41935483870967</c:v>
                </c:pt>
                <c:pt idx="2401" formatCode="_(&quot;$&quot;* #,##0.00_);_(&quot;$&quot;* \(#,##0.00\);_(&quot;$&quot;* &quot;-&quot;??_);_(@_)">
                  <c:v>91.922005571030638</c:v>
                </c:pt>
                <c:pt idx="2402" formatCode="_(&quot;$&quot;* #,##0.00_);_(&quot;$&quot;* \(#,##0.00\);_(&quot;$&quot;* &quot;-&quot;??_);_(@_)">
                  <c:v>172.05422314911365</c:v>
                </c:pt>
                <c:pt idx="2403" formatCode="_(&quot;$&quot;* #,##0.00_);_(&quot;$&quot;* \(#,##0.00\);_(&quot;$&quot;* &quot;-&quot;??_);_(@_)">
                  <c:v>157.29265967588179</c:v>
                </c:pt>
                <c:pt idx="2404" formatCode="_(&quot;$&quot;* #,##0.00_);_(&quot;$&quot;* \(#,##0.00\);_(&quot;$&quot;* &quot;-&quot;??_);_(@_)">
                  <c:v>139.3581081081081</c:v>
                </c:pt>
                <c:pt idx="2405" formatCode="_(&quot;$&quot;* #,##0.00_);_(&quot;$&quot;* \(#,##0.00\);_(&quot;$&quot;* &quot;-&quot;??_);_(@_)">
                  <c:v>96.266044340723454</c:v>
                </c:pt>
                <c:pt idx="2406" formatCode="_(&quot;$&quot;* #,##0.00_);_(&quot;$&quot;* \(#,##0.00\);_(&quot;$&quot;* &quot;-&quot;??_);_(@_)">
                  <c:v>174.60317460317461</c:v>
                </c:pt>
                <c:pt idx="2407" formatCode="_(&quot;$&quot;* #,##0.00_);_(&quot;$&quot;* \(#,##0.00\);_(&quot;$&quot;* &quot;-&quot;??_);_(@_)">
                  <c:v>150.82266910420475</c:v>
                </c:pt>
                <c:pt idx="2408" formatCode="_(&quot;$&quot;* #,##0.00_);_(&quot;$&quot;* \(#,##0.00\);_(&quot;$&quot;* &quot;-&quot;??_);_(@_)">
                  <c:v>94.017094017094024</c:v>
                </c:pt>
                <c:pt idx="2409" formatCode="_(&quot;$&quot;* #,##0.00_);_(&quot;$&quot;* \(#,##0.00\);_(&quot;$&quot;* &quot;-&quot;??_);_(@_)">
                  <c:v>179.34782608695653</c:v>
                </c:pt>
                <c:pt idx="2410" formatCode="_(&quot;$&quot;* #,##0.00_);_(&quot;$&quot;* \(#,##0.00\);_(&quot;$&quot;* &quot;-&quot;??_);_(@_)">
                  <c:v>113.4020618556701</c:v>
                </c:pt>
                <c:pt idx="2411" formatCode="_(&quot;$&quot;* #,##0.00_);_(&quot;$&quot;* \(#,##0.00\);_(&quot;$&quot;* &quot;-&quot;??_);_(@_)">
                  <c:v>180.04338394793928</c:v>
                </c:pt>
                <c:pt idx="2412" formatCode="_(&quot;$&quot;* #,##0.00_);_(&quot;$&quot;* \(#,##0.00\);_(&quot;$&quot;* &quot;-&quot;??_);_(@_)">
                  <c:v>168.0161943319838</c:v>
                </c:pt>
                <c:pt idx="2413" formatCode="_(&quot;$&quot;* #,##0.00_);_(&quot;$&quot;* \(#,##0.00\);_(&quot;$&quot;* &quot;-&quot;??_);_(@_)">
                  <c:v>129.1828793774319</c:v>
                </c:pt>
                <c:pt idx="2414" formatCode="_(&quot;$&quot;* #,##0.00_);_(&quot;$&quot;* \(#,##0.00\);_(&quot;$&quot;* &quot;-&quot;??_);_(@_)">
                  <c:v>165.83912611717975</c:v>
                </c:pt>
                <c:pt idx="2415" formatCode="_(&quot;$&quot;* #,##0.00_);_(&quot;$&quot;* \(#,##0.00\);_(&quot;$&quot;* &quot;-&quot;??_);_(@_)">
                  <c:v>142.00680272108843</c:v>
                </c:pt>
                <c:pt idx="2416" formatCode="_(&quot;$&quot;* #,##0.00_);_(&quot;$&quot;* \(#,##0.00\);_(&quot;$&quot;* &quot;-&quot;??_);_(@_)">
                  <c:v>174.11642411642413</c:v>
                </c:pt>
                <c:pt idx="2417" formatCode="_(&quot;$&quot;* #,##0.00_);_(&quot;$&quot;* \(#,##0.00\);_(&quot;$&quot;* &quot;-&quot;??_);_(@_)">
                  <c:v>186.66666666666666</c:v>
                </c:pt>
                <c:pt idx="2418" formatCode="_(&quot;$&quot;* #,##0.00_);_(&quot;$&quot;* \(#,##0.00\);_(&quot;$&quot;* &quot;-&quot;??_);_(@_)">
                  <c:v>153.84615384615384</c:v>
                </c:pt>
                <c:pt idx="2419" formatCode="_(&quot;$&quot;* #,##0.00_);_(&quot;$&quot;* \(#,##0.00\);_(&quot;$&quot;* &quot;-&quot;??_);_(@_)">
                  <c:v>186.66666666666666</c:v>
                </c:pt>
                <c:pt idx="2420" formatCode="_(&quot;$&quot;* #,##0.00_);_(&quot;$&quot;* \(#,##0.00\);_(&quot;$&quot;* &quot;-&quot;??_);_(@_)">
                  <c:v>105</c:v>
                </c:pt>
                <c:pt idx="2421" formatCode="_(&quot;$&quot;* #,##0.00_);_(&quot;$&quot;* \(#,##0.00\);_(&quot;$&quot;* &quot;-&quot;??_);_(@_)">
                  <c:v>142.01680672268907</c:v>
                </c:pt>
                <c:pt idx="2422" formatCode="_(&quot;$&quot;* #,##0.00_);_(&quot;$&quot;* \(#,##0.00\);_(&quot;$&quot;* &quot;-&quot;??_);_(@_)">
                  <c:v>157.17592592592592</c:v>
                </c:pt>
                <c:pt idx="2423" formatCode="_(&quot;$&quot;* #,##0.00_);_(&quot;$&quot;* \(#,##0.00\);_(&quot;$&quot;* &quot;-&quot;??_);_(@_)">
                  <c:v>155.39305301645339</c:v>
                </c:pt>
                <c:pt idx="2424" formatCode="_(&quot;$&quot;* #,##0.00_);_(&quot;$&quot;* \(#,##0.00\);_(&quot;$&quot;* &quot;-&quot;??_);_(@_)">
                  <c:v>127.05530642750374</c:v>
                </c:pt>
                <c:pt idx="2425" formatCode="_(&quot;$&quot;* #,##0.00_);_(&quot;$&quot;* \(#,##0.00\);_(&quot;$&quot;* &quot;-&quot;??_);_(@_)">
                  <c:v>170</c:v>
                </c:pt>
                <c:pt idx="2426" formatCode="_(&quot;$&quot;* #,##0.00_);_(&quot;$&quot;* \(#,##0.00\);_(&quot;$&quot;* &quot;-&quot;??_);_(@_)">
                  <c:v>139.57307060755338</c:v>
                </c:pt>
                <c:pt idx="2427" formatCode="_(&quot;$&quot;* #,##0.00_);_(&quot;$&quot;* \(#,##0.00\);_(&quot;$&quot;* &quot;-&quot;??_);_(@_)">
                  <c:v>179.8941798941799</c:v>
                </c:pt>
                <c:pt idx="2428" formatCode="_(&quot;$&quot;* #,##0.00_);_(&quot;$&quot;* \(#,##0.00\);_(&quot;$&quot;* &quot;-&quot;??_);_(@_)">
                  <c:v>168.31683168316832</c:v>
                </c:pt>
                <c:pt idx="2429" formatCode="_(&quot;$&quot;* #,##0.00_);_(&quot;$&quot;* \(#,##0.00\);_(&quot;$&quot;* &quot;-&quot;??_);_(@_)">
                  <c:v>163.46153846153845</c:v>
                </c:pt>
                <c:pt idx="2430" formatCode="_(&quot;$&quot;* #,##0.00_);_(&quot;$&quot;* \(#,##0.00\);_(&quot;$&quot;* &quot;-&quot;??_);_(@_)">
                  <c:v>129.96941896024464</c:v>
                </c:pt>
                <c:pt idx="2431" formatCode="_(&quot;$&quot;* #,##0.00_);_(&quot;$&quot;* \(#,##0.00\);_(&quot;$&quot;* &quot;-&quot;??_);_(@_)">
                  <c:v>165.69200779727095</c:v>
                </c:pt>
                <c:pt idx="2432" formatCode="_(&quot;$&quot;* #,##0.00_);_(&quot;$&quot;* \(#,##0.00\);_(&quot;$&quot;* &quot;-&quot;??_);_(@_)">
                  <c:v>106.51629072681705</c:v>
                </c:pt>
                <c:pt idx="2433" formatCode="_(&quot;$&quot;* #,##0.00_);_(&quot;$&quot;* \(#,##0.00\);_(&quot;$&quot;* &quot;-&quot;??_);_(@_)">
                  <c:v>159.21787709497207</c:v>
                </c:pt>
                <c:pt idx="2434" formatCode="_(&quot;$&quot;* #,##0.00_);_(&quot;$&quot;* \(#,##0.00\);_(&quot;$&quot;* &quot;-&quot;??_);_(@_)">
                  <c:v>188.0482456140351</c:v>
                </c:pt>
                <c:pt idx="2435" formatCode="_(&quot;$&quot;* #,##0.00_);_(&quot;$&quot;* \(#,##0.00\);_(&quot;$&quot;* &quot;-&quot;??_);_(@_)">
                  <c:v>182.010582010582</c:v>
                </c:pt>
                <c:pt idx="2436" formatCode="_(&quot;$&quot;* #,##0.00_);_(&quot;$&quot;* \(#,##0.00\);_(&quot;$&quot;* &quot;-&quot;??_);_(@_)">
                  <c:v>137.6</c:v>
                </c:pt>
                <c:pt idx="2437" formatCode="_(&quot;$&quot;* #,##0.00_);_(&quot;$&quot;* \(#,##0.00\);_(&quot;$&quot;* &quot;-&quot;??_);_(@_)">
                  <c:v>127.29948491537895</c:v>
                </c:pt>
                <c:pt idx="2438" formatCode="_(&quot;$&quot;* #,##0.00_);_(&quot;$&quot;* \(#,##0.00\);_(&quot;$&quot;* &quot;-&quot;??_);_(@_)">
                  <c:v>113.66622864651774</c:v>
                </c:pt>
                <c:pt idx="2439" formatCode="_(&quot;$&quot;* #,##0.00_);_(&quot;$&quot;* \(#,##0.00\);_(&quot;$&quot;* &quot;-&quot;??_);_(@_)">
                  <c:v>119.25976696367375</c:v>
                </c:pt>
                <c:pt idx="2440" formatCode="_(&quot;$&quot;* #,##0.00_);_(&quot;$&quot;* \(#,##0.00\);_(&quot;$&quot;* &quot;-&quot;??_);_(@_)">
                  <c:v>160.25641025641025</c:v>
                </c:pt>
                <c:pt idx="2441" formatCode="_(&quot;$&quot;* #,##0.00_);_(&quot;$&quot;* \(#,##0.00\);_(&quot;$&quot;* &quot;-&quot;??_);_(@_)">
                  <c:v>156.8100358422939</c:v>
                </c:pt>
                <c:pt idx="2442" formatCode="_(&quot;$&quot;* #,##0.00_);_(&quot;$&quot;* \(#,##0.00\);_(&quot;$&quot;* &quot;-&quot;??_);_(@_)">
                  <c:v>138.55898653998418</c:v>
                </c:pt>
                <c:pt idx="2443" formatCode="_(&quot;$&quot;* #,##0.00_);_(&quot;$&quot;* \(#,##0.00\);_(&quot;$&quot;* &quot;-&quot;??_);_(@_)">
                  <c:v>163.85767790262173</c:v>
                </c:pt>
                <c:pt idx="2444" formatCode="_(&quot;$&quot;* #,##0.00_);_(&quot;$&quot;* \(#,##0.00\);_(&quot;$&quot;* &quot;-&quot;??_);_(@_)">
                  <c:v>186.36847710330139</c:v>
                </c:pt>
                <c:pt idx="2445" formatCode="_(&quot;$&quot;* #,##0.00_);_(&quot;$&quot;* \(#,##0.00\);_(&quot;$&quot;* &quot;-&quot;??_);_(@_)">
                  <c:v>154.86725663716814</c:v>
                </c:pt>
                <c:pt idx="2446" formatCode="_(&quot;$&quot;* #,##0.00_);_(&quot;$&quot;* \(#,##0.00\);_(&quot;$&quot;* &quot;-&quot;??_);_(@_)">
                  <c:v>125</c:v>
                </c:pt>
                <c:pt idx="2447" formatCode="_(&quot;$&quot;* #,##0.00_);_(&quot;$&quot;* \(#,##0.00\);_(&quot;$&quot;* &quot;-&quot;??_);_(@_)">
                  <c:v>145.83333333333334</c:v>
                </c:pt>
                <c:pt idx="2448" formatCode="_(&quot;$&quot;* #,##0.00_);_(&quot;$&quot;* \(#,##0.00\);_(&quot;$&quot;* &quot;-&quot;??_);_(@_)">
                  <c:v>167.14422158548234</c:v>
                </c:pt>
                <c:pt idx="2449" formatCode="_(&quot;$&quot;* #,##0.00_);_(&quot;$&quot;* \(#,##0.00\);_(&quot;$&quot;* &quot;-&quot;??_);_(@_)">
                  <c:v>142.85714285714286</c:v>
                </c:pt>
                <c:pt idx="2450" formatCode="_(&quot;$&quot;* #,##0.00_);_(&quot;$&quot;* \(#,##0.00\);_(&quot;$&quot;* &quot;-&quot;??_);_(@_)">
                  <c:v>132.91571753986332</c:v>
                </c:pt>
                <c:pt idx="2451" formatCode="_(&quot;$&quot;* #,##0.00_);_(&quot;$&quot;* \(#,##0.00\);_(&quot;$&quot;* &quot;-&quot;??_);_(@_)">
                  <c:v>191.5938864628821</c:v>
                </c:pt>
                <c:pt idx="2452" formatCode="_(&quot;$&quot;* #,##0.00_);_(&quot;$&quot;* \(#,##0.00\);_(&quot;$&quot;* &quot;-&quot;??_);_(@_)">
                  <c:v>176</c:v>
                </c:pt>
                <c:pt idx="2453" formatCode="_(&quot;$&quot;* #,##0.00_);_(&quot;$&quot;* \(#,##0.00\);_(&quot;$&quot;* &quot;-&quot;??_);_(@_)">
                  <c:v>86.444007858546172</c:v>
                </c:pt>
                <c:pt idx="2454" formatCode="_(&quot;$&quot;* #,##0.00_);_(&quot;$&quot;* \(#,##0.00\);_(&quot;$&quot;* &quot;-&quot;??_);_(@_)">
                  <c:v>194.26048565121414</c:v>
                </c:pt>
                <c:pt idx="2455" formatCode="_(&quot;$&quot;* #,##0.00_);_(&quot;$&quot;* \(#,##0.00\);_(&quot;$&quot;* &quot;-&quot;??_);_(@_)">
                  <c:v>168.57142857142858</c:v>
                </c:pt>
                <c:pt idx="2456" formatCode="_(&quot;$&quot;* #,##0.00_);_(&quot;$&quot;* \(#,##0.00\);_(&quot;$&quot;* &quot;-&quot;??_);_(@_)">
                  <c:v>177</c:v>
                </c:pt>
                <c:pt idx="2457" formatCode="_(&quot;$&quot;* #,##0.00_);_(&quot;$&quot;* \(#,##0.00\);_(&quot;$&quot;* &quot;-&quot;??_);_(@_)">
                  <c:v>118.31550802139037</c:v>
                </c:pt>
                <c:pt idx="2458" formatCode="_(&quot;$&quot;* #,##0.00_);_(&quot;$&quot;* \(#,##0.00\);_(&quot;$&quot;* &quot;-&quot;??_);_(@_)">
                  <c:v>175.22211253701875</c:v>
                </c:pt>
                <c:pt idx="2459" formatCode="_(&quot;$&quot;* #,##0.00_);_(&quot;$&quot;* \(#,##0.00\);_(&quot;$&quot;* &quot;-&quot;??_);_(@_)">
                  <c:v>211.3095238095238</c:v>
                </c:pt>
                <c:pt idx="2460" formatCode="_(&quot;$&quot;* #,##0.00_);_(&quot;$&quot;* \(#,##0.00\);_(&quot;$&quot;* &quot;-&quot;??_);_(@_)">
                  <c:v>159.35541629364369</c:v>
                </c:pt>
                <c:pt idx="2461" formatCode="_(&quot;$&quot;* #,##0.00_);_(&quot;$&quot;* \(#,##0.00\);_(&quot;$&quot;* &quot;-&quot;??_);_(@_)">
                  <c:v>164.81481481481481</c:v>
                </c:pt>
                <c:pt idx="2462" formatCode="_(&quot;$&quot;* #,##0.00_);_(&quot;$&quot;* \(#,##0.00\);_(&quot;$&quot;* &quot;-&quot;??_);_(@_)">
                  <c:v>178</c:v>
                </c:pt>
                <c:pt idx="2463" formatCode="_(&quot;$&quot;* #,##0.00_);_(&quot;$&quot;* \(#,##0.00\);_(&quot;$&quot;* &quot;-&quot;??_);_(@_)">
                  <c:v>148.2098251457119</c:v>
                </c:pt>
                <c:pt idx="2464" formatCode="_(&quot;$&quot;* #,##0.00_);_(&quot;$&quot;* \(#,##0.00\);_(&quot;$&quot;* &quot;-&quot;??_);_(@_)">
                  <c:v>62.521952932911837</c:v>
                </c:pt>
                <c:pt idx="2465" formatCode="_(&quot;$&quot;* #,##0.00_);_(&quot;$&quot;* \(#,##0.00\);_(&quot;$&quot;* &quot;-&quot;??_);_(@_)">
                  <c:v>153.184165232358</c:v>
                </c:pt>
                <c:pt idx="2466" formatCode="_(&quot;$&quot;* #,##0.00_);_(&quot;$&quot;* \(#,##0.00\);_(&quot;$&quot;* &quot;-&quot;??_);_(@_)">
                  <c:v>154.78260869565219</c:v>
                </c:pt>
                <c:pt idx="2467" formatCode="_(&quot;$&quot;* #,##0.00_);_(&quot;$&quot;* \(#,##0.00\);_(&quot;$&quot;* &quot;-&quot;??_);_(@_)">
                  <c:v>178</c:v>
                </c:pt>
                <c:pt idx="2468" formatCode="_(&quot;$&quot;* #,##0.00_);_(&quot;$&quot;* \(#,##0.00\);_(&quot;$&quot;* &quot;-&quot;??_);_(@_)">
                  <c:v>196.2719298245614</c:v>
                </c:pt>
                <c:pt idx="2469" formatCode="_(&quot;$&quot;* #,##0.00_);_(&quot;$&quot;* \(#,##0.00\);_(&quot;$&quot;* &quot;-&quot;??_);_(@_)">
                  <c:v>179.899</c:v>
                </c:pt>
                <c:pt idx="2470" formatCode="_(&quot;$&quot;* #,##0.00_);_(&quot;$&quot;* \(#,##0.00\);_(&quot;$&quot;* &quot;-&quot;??_);_(@_)">
                  <c:v>196.61202185792351</c:v>
                </c:pt>
                <c:pt idx="2471" formatCode="_(&quot;$&quot;* #,##0.00_);_(&quot;$&quot;* \(#,##0.00\);_(&quot;$&quot;* &quot;-&quot;??_);_(@_)">
                  <c:v>187.39583333333334</c:v>
                </c:pt>
                <c:pt idx="2472" formatCode="_(&quot;$&quot;* #,##0.00_);_(&quot;$&quot;* \(#,##0.00\);_(&quot;$&quot;* &quot;-&quot;??_);_(@_)">
                  <c:v>198.12775330396477</c:v>
                </c:pt>
                <c:pt idx="2473" formatCode="_(&quot;$&quot;* #,##0.00_);_(&quot;$&quot;* \(#,##0.00\);_(&quot;$&quot;* &quot;-&quot;??_);_(@_)">
                  <c:v>142.85714285714286</c:v>
                </c:pt>
                <c:pt idx="2474" formatCode="_(&quot;$&quot;* #,##0.00_);_(&quot;$&quot;* \(#,##0.00\);_(&quot;$&quot;* &quot;-&quot;??_);_(@_)">
                  <c:v>168.53932584269663</c:v>
                </c:pt>
                <c:pt idx="2475" formatCode="_(&quot;$&quot;* #,##0.00_);_(&quot;$&quot;* \(#,##0.00\);_(&quot;$&quot;* &quot;-&quot;??_);_(@_)">
                  <c:v>130.52936910804931</c:v>
                </c:pt>
                <c:pt idx="2476" formatCode="_(&quot;$&quot;* #,##0.00_);_(&quot;$&quot;* \(#,##0.00\);_(&quot;$&quot;* &quot;-&quot;??_);_(@_)">
                  <c:v>162.45487364620939</c:v>
                </c:pt>
                <c:pt idx="2477" formatCode="_(&quot;$&quot;* #,##0.00_);_(&quot;$&quot;* \(#,##0.00\);_(&quot;$&quot;* &quot;-&quot;??_);_(@_)">
                  <c:v>140.40561622464898</c:v>
                </c:pt>
                <c:pt idx="2478" formatCode="_(&quot;$&quot;* #,##0.00_);_(&quot;$&quot;* \(#,##0.00\);_(&quot;$&quot;* &quot;-&quot;??_);_(@_)">
                  <c:v>147.66201804757998</c:v>
                </c:pt>
                <c:pt idx="2479" formatCode="_(&quot;$&quot;* #,##0.00_);_(&quot;$&quot;* \(#,##0.00\);_(&quot;$&quot;* &quot;-&quot;??_);_(@_)">
                  <c:v>89.641434262948209</c:v>
                </c:pt>
                <c:pt idx="2480" formatCode="_(&quot;$&quot;* #,##0.00_);_(&quot;$&quot;* \(#,##0.00\);_(&quot;$&quot;* &quot;-&quot;??_);_(@_)">
                  <c:v>132.93943870014772</c:v>
                </c:pt>
                <c:pt idx="2481" formatCode="_(&quot;$&quot;* #,##0.00_);_(&quot;$&quot;* \(#,##0.00\);_(&quot;$&quot;* &quot;-&quot;??_);_(@_)">
                  <c:v>208.09248554913296</c:v>
                </c:pt>
                <c:pt idx="2482" formatCode="_(&quot;$&quot;* #,##0.00_);_(&quot;$&quot;* \(#,##0.00\);_(&quot;$&quot;* &quot;-&quot;??_);_(@_)">
                  <c:v>123.62637362637362</c:v>
                </c:pt>
                <c:pt idx="2483" formatCode="_(&quot;$&quot;* #,##0.00_);_(&quot;$&quot;* \(#,##0.00\);_(&quot;$&quot;* &quot;-&quot;??_);_(@_)">
                  <c:v>160.63548102383055</c:v>
                </c:pt>
                <c:pt idx="2484" formatCode="_(&quot;$&quot;* #,##0.00_);_(&quot;$&quot;* \(#,##0.00\);_(&quot;$&quot;* &quot;-&quot;??_);_(@_)">
                  <c:v>189.14167528438469</c:v>
                </c:pt>
                <c:pt idx="2485" formatCode="_(&quot;$&quot;* #,##0.00_);_(&quot;$&quot;* \(#,##0.00\);_(&quot;$&quot;* &quot;-&quot;??_);_(@_)">
                  <c:v>174.4518589132507</c:v>
                </c:pt>
                <c:pt idx="2486" formatCode="_(&quot;$&quot;* #,##0.00_);_(&quot;$&quot;* \(#,##0.00\);_(&quot;$&quot;* &quot;-&quot;??_);_(@_)">
                  <c:v>143.52941176470588</c:v>
                </c:pt>
                <c:pt idx="2487" formatCode="_(&quot;$&quot;* #,##0.00_);_(&quot;$&quot;* \(#,##0.00\);_(&quot;$&quot;* &quot;-&quot;??_);_(@_)">
                  <c:v>178.29457364341084</c:v>
                </c:pt>
                <c:pt idx="2488" formatCode="_(&quot;$&quot;* #,##0.00_);_(&quot;$&quot;* \(#,##0.00\);_(&quot;$&quot;* &quot;-&quot;??_);_(@_)">
                  <c:v>145.56962025316454</c:v>
                </c:pt>
                <c:pt idx="2489" formatCode="_(&quot;$&quot;* #,##0.00_);_(&quot;$&quot;* \(#,##0.00\);_(&quot;$&quot;* &quot;-&quot;??_);_(@_)">
                  <c:v>154.75189234650966</c:v>
                </c:pt>
                <c:pt idx="2490" formatCode="_(&quot;$&quot;* #,##0.00_);_(&quot;$&quot;* \(#,##0.00\);_(&quot;$&quot;* &quot;-&quot;??_);_(@_)">
                  <c:v>137.27678571428572</c:v>
                </c:pt>
                <c:pt idx="2491" formatCode="_(&quot;$&quot;* #,##0.00_);_(&quot;$&quot;* \(#,##0.00\);_(&quot;$&quot;* &quot;-&quot;??_);_(@_)">
                  <c:v>191.90871369294607</c:v>
                </c:pt>
                <c:pt idx="2492" formatCode="_(&quot;$&quot;* #,##0.00_);_(&quot;$&quot;* \(#,##0.00\);_(&quot;$&quot;* &quot;-&quot;??_);_(@_)">
                  <c:v>185</c:v>
                </c:pt>
                <c:pt idx="2493" formatCode="_(&quot;$&quot;* #,##0.00_);_(&quot;$&quot;* \(#,##0.00\);_(&quot;$&quot;* &quot;-&quot;??_);_(@_)">
                  <c:v>131.11268603827074</c:v>
                </c:pt>
                <c:pt idx="2494" formatCode="_(&quot;$&quot;* #,##0.00_);_(&quot;$&quot;* \(#,##0.00\);_(&quot;$&quot;* &quot;-&quot;??_);_(@_)">
                  <c:v>195.56025369978857</c:v>
                </c:pt>
                <c:pt idx="2495" formatCode="_(&quot;$&quot;* #,##0.00_);_(&quot;$&quot;* \(#,##0.00\);_(&quot;$&quot;* &quot;-&quot;??_);_(@_)">
                  <c:v>119.97405966277562</c:v>
                </c:pt>
                <c:pt idx="2496" formatCode="_(&quot;$&quot;* #,##0.00_);_(&quot;$&quot;* \(#,##0.00\);_(&quot;$&quot;* &quot;-&quot;??_);_(@_)">
                  <c:v>172.7357609710551</c:v>
                </c:pt>
                <c:pt idx="2497" formatCode="_(&quot;$&quot;* #,##0.00_);_(&quot;$&quot;* \(#,##0.00\);_(&quot;$&quot;* &quot;-&quot;??_);_(@_)">
                  <c:v>173.87218045112783</c:v>
                </c:pt>
                <c:pt idx="2498" formatCode="_(&quot;$&quot;* #,##0.00_);_(&quot;$&quot;* \(#,##0.00\);_(&quot;$&quot;* &quot;-&quot;??_);_(@_)">
                  <c:v>185</c:v>
                </c:pt>
                <c:pt idx="2499" formatCode="_(&quot;$&quot;* #,##0.00_);_(&quot;$&quot;* \(#,##0.00\);_(&quot;$&quot;* &quot;-&quot;??_);_(@_)">
                  <c:v>163.28331862312444</c:v>
                </c:pt>
                <c:pt idx="2500" formatCode="_(&quot;$&quot;* #,##0.00_);_(&quot;$&quot;* \(#,##0.00\);_(&quot;$&quot;* &quot;-&quot;??_);_(@_)">
                  <c:v>180.31189083820664</c:v>
                </c:pt>
                <c:pt idx="2501" formatCode="_(&quot;$&quot;* #,##0.00_);_(&quot;$&quot;* \(#,##0.00\);_(&quot;$&quot;* &quot;-&quot;??_);_(@_)">
                  <c:v>184.60019743336625</c:v>
                </c:pt>
                <c:pt idx="2502" formatCode="_(&quot;$&quot;* #,##0.00_);_(&quot;$&quot;* \(#,##0.00\);_(&quot;$&quot;* &quot;-&quot;??_);_(@_)">
                  <c:v>127.55798090040928</c:v>
                </c:pt>
                <c:pt idx="2503" formatCode="_(&quot;$&quot;* #,##0.00_);_(&quot;$&quot;* \(#,##0.00\);_(&quot;$&quot;* &quot;-&quot;??_);_(@_)">
                  <c:v>133.1908831908832</c:v>
                </c:pt>
                <c:pt idx="2504" formatCode="_(&quot;$&quot;* #,##0.00_);_(&quot;$&quot;* \(#,##0.00\);_(&quot;$&quot;* &quot;-&quot;??_);_(@_)">
                  <c:v>156.66666666666666</c:v>
                </c:pt>
                <c:pt idx="2505" formatCode="_(&quot;$&quot;* #,##0.00_);_(&quot;$&quot;* \(#,##0.00\);_(&quot;$&quot;* &quot;-&quot;??_);_(@_)">
                  <c:v>186.69314796425024</c:v>
                </c:pt>
                <c:pt idx="2506" formatCode="_(&quot;$&quot;* #,##0.00_);_(&quot;$&quot;* \(#,##0.00\);_(&quot;$&quot;* &quot;-&quot;??_);_(@_)">
                  <c:v>207.76805251641139</c:v>
                </c:pt>
                <c:pt idx="2507" formatCode="_(&quot;$&quot;* #,##0.00_);_(&quot;$&quot;* \(#,##0.00\);_(&quot;$&quot;* &quot;-&quot;??_);_(@_)">
                  <c:v>140.66666666666666</c:v>
                </c:pt>
                <c:pt idx="2508" formatCode="_(&quot;$&quot;* #,##0.00_);_(&quot;$&quot;* \(#,##0.00\);_(&quot;$&quot;* &quot;-&quot;??_);_(@_)">
                  <c:v>190</c:v>
                </c:pt>
                <c:pt idx="2509" formatCode="_(&quot;$&quot;* #,##0.00_);_(&quot;$&quot;* \(#,##0.00\);_(&quot;$&quot;* &quot;-&quot;??_);_(@_)">
                  <c:v>174.47199265381084</c:v>
                </c:pt>
                <c:pt idx="2510" formatCode="_(&quot;$&quot;* #,##0.00_);_(&quot;$&quot;* \(#,##0.00\);_(&quot;$&quot;* &quot;-&quot;??_);_(@_)">
                  <c:v>128.37837837837839</c:v>
                </c:pt>
                <c:pt idx="2511" formatCode="_(&quot;$&quot;* #,##0.00_);_(&quot;$&quot;* \(#,##0.00\);_(&quot;$&quot;* &quot;-&quot;??_);_(@_)">
                  <c:v>166.66666666666666</c:v>
                </c:pt>
                <c:pt idx="2512" formatCode="_(&quot;$&quot;* #,##0.00_);_(&quot;$&quot;* \(#,##0.00\);_(&quot;$&quot;* &quot;-&quot;??_);_(@_)">
                  <c:v>204.30107526881721</c:v>
                </c:pt>
                <c:pt idx="2513" formatCode="_(&quot;$&quot;* #,##0.00_);_(&quot;$&quot;* \(#,##0.00\);_(&quot;$&quot;* &quot;-&quot;??_);_(@_)">
                  <c:v>107.74410774410775</c:v>
                </c:pt>
                <c:pt idx="2514" formatCode="_(&quot;$&quot;* #,##0.00_);_(&quot;$&quot;* \(#,##0.00\);_(&quot;$&quot;* &quot;-&quot;??_);_(@_)">
                  <c:v>183.8095238095238</c:v>
                </c:pt>
                <c:pt idx="2515" formatCode="_(&quot;$&quot;* #,##0.00_);_(&quot;$&quot;* \(#,##0.00\);_(&quot;$&quot;* &quot;-&quot;??_);_(@_)">
                  <c:v>129.09698996655518</c:v>
                </c:pt>
                <c:pt idx="2516" formatCode="_(&quot;$&quot;* #,##0.00_);_(&quot;$&quot;* \(#,##0.00\);_(&quot;$&quot;* &quot;-&quot;??_);_(@_)">
                  <c:v>193</c:v>
                </c:pt>
                <c:pt idx="2517" formatCode="_(&quot;$&quot;* #,##0.00_);_(&quot;$&quot;* \(#,##0.00\);_(&quot;$&quot;* &quot;-&quot;??_);_(@_)">
                  <c:v>213.1868131868132</c:v>
                </c:pt>
                <c:pt idx="2518" formatCode="_(&quot;$&quot;* #,##0.00_);_(&quot;$&quot;* \(#,##0.00\);_(&quot;$&quot;* &quot;-&quot;??_);_(@_)">
                  <c:v>185.59160305343511</c:v>
                </c:pt>
                <c:pt idx="2519" formatCode="_(&quot;$&quot;* #,##0.00_);_(&quot;$&quot;* \(#,##0.00\);_(&quot;$&quot;* &quot;-&quot;??_);_(@_)">
                  <c:v>195</c:v>
                </c:pt>
                <c:pt idx="2520" formatCode="_(&quot;$&quot;* #,##0.00_);_(&quot;$&quot;* \(#,##0.00\);_(&quot;$&quot;* &quot;-&quot;??_);_(@_)">
                  <c:v>203.125</c:v>
                </c:pt>
                <c:pt idx="2521" formatCode="_(&quot;$&quot;* #,##0.00_);_(&quot;$&quot;* \(#,##0.00\);_(&quot;$&quot;* &quot;-&quot;??_);_(@_)">
                  <c:v>203.125</c:v>
                </c:pt>
                <c:pt idx="2522" formatCode="_(&quot;$&quot;* #,##0.00_);_(&quot;$&quot;* \(#,##0.00\);_(&quot;$&quot;* &quot;-&quot;??_);_(@_)">
                  <c:v>176.15176151761517</c:v>
                </c:pt>
                <c:pt idx="2523" formatCode="_(&quot;$&quot;* #,##0.00_);_(&quot;$&quot;* \(#,##0.00\);_(&quot;$&quot;* &quot;-&quot;??_);_(@_)">
                  <c:v>125.96899224806202</c:v>
                </c:pt>
                <c:pt idx="2524" formatCode="_(&quot;$&quot;* #,##0.00_);_(&quot;$&quot;* \(#,##0.00\);_(&quot;$&quot;* &quot;-&quot;??_);_(@_)">
                  <c:v>177.27272727272728</c:v>
                </c:pt>
                <c:pt idx="2525" formatCode="_(&quot;$&quot;* #,##0.00_);_(&quot;$&quot;* \(#,##0.00\);_(&quot;$&quot;* &quot;-&quot;??_);_(@_)">
                  <c:v>125.88766946417043</c:v>
                </c:pt>
                <c:pt idx="2526" formatCode="_(&quot;$&quot;* #,##0.00_);_(&quot;$&quot;* \(#,##0.00\);_(&quot;$&quot;* &quot;-&quot;??_);_(@_)">
                  <c:v>196</c:v>
                </c:pt>
                <c:pt idx="2527" formatCode="_(&quot;$&quot;* #,##0.00_);_(&quot;$&quot;* \(#,##0.00\);_(&quot;$&quot;* &quot;-&quot;??_);_(@_)">
                  <c:v>130.23255813953489</c:v>
                </c:pt>
                <c:pt idx="2528" formatCode="_(&quot;$&quot;* #,##0.00_);_(&quot;$&quot;* \(#,##0.00\);_(&quot;$&quot;* &quot;-&quot;??_);_(@_)">
                  <c:v>211.8918918918919</c:v>
                </c:pt>
                <c:pt idx="2529" formatCode="_(&quot;$&quot;* #,##0.00_);_(&quot;$&quot;* \(#,##0.00\);_(&quot;$&quot;* &quot;-&quot;??_);_(@_)">
                  <c:v>206.71563483735571</c:v>
                </c:pt>
                <c:pt idx="2530" formatCode="_(&quot;$&quot;* #,##0.00_);_(&quot;$&quot;* \(#,##0.00\);_(&quot;$&quot;* &quot;-&quot;??_);_(@_)">
                  <c:v>193.43780607247797</c:v>
                </c:pt>
                <c:pt idx="2531" formatCode="_(&quot;$&quot;* #,##0.00_);_(&quot;$&quot;* \(#,##0.00\);_(&quot;$&quot;* &quot;-&quot;??_);_(@_)">
                  <c:v>188.0952380952381</c:v>
                </c:pt>
                <c:pt idx="2532" formatCode="_(&quot;$&quot;* #,##0.00_);_(&quot;$&quot;* \(#,##0.00\);_(&quot;$&quot;* &quot;-&quot;??_);_(@_)">
                  <c:v>169.08625106746371</c:v>
                </c:pt>
                <c:pt idx="2533" formatCode="_(&quot;$&quot;* #,##0.00_);_(&quot;$&quot;* \(#,##0.00\);_(&quot;$&quot;* &quot;-&quot;??_);_(@_)">
                  <c:v>175.3764393268379</c:v>
                </c:pt>
                <c:pt idx="2534" formatCode="_(&quot;$&quot;* #,##0.00_);_(&quot;$&quot;* \(#,##0.00\);_(&quot;$&quot;* &quot;-&quot;??_);_(@_)">
                  <c:v>188.76190476190476</c:v>
                </c:pt>
                <c:pt idx="2535" formatCode="_(&quot;$&quot;* #,##0.00_);_(&quot;$&quot;* \(#,##0.00\);_(&quot;$&quot;* &quot;-&quot;??_);_(@_)">
                  <c:v>148.0654761904762</c:v>
                </c:pt>
                <c:pt idx="2536" formatCode="_(&quot;$&quot;* #,##0.00_);_(&quot;$&quot;* \(#,##0.00\);_(&quot;$&quot;* &quot;-&quot;??_);_(@_)">
                  <c:v>199</c:v>
                </c:pt>
                <c:pt idx="2537" formatCode="_(&quot;$&quot;* #,##0.00_);_(&quot;$&quot;* \(#,##0.00\);_(&quot;$&quot;* &quot;-&quot;??_);_(@_)">
                  <c:v>160.17628205128204</c:v>
                </c:pt>
                <c:pt idx="2538" formatCode="_(&quot;$&quot;* #,##0.00_);_(&quot;$&quot;* \(#,##0.00\);_(&quot;$&quot;* &quot;-&quot;??_);_(@_)">
                  <c:v>170.12765957446808</c:v>
                </c:pt>
                <c:pt idx="2539" formatCode="_(&quot;$&quot;* #,##0.00_);_(&quot;$&quot;* \(#,##0.00\);_(&quot;$&quot;* &quot;-&quot;??_);_(@_)">
                  <c:v>216.21513513513514</c:v>
                </c:pt>
                <c:pt idx="2540" formatCode="_(&quot;$&quot;* #,##0.00_);_(&quot;$&quot;* \(#,##0.00\);_(&quot;$&quot;* &quot;-&quot;??_);_(@_)">
                  <c:v>191.38755980861245</c:v>
                </c:pt>
                <c:pt idx="2541" formatCode="_(&quot;$&quot;* #,##0.00_);_(&quot;$&quot;* \(#,##0.00\);_(&quot;$&quot;* &quot;-&quot;??_);_(@_)">
                  <c:v>110.86474501108647</c:v>
                </c:pt>
                <c:pt idx="2542" formatCode="_(&quot;$&quot;* #,##0.00_);_(&quot;$&quot;* \(#,##0.00\);_(&quot;$&quot;* &quot;-&quot;??_);_(@_)">
                  <c:v>185.87360594795538</c:v>
                </c:pt>
                <c:pt idx="2543" formatCode="_(&quot;$&quot;* #,##0.00_);_(&quot;$&quot;* \(#,##0.00\);_(&quot;$&quot;* &quot;-&quot;??_);_(@_)">
                  <c:v>147.60147601476015</c:v>
                </c:pt>
                <c:pt idx="2544" formatCode="_(&quot;$&quot;* #,##0.00_);_(&quot;$&quot;* \(#,##0.00\);_(&quot;$&quot;* &quot;-&quot;??_);_(@_)">
                  <c:v>191.38755980861245</c:v>
                </c:pt>
                <c:pt idx="2545" formatCode="_(&quot;$&quot;* #,##0.00_);_(&quot;$&quot;* \(#,##0.00\);_(&quot;$&quot;* &quot;-&quot;??_);_(@_)">
                  <c:v>124.84394506866417</c:v>
                </c:pt>
                <c:pt idx="2546" formatCode="_(&quot;$&quot;* #,##0.00_);_(&quot;$&quot;* \(#,##0.00\);_(&quot;$&quot;* &quot;-&quot;??_);_(@_)">
                  <c:v>207.68431983385256</c:v>
                </c:pt>
                <c:pt idx="2547" formatCode="_(&quot;$&quot;* #,##0.00_);_(&quot;$&quot;* \(#,##0.00\);_(&quot;$&quot;* &quot;-&quot;??_);_(@_)">
                  <c:v>197.23865877712032</c:v>
                </c:pt>
                <c:pt idx="2548" formatCode="_(&quot;$&quot;* #,##0.00_);_(&quot;$&quot;* \(#,##0.00\);_(&quot;$&quot;* &quot;-&quot;??_);_(@_)">
                  <c:v>190.11406844106463</c:v>
                </c:pt>
                <c:pt idx="2549" formatCode="_(&quot;$&quot;* #,##0.00_);_(&quot;$&quot;* \(#,##0.00\);_(&quot;$&quot;* &quot;-&quot;??_);_(@_)">
                  <c:v>186.56716417910448</c:v>
                </c:pt>
                <c:pt idx="2550" formatCode="_(&quot;$&quot;* #,##0.00_);_(&quot;$&quot;* \(#,##0.00\);_(&quot;$&quot;* &quot;-&quot;??_);_(@_)">
                  <c:v>219.2982456140351</c:v>
                </c:pt>
                <c:pt idx="2551" formatCode="_(&quot;$&quot;* #,##0.00_);_(&quot;$&quot;* \(#,##0.00\);_(&quot;$&quot;* &quot;-&quot;??_);_(@_)">
                  <c:v>204.08163265306123</c:v>
                </c:pt>
                <c:pt idx="2552" formatCode="_(&quot;$&quot;* #,##0.00_);_(&quot;$&quot;* \(#,##0.00\);_(&quot;$&quot;* &quot;-&quot;??_);_(@_)">
                  <c:v>140.0560224089636</c:v>
                </c:pt>
                <c:pt idx="2553" formatCode="_(&quot;$&quot;* #,##0.00_);_(&quot;$&quot;* \(#,##0.00\);_(&quot;$&quot;* &quot;-&quot;??_);_(@_)">
                  <c:v>200</c:v>
                </c:pt>
                <c:pt idx="2554" formatCode="_(&quot;$&quot;* #,##0.00_);_(&quot;$&quot;* \(#,##0.00\);_(&quot;$&quot;* &quot;-&quot;??_);_(@_)">
                  <c:v>134.95276653171391</c:v>
                </c:pt>
                <c:pt idx="2555" formatCode="_(&quot;$&quot;* #,##0.00_);_(&quot;$&quot;* \(#,##0.00\);_(&quot;$&quot;* &quot;-&quot;??_);_(@_)">
                  <c:v>208.33333333333334</c:v>
                </c:pt>
                <c:pt idx="2556" formatCode="_(&quot;$&quot;* #,##0.00_);_(&quot;$&quot;* \(#,##0.00\);_(&quot;$&quot;* &quot;-&quot;??_);_(@_)">
                  <c:v>143.67816091954023</c:v>
                </c:pt>
                <c:pt idx="2557" formatCode="_(&quot;$&quot;* #,##0.00_);_(&quot;$&quot;* \(#,##0.00\);_(&quot;$&quot;* &quot;-&quot;??_);_(@_)">
                  <c:v>220.75055187637969</c:v>
                </c:pt>
                <c:pt idx="2558" formatCode="_(&quot;$&quot;* #,##0.00_);_(&quot;$&quot;* \(#,##0.00\);_(&quot;$&quot;* &quot;-&quot;??_);_(@_)">
                  <c:v>118.76484560570071</c:v>
                </c:pt>
                <c:pt idx="2559" formatCode="_(&quot;$&quot;* #,##0.00_);_(&quot;$&quot;* \(#,##0.00\);_(&quot;$&quot;* &quot;-&quot;??_);_(@_)">
                  <c:v>216.21621621621622</c:v>
                </c:pt>
                <c:pt idx="2560" formatCode="_(&quot;$&quot;* #,##0.00_);_(&quot;$&quot;* \(#,##0.00\);_(&quot;$&quot;* &quot;-&quot;??_);_(@_)">
                  <c:v>150.15015015015015</c:v>
                </c:pt>
                <c:pt idx="2561" formatCode="_(&quot;$&quot;* #,##0.00_);_(&quot;$&quot;* \(#,##0.00\);_(&quot;$&quot;* &quot;-&quot;??_);_(@_)">
                  <c:v>124.84394506866417</c:v>
                </c:pt>
                <c:pt idx="2562" formatCode="_(&quot;$&quot;* #,##0.00_);_(&quot;$&quot;* \(#,##0.00\);_(&quot;$&quot;* &quot;-&quot;??_);_(@_)">
                  <c:v>183.65472910927457</c:v>
                </c:pt>
                <c:pt idx="2563" formatCode="_(&quot;$&quot;* #,##0.00_);_(&quot;$&quot;* \(#,##0.00\);_(&quot;$&quot;* &quot;-&quot;??_);_(@_)">
                  <c:v>187.55803156917364</c:v>
                </c:pt>
                <c:pt idx="2564" formatCode="_(&quot;$&quot;* #,##0.00_);_(&quot;$&quot;* \(#,##0.00\);_(&quot;$&quot;* &quot;-&quot;??_);_(@_)">
                  <c:v>187.03703703703704</c:v>
                </c:pt>
                <c:pt idx="2565" formatCode="_(&quot;$&quot;* #,##0.00_);_(&quot;$&quot;* \(#,##0.00\);_(&quot;$&quot;* &quot;-&quot;??_);_(@_)">
                  <c:v>187.03703703703704</c:v>
                </c:pt>
                <c:pt idx="2566" formatCode="_(&quot;$&quot;* #,##0.00_);_(&quot;$&quot;* \(#,##0.00\);_(&quot;$&quot;* &quot;-&quot;??_);_(@_)">
                  <c:v>190.20715630885121</c:v>
                </c:pt>
                <c:pt idx="2567" formatCode="_(&quot;$&quot;* #,##0.00_);_(&quot;$&quot;* \(#,##0.00\);_(&quot;$&quot;* &quot;-&quot;??_);_(@_)">
                  <c:v>176.98343504795119</c:v>
                </c:pt>
                <c:pt idx="2568" formatCode="_(&quot;$&quot;* #,##0.00_);_(&quot;$&quot;* \(#,##0.00\);_(&quot;$&quot;* &quot;-&quot;??_);_(@_)">
                  <c:v>194.28571428571428</c:v>
                </c:pt>
                <c:pt idx="2569" formatCode="_(&quot;$&quot;* #,##0.00_);_(&quot;$&quot;* \(#,##0.00\);_(&quot;$&quot;* &quot;-&quot;??_);_(@_)">
                  <c:v>251.10294117647058</c:v>
                </c:pt>
                <c:pt idx="2570" formatCode="_(&quot;$&quot;* #,##0.00_);_(&quot;$&quot;* \(#,##0.00\);_(&quot;$&quot;* &quot;-&quot;??_);_(@_)">
                  <c:v>164.18269230769232</c:v>
                </c:pt>
                <c:pt idx="2571" formatCode="_(&quot;$&quot;* #,##0.00_);_(&quot;$&quot;* \(#,##0.00\);_(&quot;$&quot;* &quot;-&quot;??_);_(@_)">
                  <c:v>133.11688311688312</c:v>
                </c:pt>
                <c:pt idx="2572" formatCode="_(&quot;$&quot;* #,##0.00_);_(&quot;$&quot;* \(#,##0.00\);_(&quot;$&quot;* &quot;-&quot;??_);_(@_)">
                  <c:v>190.87523277467412</c:v>
                </c:pt>
                <c:pt idx="2573" formatCode="_(&quot;$&quot;* #,##0.00_);_(&quot;$&quot;* \(#,##0.00\);_(&quot;$&quot;* &quot;-&quot;??_);_(@_)">
                  <c:v>214.43514644351464</c:v>
                </c:pt>
                <c:pt idx="2574" formatCode="_(&quot;$&quot;* #,##0.00_);_(&quot;$&quot;* \(#,##0.00\);_(&quot;$&quot;* &quot;-&quot;??_);_(@_)">
                  <c:v>213.54166666666666</c:v>
                </c:pt>
                <c:pt idx="2575" formatCode="_(&quot;$&quot;* #,##0.00_);_(&quot;$&quot;* \(#,##0.00\);_(&quot;$&quot;* &quot;-&quot;??_);_(@_)">
                  <c:v>207.28008088978765</c:v>
                </c:pt>
                <c:pt idx="2576" formatCode="_(&quot;$&quot;* #,##0.00_);_(&quot;$&quot;* \(#,##0.00\);_(&quot;$&quot;* &quot;-&quot;??_);_(@_)">
                  <c:v>175.81475128644939</c:v>
                </c:pt>
                <c:pt idx="2577" formatCode="_(&quot;$&quot;* #,##0.00_);_(&quot;$&quot;* \(#,##0.00\);_(&quot;$&quot;* &quot;-&quot;??_);_(@_)">
                  <c:v>177.48917748917748</c:v>
                </c:pt>
                <c:pt idx="2578" formatCode="_(&quot;$&quot;* #,##0.00_);_(&quot;$&quot;* \(#,##0.00\);_(&quot;$&quot;* &quot;-&quot;??_);_(@_)">
                  <c:v>219.95708154506437</c:v>
                </c:pt>
                <c:pt idx="2579" formatCode="_(&quot;$&quot;* #,##0.00_);_(&quot;$&quot;* \(#,##0.00\);_(&quot;$&quot;* &quot;-&quot;??_);_(@_)">
                  <c:v>128.125</c:v>
                </c:pt>
                <c:pt idx="2580" formatCode="_(&quot;$&quot;* #,##0.00_);_(&quot;$&quot;* \(#,##0.00\);_(&quot;$&quot;* &quot;-&quot;??_);_(@_)">
                  <c:v>208.54526958290947</c:v>
                </c:pt>
                <c:pt idx="2581" formatCode="_(&quot;$&quot;* #,##0.00_);_(&quot;$&quot;* \(#,##0.00\);_(&quot;$&quot;* &quot;-&quot;??_);_(@_)">
                  <c:v>196.73704414587331</c:v>
                </c:pt>
                <c:pt idx="2582" formatCode="_(&quot;$&quot;* #,##0.00_);_(&quot;$&quot;* \(#,##0.00\);_(&quot;$&quot;* &quot;-&quot;??_);_(@_)">
                  <c:v>205</c:v>
                </c:pt>
                <c:pt idx="2583" formatCode="_(&quot;$&quot;* #,##0.00_);_(&quot;$&quot;* \(#,##0.00\);_(&quot;$&quot;* &quot;-&quot;??_);_(@_)">
                  <c:v>161.98738170347002</c:v>
                </c:pt>
                <c:pt idx="2584" formatCode="_(&quot;$&quot;* #,##0.00_);_(&quot;$&quot;* \(#,##0.00\);_(&quot;$&quot;* &quot;-&quot;??_);_(@_)">
                  <c:v>186.08852755194218</c:v>
                </c:pt>
                <c:pt idx="2585" formatCode="_(&quot;$&quot;* #,##0.00_);_(&quot;$&quot;* \(#,##0.00\);_(&quot;$&quot;* &quot;-&quot;??_);_(@_)">
                  <c:v>207.5</c:v>
                </c:pt>
                <c:pt idx="2586" formatCode="_(&quot;$&quot;* #,##0.00_);_(&quot;$&quot;* \(#,##0.00\);_(&quot;$&quot;* &quot;-&quot;??_);_(@_)">
                  <c:v>204.1216879293425</c:v>
                </c:pt>
                <c:pt idx="2587" formatCode="_(&quot;$&quot;* #,##0.00_);_(&quot;$&quot;* \(#,##0.00\);_(&quot;$&quot;* &quot;-&quot;??_);_(@_)">
                  <c:v>231.11111111111111</c:v>
                </c:pt>
                <c:pt idx="2588" formatCode="_(&quot;$&quot;* #,##0.00_);_(&quot;$&quot;* \(#,##0.00\);_(&quot;$&quot;* &quot;-&quot;??_);_(@_)">
                  <c:v>207.34126984126985</c:v>
                </c:pt>
                <c:pt idx="2589" formatCode="_(&quot;$&quot;* #,##0.00_);_(&quot;$&quot;* \(#,##0.00\);_(&quot;$&quot;* &quot;-&quot;??_);_(@_)">
                  <c:v>215.02057613168725</c:v>
                </c:pt>
                <c:pt idx="2590" formatCode="_(&quot;$&quot;* #,##0.00_);_(&quot;$&quot;* \(#,##0.00\);_(&quot;$&quot;* &quot;-&quot;??_);_(@_)">
                  <c:v>62.44397968329848</c:v>
                </c:pt>
                <c:pt idx="2591" formatCode="_(&quot;$&quot;* #,##0.00_);_(&quot;$&quot;* \(#,##0.00\);_(&quot;$&quot;* &quot;-&quot;??_);_(@_)">
                  <c:v>191.3919413919414</c:v>
                </c:pt>
                <c:pt idx="2592" formatCode="_(&quot;$&quot;* #,##0.00_);_(&quot;$&quot;* \(#,##0.00\);_(&quot;$&quot;* &quot;-&quot;??_);_(@_)">
                  <c:v>203.7037037037037</c:v>
                </c:pt>
                <c:pt idx="2593" formatCode="_(&quot;$&quot;* #,##0.00_);_(&quot;$&quot;* \(#,##0.00\);_(&quot;$&quot;* &quot;-&quot;??_);_(@_)">
                  <c:v>144.33701657458565</c:v>
                </c:pt>
                <c:pt idx="2594" formatCode="_(&quot;$&quot;* #,##0.00_);_(&quot;$&quot;* \(#,##0.00\);_(&quot;$&quot;* &quot;-&quot;??_);_(@_)">
                  <c:v>196.99812382739211</c:v>
                </c:pt>
                <c:pt idx="2595" formatCode="_(&quot;$&quot;* #,##0.00_);_(&quot;$&quot;* \(#,##0.00\);_(&quot;$&quot;* &quot;-&quot;??_);_(@_)">
                  <c:v>145.22821576763485</c:v>
                </c:pt>
                <c:pt idx="2596" formatCode="_(&quot;$&quot;* #,##0.00_);_(&quot;$&quot;* \(#,##0.00\);_(&quot;$&quot;* &quot;-&quot;??_);_(@_)">
                  <c:v>180.87855297157623</c:v>
                </c:pt>
                <c:pt idx="2597" formatCode="_(&quot;$&quot;* #,##0.00_);_(&quot;$&quot;* \(#,##0.00\);_(&quot;$&quot;* &quot;-&quot;??_);_(@_)">
                  <c:v>161.53846153846155</c:v>
                </c:pt>
                <c:pt idx="2598" formatCode="_(&quot;$&quot;* #,##0.00_);_(&quot;$&quot;* \(#,##0.00\);_(&quot;$&quot;* &quot;-&quot;??_);_(@_)">
                  <c:v>190.90909090909091</c:v>
                </c:pt>
                <c:pt idx="2599" formatCode="_(&quot;$&quot;* #,##0.00_);_(&quot;$&quot;* \(#,##0.00\);_(&quot;$&quot;* &quot;-&quot;??_);_(@_)">
                  <c:v>129.62962962962962</c:v>
                </c:pt>
                <c:pt idx="2600" formatCode="_(&quot;$&quot;* #,##0.00_);_(&quot;$&quot;* \(#,##0.00\);_(&quot;$&quot;* &quot;-&quot;??_);_(@_)">
                  <c:v>114.62882096069869</c:v>
                </c:pt>
                <c:pt idx="2601" formatCode="_(&quot;$&quot;* #,##0.00_);_(&quot;$&quot;* \(#,##0.00\);_(&quot;$&quot;* &quot;-&quot;??_);_(@_)">
                  <c:v>143.73716632443532</c:v>
                </c:pt>
                <c:pt idx="2602" formatCode="_(&quot;$&quot;* #,##0.00_);_(&quot;$&quot;* \(#,##0.00\);_(&quot;$&quot;* &quot;-&quot;??_);_(@_)">
                  <c:v>170.73170731707316</c:v>
                </c:pt>
                <c:pt idx="2603" formatCode="_(&quot;$&quot;* #,##0.00_);_(&quot;$&quot;* \(#,##0.00\);_(&quot;$&quot;* &quot;-&quot;??_);_(@_)">
                  <c:v>149.14772727272728</c:v>
                </c:pt>
                <c:pt idx="2604" formatCode="_(&quot;$&quot;* #,##0.00_);_(&quot;$&quot;* \(#,##0.00\);_(&quot;$&quot;* &quot;-&quot;??_);_(@_)">
                  <c:v>176.61900756938604</c:v>
                </c:pt>
                <c:pt idx="2605" formatCode="_(&quot;$&quot;* #,##0.00_);_(&quot;$&quot;* \(#,##0.00\);_(&quot;$&quot;* &quot;-&quot;??_);_(@_)">
                  <c:v>108.86469673405909</c:v>
                </c:pt>
                <c:pt idx="2606" formatCode="_(&quot;$&quot;* #,##0.00_);_(&quot;$&quot;* \(#,##0.00\);_(&quot;$&quot;* &quot;-&quot;??_);_(@_)">
                  <c:v>161.29032258064515</c:v>
                </c:pt>
                <c:pt idx="2607" formatCode="_(&quot;$&quot;* #,##0.00_);_(&quot;$&quot;* \(#,##0.00\);_(&quot;$&quot;* &quot;-&quot;??_);_(@_)">
                  <c:v>135.04823151125402</c:v>
                </c:pt>
                <c:pt idx="2608" formatCode="_(&quot;$&quot;* #,##0.00_);_(&quot;$&quot;* \(#,##0.00\);_(&quot;$&quot;* &quot;-&quot;??_);_(@_)">
                  <c:v>204.67836257309941</c:v>
                </c:pt>
                <c:pt idx="2609" formatCode="_(&quot;$&quot;* #,##0.00_);_(&quot;$&quot;* \(#,##0.00\);_(&quot;$&quot;* &quot;-&quot;??_);_(@_)">
                  <c:v>175</c:v>
                </c:pt>
                <c:pt idx="2610" formatCode="_(&quot;$&quot;* #,##0.00_);_(&quot;$&quot;* \(#,##0.00\);_(&quot;$&quot;* &quot;-&quot;??_);_(@_)">
                  <c:v>187.33273862622659</c:v>
                </c:pt>
                <c:pt idx="2611" formatCode="_(&quot;$&quot;* #,##0.00_);_(&quot;$&quot;* \(#,##0.00\);_(&quot;$&quot;* &quot;-&quot;??_);_(@_)">
                  <c:v>178.4197111299915</c:v>
                </c:pt>
                <c:pt idx="2612" formatCode="_(&quot;$&quot;* #,##0.00_);_(&quot;$&quot;* \(#,##0.00\);_(&quot;$&quot;* &quot;-&quot;??_);_(@_)">
                  <c:v>162.7906976744186</c:v>
                </c:pt>
                <c:pt idx="2613" formatCode="_(&quot;$&quot;* #,##0.00_);_(&quot;$&quot;* \(#,##0.00\);_(&quot;$&quot;* &quot;-&quot;??_);_(@_)">
                  <c:v>203.29138431752179</c:v>
                </c:pt>
                <c:pt idx="2614" formatCode="_(&quot;$&quot;* #,##0.00_);_(&quot;$&quot;* \(#,##0.00\);_(&quot;$&quot;* &quot;-&quot;??_);_(@_)">
                  <c:v>225.80645161290323</c:v>
                </c:pt>
                <c:pt idx="2615" formatCode="_(&quot;$&quot;* #,##0.00_);_(&quot;$&quot;* \(#,##0.00\);_(&quot;$&quot;* &quot;-&quot;??_);_(@_)">
                  <c:v>123.52941176470588</c:v>
                </c:pt>
                <c:pt idx="2616" formatCode="_(&quot;$&quot;* #,##0.00_);_(&quot;$&quot;* \(#,##0.00\);_(&quot;$&quot;* &quot;-&quot;??_);_(@_)">
                  <c:v>94.564240790655887</c:v>
                </c:pt>
                <c:pt idx="2617" formatCode="_(&quot;$&quot;* #,##0.00_);_(&quot;$&quot;* \(#,##0.00\);_(&quot;$&quot;* &quot;-&quot;??_);_(@_)">
                  <c:v>159.12518853695323</c:v>
                </c:pt>
                <c:pt idx="2618" formatCode="_(&quot;$&quot;* #,##0.00_);_(&quot;$&quot;* \(#,##0.00\);_(&quot;$&quot;* &quot;-&quot;??_);_(@_)">
                  <c:v>192.69406392694063</c:v>
                </c:pt>
                <c:pt idx="2619" formatCode="_(&quot;$&quot;* #,##0.00_);_(&quot;$&quot;* \(#,##0.00\);_(&quot;$&quot;* &quot;-&quot;??_);_(@_)">
                  <c:v>158.8855421686747</c:v>
                </c:pt>
                <c:pt idx="2620" formatCode="_(&quot;$&quot;* #,##0.00_);_(&quot;$&quot;* \(#,##0.00\);_(&quot;$&quot;* &quot;-&quot;??_);_(@_)">
                  <c:v>191.92377495462796</c:v>
                </c:pt>
                <c:pt idx="2621" formatCode="_(&quot;$&quot;* #,##0.00_);_(&quot;$&quot;* \(#,##0.00\);_(&quot;$&quot;* &quot;-&quot;??_);_(@_)">
                  <c:v>212</c:v>
                </c:pt>
                <c:pt idx="2622" formatCode="_(&quot;$&quot;* #,##0.00_);_(&quot;$&quot;* \(#,##0.00\);_(&quot;$&quot;* &quot;-&quot;??_);_(@_)">
                  <c:v>158.44544095665171</c:v>
                </c:pt>
                <c:pt idx="2623" formatCode="_(&quot;$&quot;* #,##0.00_);_(&quot;$&quot;* \(#,##0.00\);_(&quot;$&quot;* &quot;-&quot;??_);_(@_)">
                  <c:v>141.71656686626747</c:v>
                </c:pt>
                <c:pt idx="2624" formatCode="_(&quot;$&quot;* #,##0.00_);_(&quot;$&quot;* \(#,##0.00\);_(&quot;$&quot;* &quot;-&quot;??_);_(@_)">
                  <c:v>145.6908344733242</c:v>
                </c:pt>
                <c:pt idx="2625" formatCode="_(&quot;$&quot;* #,##0.00_);_(&quot;$&quot;* \(#,##0.00\);_(&quot;$&quot;* &quot;-&quot;??_);_(@_)">
                  <c:v>151.88612099644129</c:v>
                </c:pt>
                <c:pt idx="2626" formatCode="_(&quot;$&quot;* #,##0.00_);_(&quot;$&quot;* \(#,##0.00\);_(&quot;$&quot;* &quot;-&quot;??_);_(@_)">
                  <c:v>180.43844856661045</c:v>
                </c:pt>
                <c:pt idx="2627" formatCode="_(&quot;$&quot;* #,##0.00_);_(&quot;$&quot;* \(#,##0.00\);_(&quot;$&quot;* &quot;-&quot;??_);_(@_)">
                  <c:v>204.95710200190658</c:v>
                </c:pt>
                <c:pt idx="2628" formatCode="_(&quot;$&quot;* #,##0.00_);_(&quot;$&quot;* \(#,##0.00\);_(&quot;$&quot;* &quot;-&quot;??_);_(@_)">
                  <c:v>148.48066298342542</c:v>
                </c:pt>
                <c:pt idx="2629" formatCode="_(&quot;$&quot;* #,##0.00_);_(&quot;$&quot;* \(#,##0.00\);_(&quot;$&quot;* &quot;-&quot;??_);_(@_)">
                  <c:v>122.71689497716895</c:v>
                </c:pt>
                <c:pt idx="2630" formatCode="_(&quot;$&quot;* #,##0.00_);_(&quot;$&quot;* \(#,##0.00\);_(&quot;$&quot;* &quot;-&quot;??_);_(@_)">
                  <c:v>187.93706293706293</c:v>
                </c:pt>
                <c:pt idx="2631" formatCode="_(&quot;$&quot;* #,##0.00_);_(&quot;$&quot;* \(#,##0.00\);_(&quot;$&quot;* &quot;-&quot;??_);_(@_)">
                  <c:v>211.40609636184857</c:v>
                </c:pt>
                <c:pt idx="2632" formatCode="_(&quot;$&quot;* #,##0.00_);_(&quot;$&quot;* \(#,##0.00\);_(&quot;$&quot;* &quot;-&quot;??_);_(@_)">
                  <c:v>215</c:v>
                </c:pt>
                <c:pt idx="2633" formatCode="_(&quot;$&quot;* #,##0.00_);_(&quot;$&quot;* \(#,##0.00\);_(&quot;$&quot;* &quot;-&quot;??_);_(@_)">
                  <c:v>136.07594936708861</c:v>
                </c:pt>
                <c:pt idx="2634" formatCode="_(&quot;$&quot;* #,##0.00_);_(&quot;$&quot;* \(#,##0.00\);_(&quot;$&quot;* &quot;-&quot;??_);_(@_)">
                  <c:v>224.89539748953976</c:v>
                </c:pt>
                <c:pt idx="2635" formatCode="_(&quot;$&quot;* #,##0.00_);_(&quot;$&quot;* \(#,##0.00\);_(&quot;$&quot;* &quot;-&quot;??_);_(@_)">
                  <c:v>181.89509306260575</c:v>
                </c:pt>
                <c:pt idx="2636" formatCode="_(&quot;$&quot;* #,##0.00_);_(&quot;$&quot;* \(#,##0.00\);_(&quot;$&quot;* &quot;-&quot;??_);_(@_)">
                  <c:v>188.10148731408574</c:v>
                </c:pt>
                <c:pt idx="2637" formatCode="_(&quot;$&quot;* #,##0.00_);_(&quot;$&quot;* \(#,##0.00\);_(&quot;$&quot;* &quot;-&quot;??_);_(@_)">
                  <c:v>193.86834986474301</c:v>
                </c:pt>
                <c:pt idx="2638" formatCode="_(&quot;$&quot;* #,##0.00_);_(&quot;$&quot;* \(#,##0.00\);_(&quot;$&quot;* &quot;-&quot;??_);_(@_)">
                  <c:v>194.39421338155515</c:v>
                </c:pt>
                <c:pt idx="2639" formatCode="_(&quot;$&quot;* #,##0.00_);_(&quot;$&quot;* \(#,##0.00\);_(&quot;$&quot;* &quot;-&quot;??_);_(@_)">
                  <c:v>132.71604938271605</c:v>
                </c:pt>
                <c:pt idx="2640" formatCode="_(&quot;$&quot;* #,##0.00_);_(&quot;$&quot;* \(#,##0.00\);_(&quot;$&quot;* &quot;-&quot;??_);_(@_)">
                  <c:v>142.00792602377808</c:v>
                </c:pt>
                <c:pt idx="2641" formatCode="_(&quot;$&quot;* #,##0.00_);_(&quot;$&quot;* \(#,##0.00\);_(&quot;$&quot;* &quot;-&quot;??_);_(@_)">
                  <c:v>192.65232974910396</c:v>
                </c:pt>
                <c:pt idx="2642" formatCode="_(&quot;$&quot;* #,##0.00_);_(&quot;$&quot;* \(#,##0.00\);_(&quot;$&quot;* &quot;-&quot;??_);_(@_)">
                  <c:v>122.85714285714286</c:v>
                </c:pt>
                <c:pt idx="2643" formatCode="_(&quot;$&quot;* #,##0.00_);_(&quot;$&quot;* \(#,##0.00\);_(&quot;$&quot;* &quot;-&quot;??_);_(@_)">
                  <c:v>187.82608695652175</c:v>
                </c:pt>
                <c:pt idx="2644" formatCode="_(&quot;$&quot;* #,##0.00_);_(&quot;$&quot;* \(#,##0.00\);_(&quot;$&quot;* &quot;-&quot;??_);_(@_)">
                  <c:v>165.64417177914112</c:v>
                </c:pt>
                <c:pt idx="2645" formatCode="_(&quot;$&quot;* #,##0.00_);_(&quot;$&quot;* \(#,##0.00\);_(&quot;$&quot;* &quot;-&quot;??_);_(@_)">
                  <c:v>216.5</c:v>
                </c:pt>
                <c:pt idx="2646" formatCode="_(&quot;$&quot;* #,##0.00_);_(&quot;$&quot;* \(#,##0.00\);_(&quot;$&quot;* &quot;-&quot;??_);_(@_)">
                  <c:v>140.46692607003891</c:v>
                </c:pt>
                <c:pt idx="2647" formatCode="_(&quot;$&quot;* #,##0.00_);_(&quot;$&quot;* \(#,##0.00\);_(&quot;$&quot;* &quot;-&quot;??_);_(@_)">
                  <c:v>189.02439024390245</c:v>
                </c:pt>
                <c:pt idx="2648" formatCode="_(&quot;$&quot;* #,##0.00_);_(&quot;$&quot;* \(#,##0.00\);_(&quot;$&quot;* &quot;-&quot;??_);_(@_)">
                  <c:v>201.86046511627907</c:v>
                </c:pt>
                <c:pt idx="2649" formatCode="_(&quot;$&quot;* #,##0.00_);_(&quot;$&quot;* \(#,##0.00\);_(&quot;$&quot;* &quot;-&quot;??_);_(@_)">
                  <c:v>144.51827242524917</c:v>
                </c:pt>
                <c:pt idx="2650" formatCode="_(&quot;$&quot;* #,##0.00_);_(&quot;$&quot;* \(#,##0.00\);_(&quot;$&quot;* &quot;-&quot;??_);_(@_)">
                  <c:v>167.69230769230768</c:v>
                </c:pt>
                <c:pt idx="2651" formatCode="_(&quot;$&quot;* #,##0.00_);_(&quot;$&quot;* \(#,##0.00\);_(&quot;$&quot;* &quot;-&quot;??_);_(@_)">
                  <c:v>178.98193760262726</c:v>
                </c:pt>
                <c:pt idx="2652" formatCode="_(&quot;$&quot;* #,##0.00_);_(&quot;$&quot;* \(#,##0.00\);_(&quot;$&quot;* &quot;-&quot;??_);_(@_)">
                  <c:v>198.18181818181819</c:v>
                </c:pt>
                <c:pt idx="2653" formatCode="_(&quot;$&quot;* #,##0.00_);_(&quot;$&quot;* \(#,##0.00\);_(&quot;$&quot;* &quot;-&quot;??_);_(@_)">
                  <c:v>88.689991863303504</c:v>
                </c:pt>
                <c:pt idx="2654" formatCode="_(&quot;$&quot;* #,##0.00_);_(&quot;$&quot;* \(#,##0.00\);_(&quot;$&quot;* &quot;-&quot;??_);_(@_)">
                  <c:v>231.74603174603175</c:v>
                </c:pt>
                <c:pt idx="2655" formatCode="_(&quot;$&quot;* #,##0.00_);_(&quot;$&quot;* \(#,##0.00\);_(&quot;$&quot;* &quot;-&quot;??_);_(@_)">
                  <c:v>190.26933101650738</c:v>
                </c:pt>
                <c:pt idx="2656" formatCode="_(&quot;$&quot;* #,##0.00_);_(&quot;$&quot;* \(#,##0.00\);_(&quot;$&quot;* &quot;-&quot;??_);_(@_)">
                  <c:v>226.00205549845839</c:v>
                </c:pt>
                <c:pt idx="2657" formatCode="_(&quot;$&quot;* #,##0.00_);_(&quot;$&quot;* \(#,##0.00\);_(&quot;$&quot;* &quot;-&quot;??_);_(@_)">
                  <c:v>191.21739130434781</c:v>
                </c:pt>
                <c:pt idx="2658" formatCode="_(&quot;$&quot;* #,##0.00_);_(&quot;$&quot;* \(#,##0.00\);_(&quot;$&quot;* &quot;-&quot;??_);_(@_)">
                  <c:v>195.03546099290782</c:v>
                </c:pt>
                <c:pt idx="2659" formatCode="_(&quot;$&quot;* #,##0.00_);_(&quot;$&quot;* \(#,##0.00\);_(&quot;$&quot;* &quot;-&quot;??_);_(@_)">
                  <c:v>254.62962962962962</c:v>
                </c:pt>
                <c:pt idx="2660" formatCode="_(&quot;$&quot;* #,##0.00_);_(&quot;$&quot;* \(#,##0.00\);_(&quot;$&quot;* &quot;-&quot;??_);_(@_)">
                  <c:v>175.43859649122808</c:v>
                </c:pt>
                <c:pt idx="2661" formatCode="_(&quot;$&quot;* #,##0.00_);_(&quot;$&quot;* \(#,##0.00\);_(&quot;$&quot;* &quot;-&quot;??_);_(@_)">
                  <c:v>196.42857142857142</c:v>
                </c:pt>
                <c:pt idx="2662" formatCode="_(&quot;$&quot;* #,##0.00_);_(&quot;$&quot;* \(#,##0.00\);_(&quot;$&quot;* &quot;-&quot;??_);_(@_)">
                  <c:v>152.77777777777777</c:v>
                </c:pt>
                <c:pt idx="2663" formatCode="_(&quot;$&quot;* #,##0.00_);_(&quot;$&quot;* \(#,##0.00\);_(&quot;$&quot;* &quot;-&quot;??_);_(@_)">
                  <c:v>215.26418786692759</c:v>
                </c:pt>
                <c:pt idx="2664" formatCode="_(&quot;$&quot;* #,##0.00_);_(&quot;$&quot;* \(#,##0.00\);_(&quot;$&quot;* &quot;-&quot;??_);_(@_)">
                  <c:v>170.80745341614906</c:v>
                </c:pt>
                <c:pt idx="2665" formatCode="_(&quot;$&quot;* #,##0.00_);_(&quot;$&quot;* \(#,##0.00\);_(&quot;$&quot;* &quot;-&quot;??_);_(@_)">
                  <c:v>171.606864274571</c:v>
                </c:pt>
                <c:pt idx="2666" formatCode="_(&quot;$&quot;* #,##0.00_);_(&quot;$&quot;* \(#,##0.00\);_(&quot;$&quot;* &quot;-&quot;??_);_(@_)">
                  <c:v>134.31013431013432</c:v>
                </c:pt>
                <c:pt idx="2667" formatCode="_(&quot;$&quot;* #,##0.00_);_(&quot;$&quot;* \(#,##0.00\);_(&quot;$&quot;* &quot;-&quot;??_);_(@_)">
                  <c:v>169.23076923076923</c:v>
                </c:pt>
                <c:pt idx="2668" formatCode="_(&quot;$&quot;* #,##0.00_);_(&quot;$&quot;* \(#,##0.00\);_(&quot;$&quot;* &quot;-&quot;??_);_(@_)">
                  <c:v>235.04273504273505</c:v>
                </c:pt>
                <c:pt idx="2669" formatCode="_(&quot;$&quot;* #,##0.00_);_(&quot;$&quot;* \(#,##0.00\);_(&quot;$&quot;* &quot;-&quot;??_);_(@_)">
                  <c:v>220</c:v>
                </c:pt>
                <c:pt idx="2670" formatCode="_(&quot;$&quot;* #,##0.00_);_(&quot;$&quot;* \(#,##0.00\);_(&quot;$&quot;* &quot;-&quot;??_);_(@_)">
                  <c:v>231.57894736842104</c:v>
                </c:pt>
                <c:pt idx="2671" formatCode="_(&quot;$&quot;* #,##0.00_);_(&quot;$&quot;* \(#,##0.00\);_(&quot;$&quot;* &quot;-&quot;??_);_(@_)">
                  <c:v>206.57276995305165</c:v>
                </c:pt>
                <c:pt idx="2672" formatCode="_(&quot;$&quot;* #,##0.00_);_(&quot;$&quot;* \(#,##0.00\);_(&quot;$&quot;* &quot;-&quot;??_);_(@_)">
                  <c:v>99.637681159420296</c:v>
                </c:pt>
                <c:pt idx="2673" formatCode="_(&quot;$&quot;* #,##0.00_);_(&quot;$&quot;* \(#,##0.00\);_(&quot;$&quot;* &quot;-&quot;??_);_(@_)">
                  <c:v>127.24117987275882</c:v>
                </c:pt>
                <c:pt idx="2674" formatCode="_(&quot;$&quot;* #,##0.00_);_(&quot;$&quot;* \(#,##0.00\);_(&quot;$&quot;* &quot;-&quot;??_);_(@_)">
                  <c:v>158.73015873015873</c:v>
                </c:pt>
                <c:pt idx="2675" formatCode="_(&quot;$&quot;* #,##0.00_);_(&quot;$&quot;* \(#,##0.00\);_(&quot;$&quot;* &quot;-&quot;??_);_(@_)">
                  <c:v>222.89868287740629</c:v>
                </c:pt>
                <c:pt idx="2676" formatCode="_(&quot;$&quot;* #,##0.00_);_(&quot;$&quot;* \(#,##0.00\);_(&quot;$&quot;* &quot;-&quot;??_);_(@_)">
                  <c:v>212.5</c:v>
                </c:pt>
                <c:pt idx="2677" formatCode="_(&quot;$&quot;* #,##0.00_);_(&quot;$&quot;* \(#,##0.00\);_(&quot;$&quot;* &quot;-&quot;??_);_(@_)">
                  <c:v>221</c:v>
                </c:pt>
                <c:pt idx="2678" formatCode="_(&quot;$&quot;* #,##0.00_);_(&quot;$&quot;* \(#,##0.00\);_(&quot;$&quot;* &quot;-&quot;??_);_(@_)">
                  <c:v>221</c:v>
                </c:pt>
                <c:pt idx="2679" formatCode="_(&quot;$&quot;* #,##0.00_);_(&quot;$&quot;* \(#,##0.00\);_(&quot;$&quot;* &quot;-&quot;??_);_(@_)">
                  <c:v>105.66396953831509</c:v>
                </c:pt>
                <c:pt idx="2680" formatCode="_(&quot;$&quot;* #,##0.00_);_(&quot;$&quot;* \(#,##0.00\);_(&quot;$&quot;* &quot;-&quot;??_);_(@_)">
                  <c:v>179.03225806451613</c:v>
                </c:pt>
                <c:pt idx="2681" formatCode="_(&quot;$&quot;* #,##0.00_);_(&quot;$&quot;* \(#,##0.00\);_(&quot;$&quot;* &quot;-&quot;??_);_(@_)">
                  <c:v>150</c:v>
                </c:pt>
                <c:pt idx="2682" formatCode="_(&quot;$&quot;* #,##0.00_);_(&quot;$&quot;* \(#,##0.00\);_(&quot;$&quot;* &quot;-&quot;??_);_(@_)">
                  <c:v>171.05465742879139</c:v>
                </c:pt>
                <c:pt idx="2683" formatCode="_(&quot;$&quot;* #,##0.00_);_(&quot;$&quot;* \(#,##0.00\);_(&quot;$&quot;* &quot;-&quot;??_);_(@_)">
                  <c:v>233.75262054507337</c:v>
                </c:pt>
                <c:pt idx="2684" formatCode="_(&quot;$&quot;* #,##0.00_);_(&quot;$&quot;* \(#,##0.00\);_(&quot;$&quot;* &quot;-&quot;??_);_(@_)">
                  <c:v>214.42307692307693</c:v>
                </c:pt>
                <c:pt idx="2685" formatCode="_(&quot;$&quot;* #,##0.00_);_(&quot;$&quot;* \(#,##0.00\);_(&quot;$&quot;* &quot;-&quot;??_);_(@_)">
                  <c:v>205.31622364802934</c:v>
                </c:pt>
                <c:pt idx="2686" formatCode="_(&quot;$&quot;* #,##0.00_);_(&quot;$&quot;* \(#,##0.00\);_(&quot;$&quot;* &quot;-&quot;??_);_(@_)">
                  <c:v>200.8968609865471</c:v>
                </c:pt>
                <c:pt idx="2687" formatCode="_(&quot;$&quot;* #,##0.00_);_(&quot;$&quot;* \(#,##0.00\);_(&quot;$&quot;* &quot;-&quot;??_);_(@_)">
                  <c:v>172.95839753466873</c:v>
                </c:pt>
                <c:pt idx="2688" formatCode="_(&quot;$&quot;* #,##0.00_);_(&quot;$&quot;* \(#,##0.00\);_(&quot;$&quot;* &quot;-&quot;??_);_(@_)">
                  <c:v>213.40304182509504</c:v>
                </c:pt>
                <c:pt idx="2689" formatCode="_(&quot;$&quot;* #,##0.00_);_(&quot;$&quot;* \(#,##0.00\);_(&quot;$&quot;* &quot;-&quot;??_);_(@_)">
                  <c:v>122.27668845315904</c:v>
                </c:pt>
                <c:pt idx="2690" formatCode="_(&quot;$&quot;* #,##0.00_);_(&quot;$&quot;* \(#,##0.00\);_(&quot;$&quot;* &quot;-&quot;??_);_(@_)">
                  <c:v>242.70270270270271</c:v>
                </c:pt>
                <c:pt idx="2691" formatCode="_(&quot;$&quot;* #,##0.00_);_(&quot;$&quot;* \(#,##0.00\);_(&quot;$&quot;* &quot;-&quot;??_);_(@_)">
                  <c:v>209.40409683426444</c:v>
                </c:pt>
                <c:pt idx="2692" formatCode="_(&quot;$&quot;* #,##0.00_);_(&quot;$&quot;* \(#,##0.00\);_(&quot;$&quot;* &quot;-&quot;??_);_(@_)">
                  <c:v>175.78125</c:v>
                </c:pt>
                <c:pt idx="2693" formatCode="_(&quot;$&quot;* #,##0.00_);_(&quot;$&quot;* \(#,##0.00\);_(&quot;$&quot;* &quot;-&quot;??_);_(@_)">
                  <c:v>223.21428571428572</c:v>
                </c:pt>
                <c:pt idx="2694" formatCode="_(&quot;$&quot;* #,##0.00_);_(&quot;$&quot;* \(#,##0.00\);_(&quot;$&quot;* &quot;-&quot;??_);_(@_)">
                  <c:v>202.52025202520252</c:v>
                </c:pt>
                <c:pt idx="2695" formatCode="_(&quot;$&quot;* #,##0.00_);_(&quot;$&quot;* \(#,##0.00\);_(&quot;$&quot;* &quot;-&quot;??_);_(@_)">
                  <c:v>148.02631578947367</c:v>
                </c:pt>
                <c:pt idx="2696" formatCode="_(&quot;$&quot;* #,##0.00_);_(&quot;$&quot;* \(#,##0.00\);_(&quot;$&quot;* &quot;-&quot;??_);_(@_)">
                  <c:v>223.88059701492537</c:v>
                </c:pt>
                <c:pt idx="2697" formatCode="_(&quot;$&quot;* #,##0.00_);_(&quot;$&quot;* \(#,##0.00\);_(&quot;$&quot;* &quot;-&quot;??_);_(@_)">
                  <c:v>188.91687657430731</c:v>
                </c:pt>
                <c:pt idx="2698" formatCode="_(&quot;$&quot;* #,##0.00_);_(&quot;$&quot;* \(#,##0.00\);_(&quot;$&quot;* &quot;-&quot;??_);_(@_)">
                  <c:v>186.87707641196013</c:v>
                </c:pt>
                <c:pt idx="2699" formatCode="_(&quot;$&quot;* #,##0.00_);_(&quot;$&quot;* \(#,##0.00\);_(&quot;$&quot;* &quot;-&quot;??_);_(@_)">
                  <c:v>166.17429837518463</c:v>
                </c:pt>
                <c:pt idx="2700" formatCode="_(&quot;$&quot;* #,##0.00_);_(&quot;$&quot;* \(#,##0.00\);_(&quot;$&quot;* &quot;-&quot;??_);_(@_)">
                  <c:v>173.21016166281754</c:v>
                </c:pt>
                <c:pt idx="2701" formatCode="_(&quot;$&quot;* #,##0.00_);_(&quot;$&quot;* \(#,##0.00\);_(&quot;$&quot;* &quot;-&quot;??_);_(@_)">
                  <c:v>225</c:v>
                </c:pt>
                <c:pt idx="2702" formatCode="_(&quot;$&quot;* #,##0.00_);_(&quot;$&quot;* \(#,##0.00\);_(&quot;$&quot;* &quot;-&quot;??_);_(@_)">
                  <c:v>225</c:v>
                </c:pt>
                <c:pt idx="2703" formatCode="_(&quot;$&quot;* #,##0.00_);_(&quot;$&quot;* \(#,##0.00\);_(&quot;$&quot;* &quot;-&quot;??_);_(@_)">
                  <c:v>192.96740994854201</c:v>
                </c:pt>
                <c:pt idx="2704" formatCode="_(&quot;$&quot;* #,##0.00_);_(&quot;$&quot;* \(#,##0.00\);_(&quot;$&quot;* &quot;-&quot;??_);_(@_)">
                  <c:v>183.9738348323794</c:v>
                </c:pt>
                <c:pt idx="2705" formatCode="_(&quot;$&quot;* #,##0.00_);_(&quot;$&quot;* \(#,##0.00\);_(&quot;$&quot;* &quot;-&quot;??_);_(@_)">
                  <c:v>213.27014218009478</c:v>
                </c:pt>
                <c:pt idx="2706" formatCode="_(&quot;$&quot;* #,##0.00_);_(&quot;$&quot;* \(#,##0.00\);_(&quot;$&quot;* &quot;-&quot;??_);_(@_)">
                  <c:v>167.03786191536747</c:v>
                </c:pt>
                <c:pt idx="2707" formatCode="_(&quot;$&quot;* #,##0.00_);_(&quot;$&quot;* \(#,##0.00\);_(&quot;$&quot;* &quot;-&quot;??_);_(@_)">
                  <c:v>161.17478510028653</c:v>
                </c:pt>
                <c:pt idx="2708" formatCode="_(&quot;$&quot;* #,##0.00_);_(&quot;$&quot;* \(#,##0.00\);_(&quot;$&quot;* &quot;-&quot;??_);_(@_)">
                  <c:v>234.375</c:v>
                </c:pt>
                <c:pt idx="2709" formatCode="_(&quot;$&quot;* #,##0.00_);_(&quot;$&quot;* \(#,##0.00\);_(&quot;$&quot;* &quot;-&quot;??_);_(@_)">
                  <c:v>132.82172373081465</c:v>
                </c:pt>
                <c:pt idx="2710" formatCode="_(&quot;$&quot;* #,##0.00_);_(&quot;$&quot;* \(#,##0.00\);_(&quot;$&quot;* &quot;-&quot;??_);_(@_)">
                  <c:v>122.68266085059979</c:v>
                </c:pt>
                <c:pt idx="2711" formatCode="_(&quot;$&quot;* #,##0.00_);_(&quot;$&quot;* \(#,##0.00\);_(&quot;$&quot;* &quot;-&quot;??_);_(@_)">
                  <c:v>194.39655172413794</c:v>
                </c:pt>
                <c:pt idx="2712" formatCode="_(&quot;$&quot;* #,##0.00_);_(&quot;$&quot;* \(#,##0.00\);_(&quot;$&quot;* &quot;-&quot;??_);_(@_)">
                  <c:v>152.90933694181325</c:v>
                </c:pt>
                <c:pt idx="2713" formatCode="_(&quot;$&quot;* #,##0.00_);_(&quot;$&quot;* \(#,##0.00\);_(&quot;$&quot;* &quot;-&quot;??_);_(@_)">
                  <c:v>199.64664310954063</c:v>
                </c:pt>
                <c:pt idx="2714" formatCode="_(&quot;$&quot;* #,##0.00_);_(&quot;$&quot;* \(#,##0.00\);_(&quot;$&quot;* &quot;-&quot;??_);_(@_)">
                  <c:v>208.44811753902664</c:v>
                </c:pt>
                <c:pt idx="2715" formatCode="_(&quot;$&quot;* #,##0.00_);_(&quot;$&quot;* \(#,##0.00\);_(&quot;$&quot;* &quot;-&quot;??_);_(@_)">
                  <c:v>245.40540540540542</c:v>
                </c:pt>
                <c:pt idx="2716" formatCode="_(&quot;$&quot;* #,##0.00_);_(&quot;$&quot;* \(#,##0.00\);_(&quot;$&quot;* &quot;-&quot;??_);_(@_)">
                  <c:v>153.58592692828145</c:v>
                </c:pt>
                <c:pt idx="2717" formatCode="_(&quot;$&quot;* #,##0.00_);_(&quot;$&quot;* \(#,##0.00\);_(&quot;$&quot;* &quot;-&quot;??_);_(@_)">
                  <c:v>127.4564851207187</c:v>
                </c:pt>
                <c:pt idx="2718" formatCode="_(&quot;$&quot;* #,##0.00_);_(&quot;$&quot;* \(#,##0.00\);_(&quot;$&quot;* &quot;-&quot;??_);_(@_)">
                  <c:v>162.03703703703704</c:v>
                </c:pt>
                <c:pt idx="2719" formatCode="_(&quot;$&quot;* #,##0.00_);_(&quot;$&quot;* \(#,##0.00\);_(&quot;$&quot;* &quot;-&quot;??_);_(@_)">
                  <c:v>224.35897435897436</c:v>
                </c:pt>
                <c:pt idx="2720" formatCode="_(&quot;$&quot;* #,##0.00_);_(&quot;$&quot;* \(#,##0.00\);_(&quot;$&quot;* &quot;-&quot;??_);_(@_)">
                  <c:v>146.20822622107968</c:v>
                </c:pt>
                <c:pt idx="2721" formatCode="_(&quot;$&quot;* #,##0.00_);_(&quot;$&quot;* \(#,##0.00\);_(&quot;$&quot;* &quot;-&quot;??_);_(@_)">
                  <c:v>163.32378223495701</c:v>
                </c:pt>
                <c:pt idx="2722" formatCode="_(&quot;$&quot;* #,##0.00_);_(&quot;$&quot;* \(#,##0.00\);_(&quot;$&quot;* &quot;-&quot;??_);_(@_)">
                  <c:v>182.43243243243242</c:v>
                </c:pt>
                <c:pt idx="2723" formatCode="_(&quot;$&quot;* #,##0.00_);_(&quot;$&quot;* \(#,##0.00\);_(&quot;$&quot;* &quot;-&quot;??_);_(@_)">
                  <c:v>209</c:v>
                </c:pt>
                <c:pt idx="2724" formatCode="_(&quot;$&quot;* #,##0.00_);_(&quot;$&quot;* \(#,##0.00\);_(&quot;$&quot;* &quot;-&quot;??_);_(@_)">
                  <c:v>218.00947867298578</c:v>
                </c:pt>
                <c:pt idx="2725" formatCode="_(&quot;$&quot;* #,##0.00_);_(&quot;$&quot;* \(#,##0.00\);_(&quot;$&quot;* &quot;-&quot;??_);_(@_)">
                  <c:v>247.04618689581096</c:v>
                </c:pt>
                <c:pt idx="2726" formatCode="_(&quot;$&quot;* #,##0.00_);_(&quot;$&quot;* \(#,##0.00\);_(&quot;$&quot;* &quot;-&quot;??_);_(@_)">
                  <c:v>209.09090909090909</c:v>
                </c:pt>
                <c:pt idx="2727" formatCode="_(&quot;$&quot;* #,##0.00_);_(&quot;$&quot;* \(#,##0.00\);_(&quot;$&quot;* &quot;-&quot;??_);_(@_)">
                  <c:v>129.65050732807217</c:v>
                </c:pt>
                <c:pt idx="2728" formatCode="_(&quot;$&quot;* #,##0.00_);_(&quot;$&quot;* \(#,##0.00\);_(&quot;$&quot;* &quot;-&quot;??_);_(@_)">
                  <c:v>178.43289371605897</c:v>
                </c:pt>
                <c:pt idx="2729" formatCode="_(&quot;$&quot;* #,##0.00_);_(&quot;$&quot;* \(#,##0.00\);_(&quot;$&quot;* &quot;-&quot;??_);_(@_)">
                  <c:v>172.67267267267266</c:v>
                </c:pt>
                <c:pt idx="2730" formatCode="_(&quot;$&quot;* #,##0.00_);_(&quot;$&quot;* \(#,##0.00\);_(&quot;$&quot;* &quot;-&quot;??_);_(@_)">
                  <c:v>188.06214227309894</c:v>
                </c:pt>
                <c:pt idx="2731" formatCode="_(&quot;$&quot;* #,##0.00_);_(&quot;$&quot;* \(#,##0.00\);_(&quot;$&quot;* &quot;-&quot;??_);_(@_)">
                  <c:v>213.95348837209303</c:v>
                </c:pt>
                <c:pt idx="2732" formatCode="_(&quot;$&quot;* #,##0.00_);_(&quot;$&quot;* \(#,##0.00\);_(&quot;$&quot;* &quot;-&quot;??_);_(@_)">
                  <c:v>216.98113207547169</c:v>
                </c:pt>
                <c:pt idx="2733" formatCode="_(&quot;$&quot;* #,##0.00_);_(&quot;$&quot;* \(#,##0.00\);_(&quot;$&quot;* &quot;-&quot;??_);_(@_)">
                  <c:v>217.59697256385999</c:v>
                </c:pt>
                <c:pt idx="2734" formatCode="_(&quot;$&quot;* #,##0.00_);_(&quot;$&quot;* \(#,##0.00\);_(&quot;$&quot;* &quot;-&quot;??_);_(@_)">
                  <c:v>215.15434985968196</c:v>
                </c:pt>
                <c:pt idx="2735" formatCode="_(&quot;$&quot;* #,##0.00_);_(&quot;$&quot;* \(#,##0.00\);_(&quot;$&quot;* &quot;-&quot;??_);_(@_)">
                  <c:v>245.46424759871931</c:v>
                </c:pt>
                <c:pt idx="2736" formatCode="_(&quot;$&quot;* #,##0.00_);_(&quot;$&quot;* \(#,##0.00\);_(&quot;$&quot;* &quot;-&quot;??_);_(@_)">
                  <c:v>169.99260901699927</c:v>
                </c:pt>
                <c:pt idx="2737" formatCode="_(&quot;$&quot;* #,##0.00_);_(&quot;$&quot;* \(#,##0.00\);_(&quot;$&quot;* &quot;-&quot;??_);_(@_)">
                  <c:v>167.88321167883211</c:v>
                </c:pt>
                <c:pt idx="2738" formatCode="_(&quot;$&quot;* #,##0.00_);_(&quot;$&quot;* \(#,##0.00\);_(&quot;$&quot;* &quot;-&quot;??_);_(@_)">
                  <c:v>230</c:v>
                </c:pt>
                <c:pt idx="2739" formatCode="_(&quot;$&quot;* #,##0.00_);_(&quot;$&quot;* \(#,##0.00\);_(&quot;$&quot;* &quot;-&quot;??_);_(@_)">
                  <c:v>170.74981440237565</c:v>
                </c:pt>
                <c:pt idx="2740" formatCode="_(&quot;$&quot;* #,##0.00_);_(&quot;$&quot;* \(#,##0.00\);_(&quot;$&quot;* &quot;-&quot;??_);_(@_)">
                  <c:v>207.39404869251578</c:v>
                </c:pt>
                <c:pt idx="2741" formatCode="_(&quot;$&quot;* #,##0.00_);_(&quot;$&quot;* \(#,##0.00\);_(&quot;$&quot;* &quot;-&quot;??_);_(@_)">
                  <c:v>132.79445727482678</c:v>
                </c:pt>
                <c:pt idx="2742" formatCode="_(&quot;$&quot;* #,##0.00_);_(&quot;$&quot;* \(#,##0.00\);_(&quot;$&quot;* &quot;-&quot;??_);_(@_)">
                  <c:v>158.40220385674931</c:v>
                </c:pt>
                <c:pt idx="2743" formatCode="_(&quot;$&quot;* #,##0.00_);_(&quot;$&quot;* \(#,##0.00\);_(&quot;$&quot;* &quot;-&quot;??_);_(@_)">
                  <c:v>155.93220338983051</c:v>
                </c:pt>
                <c:pt idx="2744" formatCode="_(&quot;$&quot;* #,##0.00_);_(&quot;$&quot;* \(#,##0.00\);_(&quot;$&quot;* &quot;-&quot;??_);_(@_)">
                  <c:v>179.48717948717947</c:v>
                </c:pt>
                <c:pt idx="2745" formatCode="_(&quot;$&quot;* #,##0.00_);_(&quot;$&quot;* \(#,##0.00\);_(&quot;$&quot;* &quot;-&quot;??_);_(@_)">
                  <c:v>253.53645266594123</c:v>
                </c:pt>
                <c:pt idx="2746" formatCode="_(&quot;$&quot;* #,##0.00_);_(&quot;$&quot;* \(#,##0.00\);_(&quot;$&quot;* &quot;-&quot;??_);_(@_)">
                  <c:v>156.6</c:v>
                </c:pt>
                <c:pt idx="2747" formatCode="_(&quot;$&quot;* #,##0.00_);_(&quot;$&quot;* \(#,##0.00\);_(&quot;$&quot;* &quot;-&quot;??_);_(@_)">
                  <c:v>152.10355987055016</c:v>
                </c:pt>
                <c:pt idx="2748" formatCode="_(&quot;$&quot;* #,##0.00_);_(&quot;$&quot;* \(#,##0.00\);_(&quot;$&quot;* &quot;-&quot;??_);_(@_)">
                  <c:v>235</c:v>
                </c:pt>
                <c:pt idx="2749" formatCode="_(&quot;$&quot;* #,##0.00_);_(&quot;$&quot;* \(#,##0.00\);_(&quot;$&quot;* &quot;-&quot;??_);_(@_)">
                  <c:v>202.58620689655172</c:v>
                </c:pt>
                <c:pt idx="2750" formatCode="_(&quot;$&quot;* #,##0.00_);_(&quot;$&quot;* \(#,##0.00\);_(&quot;$&quot;* &quot;-&quot;??_);_(@_)">
                  <c:v>226.83397683397683</c:v>
                </c:pt>
                <c:pt idx="2751" formatCode="_(&quot;$&quot;* #,##0.00_);_(&quot;$&quot;* \(#,##0.00\);_(&quot;$&quot;* &quot;-&quot;??_);_(@_)">
                  <c:v>205.24017467248908</c:v>
                </c:pt>
                <c:pt idx="2752" formatCode="_(&quot;$&quot;* #,##0.00_);_(&quot;$&quot;* \(#,##0.00\);_(&quot;$&quot;* &quot;-&quot;??_);_(@_)">
                  <c:v>156.14617940199335</c:v>
                </c:pt>
                <c:pt idx="2753" formatCode="_(&quot;$&quot;* #,##0.00_);_(&quot;$&quot;* \(#,##0.00\);_(&quot;$&quot;* &quot;-&quot;??_);_(@_)">
                  <c:v>179.66360856269114</c:v>
                </c:pt>
                <c:pt idx="2754" formatCode="_(&quot;$&quot;* #,##0.00_);_(&quot;$&quot;* \(#,##0.00\);_(&quot;$&quot;* &quot;-&quot;??_);_(@_)">
                  <c:v>153.8965291421087</c:v>
                </c:pt>
                <c:pt idx="2755" formatCode="_(&quot;$&quot;* #,##0.00_);_(&quot;$&quot;* \(#,##0.00\);_(&quot;$&quot;* &quot;-&quot;??_);_(@_)">
                  <c:v>188.15052041633308</c:v>
                </c:pt>
                <c:pt idx="2756" formatCode="_(&quot;$&quot;* #,##0.00_);_(&quot;$&quot;* \(#,##0.00\);_(&quot;$&quot;* &quot;-&quot;??_);_(@_)">
                  <c:v>259.38189845474614</c:v>
                </c:pt>
                <c:pt idx="2757" formatCode="_(&quot;$&quot;* #,##0.00_);_(&quot;$&quot;* \(#,##0.00\);_(&quot;$&quot;* &quot;-&quot;??_);_(@_)">
                  <c:v>156.14617940199335</c:v>
                </c:pt>
                <c:pt idx="2758" formatCode="_(&quot;$&quot;* #,##0.00_);_(&quot;$&quot;* \(#,##0.00\);_(&quot;$&quot;* &quot;-&quot;??_);_(@_)">
                  <c:v>175.37313432835822</c:v>
                </c:pt>
                <c:pt idx="2759" formatCode="_(&quot;$&quot;* #,##0.00_);_(&quot;$&quot;* \(#,##0.00\);_(&quot;$&quot;* &quot;-&quot;??_);_(@_)">
                  <c:v>229.0448343079922</c:v>
                </c:pt>
                <c:pt idx="2760" formatCode="_(&quot;$&quot;* #,##0.00_);_(&quot;$&quot;* \(#,##0.00\);_(&quot;$&quot;* &quot;-&quot;??_);_(@_)">
                  <c:v>135.29073114565344</c:v>
                </c:pt>
                <c:pt idx="2761" formatCode="_(&quot;$&quot;* #,##0.00_);_(&quot;$&quot;* \(#,##0.00\);_(&quot;$&quot;* &quot;-&quot;??_);_(@_)">
                  <c:v>156.66666666666666</c:v>
                </c:pt>
                <c:pt idx="2762" formatCode="_(&quot;$&quot;* #,##0.00_);_(&quot;$&quot;* \(#,##0.00\);_(&quot;$&quot;* &quot;-&quot;??_);_(@_)">
                  <c:v>161.73434273916035</c:v>
                </c:pt>
                <c:pt idx="2763" formatCode="_(&quot;$&quot;* #,##0.00_);_(&quot;$&quot;* \(#,##0.00\);_(&quot;$&quot;* &quot;-&quot;??_);_(@_)">
                  <c:v>229.0448343079922</c:v>
                </c:pt>
                <c:pt idx="2764" formatCode="_(&quot;$&quot;* #,##0.00_);_(&quot;$&quot;* \(#,##0.00\);_(&quot;$&quot;* &quot;-&quot;??_);_(@_)">
                  <c:v>159.75526852481306</c:v>
                </c:pt>
                <c:pt idx="2765" formatCode="_(&quot;$&quot;* #,##0.00_);_(&quot;$&quot;* \(#,##0.00\);_(&quot;$&quot;* &quot;-&quot;??_);_(@_)">
                  <c:v>205.59930008748907</c:v>
                </c:pt>
                <c:pt idx="2766" formatCode="_(&quot;$&quot;* #,##0.00_);_(&quot;$&quot;* \(#,##0.00\);_(&quot;$&quot;* &quot;-&quot;??_);_(@_)">
                  <c:v>145.96273291925465</c:v>
                </c:pt>
                <c:pt idx="2767" formatCode="_(&quot;$&quot;* #,##0.00_);_(&quot;$&quot;* \(#,##0.00\);_(&quot;$&quot;* &quot;-&quot;??_);_(@_)">
                  <c:v>149.58625079567156</c:v>
                </c:pt>
                <c:pt idx="2768" formatCode="_(&quot;$&quot;* #,##0.00_);_(&quot;$&quot;* \(#,##0.00\);_(&quot;$&quot;* &quot;-&quot;??_);_(@_)">
                  <c:v>107.35495660118775</c:v>
                </c:pt>
                <c:pt idx="2769" formatCode="_(&quot;$&quot;* #,##0.00_);_(&quot;$&quot;* \(#,##0.00\);_(&quot;$&quot;* &quot;-&quot;??_);_(@_)">
                  <c:v>206.86619718309859</c:v>
                </c:pt>
                <c:pt idx="2770" formatCode="_(&quot;$&quot;* #,##0.00_);_(&quot;$&quot;* \(#,##0.00\);_(&quot;$&quot;* &quot;-&quot;??_);_(@_)">
                  <c:v>172.76720351390924</c:v>
                </c:pt>
                <c:pt idx="2771" formatCode="_(&quot;$&quot;* #,##0.00_);_(&quot;$&quot;* \(#,##0.00\);_(&quot;$&quot;* &quot;-&quot;??_);_(@_)">
                  <c:v>139.97627520759193</c:v>
                </c:pt>
                <c:pt idx="2772" formatCode="_(&quot;$&quot;* #,##0.00_);_(&quot;$&quot;* \(#,##0.00\);_(&quot;$&quot;* &quot;-&quot;??_);_(@_)">
                  <c:v>231.86274509803923</c:v>
                </c:pt>
                <c:pt idx="2773" formatCode="_(&quot;$&quot;* #,##0.00_);_(&quot;$&quot;* \(#,##0.00\);_(&quot;$&quot;* &quot;-&quot;??_);_(@_)">
                  <c:v>233.49753694581281</c:v>
                </c:pt>
                <c:pt idx="2774" formatCode="_(&quot;$&quot;* #,##0.00_);_(&quot;$&quot;* \(#,##0.00\);_(&quot;$&quot;* &quot;-&quot;??_);_(@_)">
                  <c:v>175.55555555555554</c:v>
                </c:pt>
                <c:pt idx="2775" formatCode="_(&quot;$&quot;* #,##0.00_);_(&quot;$&quot;* \(#,##0.00\);_(&quot;$&quot;* &quot;-&quot;??_);_(@_)">
                  <c:v>237</c:v>
                </c:pt>
                <c:pt idx="2776" formatCode="_(&quot;$&quot;* #,##0.00_);_(&quot;$&quot;* \(#,##0.00\);_(&quot;$&quot;* &quot;-&quot;??_);_(@_)">
                  <c:v>197.99498746867167</c:v>
                </c:pt>
                <c:pt idx="2777" formatCode="_(&quot;$&quot;* #,##0.00_);_(&quot;$&quot;* \(#,##0.00\);_(&quot;$&quot;* &quot;-&quot;??_);_(@_)">
                  <c:v>199.45332211942809</c:v>
                </c:pt>
                <c:pt idx="2778" formatCode="_(&quot;$&quot;* #,##0.00_);_(&quot;$&quot;* \(#,##0.00\);_(&quot;$&quot;* &quot;-&quot;??_);_(@_)">
                  <c:v>189.6414342629482</c:v>
                </c:pt>
                <c:pt idx="2779" formatCode="_(&quot;$&quot;* #,##0.00_);_(&quot;$&quot;* \(#,##0.00\);_(&quot;$&quot;* &quot;-&quot;??_);_(@_)">
                  <c:v>128.50971922246219</c:v>
                </c:pt>
                <c:pt idx="2780" formatCode="_(&quot;$&quot;* #,##0.00_);_(&quot;$&quot;* \(#,##0.00\);_(&quot;$&quot;* &quot;-&quot;??_);_(@_)">
                  <c:v>197.51037344398341</c:v>
                </c:pt>
                <c:pt idx="2781" formatCode="_(&quot;$&quot;* #,##0.00_);_(&quot;$&quot;* \(#,##0.00\);_(&quot;$&quot;* &quot;-&quot;??_);_(@_)">
                  <c:v>195.40229885057471</c:v>
                </c:pt>
                <c:pt idx="2782" formatCode="_(&quot;$&quot;* #,##0.00_);_(&quot;$&quot;* \(#,##0.00\);_(&quot;$&quot;* &quot;-&quot;??_);_(@_)">
                  <c:v>199.74874371859298</c:v>
                </c:pt>
                <c:pt idx="2783" formatCode="_(&quot;$&quot;* #,##0.00_);_(&quot;$&quot;* \(#,##0.00\);_(&quot;$&quot;* &quot;-&quot;??_);_(@_)">
                  <c:v>241.90283400809716</c:v>
                </c:pt>
                <c:pt idx="2784" formatCode="_(&quot;$&quot;* #,##0.00_);_(&quot;$&quot;* \(#,##0.00\);_(&quot;$&quot;* &quot;-&quot;??_);_(@_)">
                  <c:v>190.89456869009584</c:v>
                </c:pt>
                <c:pt idx="2785" formatCode="_(&quot;$&quot;* #,##0.00_);_(&quot;$&quot;* \(#,##0.00\);_(&quot;$&quot;* &quot;-&quot;??_);_(@_)">
                  <c:v>185.12780790085205</c:v>
                </c:pt>
                <c:pt idx="2786" formatCode="_(&quot;$&quot;* #,##0.00_);_(&quot;$&quot;* \(#,##0.00\);_(&quot;$&quot;* &quot;-&quot;??_);_(@_)">
                  <c:v>247.8305785123967</c:v>
                </c:pt>
                <c:pt idx="2787" formatCode="_(&quot;$&quot;* #,##0.00_);_(&quot;$&quot;* \(#,##0.00\);_(&quot;$&quot;* &quot;-&quot;??_);_(@_)">
                  <c:v>237.99603174603175</c:v>
                </c:pt>
                <c:pt idx="2788" formatCode="_(&quot;$&quot;* #,##0.00_);_(&quot;$&quot;* \(#,##0.00\);_(&quot;$&quot;* &quot;-&quot;??_);_(@_)">
                  <c:v>198.26446280991735</c:v>
                </c:pt>
                <c:pt idx="2789" formatCode="_(&quot;$&quot;* #,##0.00_);_(&quot;$&quot;* \(#,##0.00\);_(&quot;$&quot;* &quot;-&quot;??_);_(@_)">
                  <c:v>246.81069958847738</c:v>
                </c:pt>
                <c:pt idx="2790" formatCode="_(&quot;$&quot;* #,##0.00_);_(&quot;$&quot;* \(#,##0.00\);_(&quot;$&quot;* &quot;-&quot;??_);_(@_)">
                  <c:v>115.88604538870111</c:v>
                </c:pt>
                <c:pt idx="2791" formatCode="_(&quot;$&quot;* #,##0.00_);_(&quot;$&quot;* \(#,##0.00\);_(&quot;$&quot;* &quot;-&quot;??_);_(@_)">
                  <c:v>188.08777429467085</c:v>
                </c:pt>
                <c:pt idx="2792" formatCode="_(&quot;$&quot;* #,##0.00_);_(&quot;$&quot;* \(#,##0.00\);_(&quot;$&quot;* &quot;-&quot;??_);_(@_)">
                  <c:v>129.17115177610333</c:v>
                </c:pt>
                <c:pt idx="2793" formatCode="_(&quot;$&quot;* #,##0.00_);_(&quot;$&quot;* \(#,##0.00\);_(&quot;$&quot;* &quot;-&quot;??_);_(@_)">
                  <c:v>225.14071294559099</c:v>
                </c:pt>
                <c:pt idx="2794" formatCode="_(&quot;$&quot;* #,##0.00_);_(&quot;$&quot;* \(#,##0.00\);_(&quot;$&quot;* &quot;-&quot;??_);_(@_)">
                  <c:v>227.48815165876778</c:v>
                </c:pt>
                <c:pt idx="2795" formatCode="_(&quot;$&quot;* #,##0.00_);_(&quot;$&quot;* \(#,##0.00\);_(&quot;$&quot;* &quot;-&quot;??_);_(@_)">
                  <c:v>222.22222222222223</c:v>
                </c:pt>
                <c:pt idx="2796" formatCode="_(&quot;$&quot;* #,##0.00_);_(&quot;$&quot;* \(#,##0.00\);_(&quot;$&quot;* &quot;-&quot;??_);_(@_)">
                  <c:v>252.63157894736841</c:v>
                </c:pt>
                <c:pt idx="2797" formatCode="_(&quot;$&quot;* #,##0.00_);_(&quot;$&quot;* \(#,##0.00\);_(&quot;$&quot;* &quot;-&quot;??_);_(@_)">
                  <c:v>103.62694300518135</c:v>
                </c:pt>
                <c:pt idx="2798" formatCode="_(&quot;$&quot;* #,##0.00_);_(&quot;$&quot;* \(#,##0.00\);_(&quot;$&quot;* &quot;-&quot;??_);_(@_)">
                  <c:v>219.98166819431714</c:v>
                </c:pt>
                <c:pt idx="2799" formatCode="_(&quot;$&quot;* #,##0.00_);_(&quot;$&quot;* \(#,##0.00\);_(&quot;$&quot;* &quot;-&quot;??_);_(@_)">
                  <c:v>154.34083601286173</c:v>
                </c:pt>
                <c:pt idx="2800" formatCode="_(&quot;$&quot;* #,##0.00_);_(&quot;$&quot;* \(#,##0.00\);_(&quot;$&quot;* &quot;-&quot;??_);_(@_)">
                  <c:v>156.55577299412917</c:v>
                </c:pt>
                <c:pt idx="2801" formatCode="_(&quot;$&quot;* #,##0.00_);_(&quot;$&quot;* \(#,##0.00\);_(&quot;$&quot;* &quot;-&quot;??_);_(@_)">
                  <c:v>214.86123545210384</c:v>
                </c:pt>
                <c:pt idx="2802" formatCode="_(&quot;$&quot;* #,##0.00_);_(&quot;$&quot;* \(#,##0.00\);_(&quot;$&quot;* &quot;-&quot;??_);_(@_)">
                  <c:v>207.43301642178048</c:v>
                </c:pt>
                <c:pt idx="2803" formatCode="_(&quot;$&quot;* #,##0.00_);_(&quot;$&quot;* \(#,##0.00\);_(&quot;$&quot;* &quot;-&quot;??_);_(@_)">
                  <c:v>194.96344435418359</c:v>
                </c:pt>
                <c:pt idx="2804" formatCode="_(&quot;$&quot;* #,##0.00_);_(&quot;$&quot;* \(#,##0.00\);_(&quot;$&quot;* &quot;-&quot;??_);_(@_)">
                  <c:v>263.15789473684208</c:v>
                </c:pt>
                <c:pt idx="2805" formatCode="_(&quot;$&quot;* #,##0.00_);_(&quot;$&quot;* \(#,##0.00\);_(&quot;$&quot;* &quot;-&quot;??_);_(@_)">
                  <c:v>162.60162601626016</c:v>
                </c:pt>
                <c:pt idx="2806" formatCode="_(&quot;$&quot;* #,##0.00_);_(&quot;$&quot;* \(#,##0.00\);_(&quot;$&quot;* &quot;-&quot;??_);_(@_)">
                  <c:v>259.17926565874728</c:v>
                </c:pt>
                <c:pt idx="2807" formatCode="_(&quot;$&quot;* #,##0.00_);_(&quot;$&quot;* \(#,##0.00\);_(&quot;$&quot;* &quot;-&quot;??_);_(@_)">
                  <c:v>169.46778711484595</c:v>
                </c:pt>
                <c:pt idx="2808" formatCode="_(&quot;$&quot;* #,##0.00_);_(&quot;$&quot;* \(#,##0.00\);_(&quot;$&quot;* &quot;-&quot;??_);_(@_)">
                  <c:v>254.73684210526315</c:v>
                </c:pt>
                <c:pt idx="2809" formatCode="_(&quot;$&quot;* #,##0.00_);_(&quot;$&quot;* \(#,##0.00\);_(&quot;$&quot;* &quot;-&quot;??_);_(@_)">
                  <c:v>168.87186629526462</c:v>
                </c:pt>
                <c:pt idx="2810" formatCode="_(&quot;$&quot;* #,##0.00_);_(&quot;$&quot;* \(#,##0.00\);_(&quot;$&quot;* &quot;-&quot;??_);_(@_)">
                  <c:v>191.64037854889591</c:v>
                </c:pt>
                <c:pt idx="2811" formatCode="_(&quot;$&quot;* #,##0.00_);_(&quot;$&quot;* \(#,##0.00\);_(&quot;$&quot;* &quot;-&quot;??_);_(@_)">
                  <c:v>162.5</c:v>
                </c:pt>
                <c:pt idx="2812" formatCode="_(&quot;$&quot;* #,##0.00_);_(&quot;$&quot;* \(#,##0.00\);_(&quot;$&quot;* &quot;-&quot;??_);_(@_)">
                  <c:v>177.33526430123098</c:v>
                </c:pt>
                <c:pt idx="2813" formatCode="_(&quot;$&quot;* #,##0.00_);_(&quot;$&quot;* \(#,##0.00\);_(&quot;$&quot;* &quot;-&quot;??_);_(@_)">
                  <c:v>250.25536261491317</c:v>
                </c:pt>
                <c:pt idx="2814" formatCode="_(&quot;$&quot;* #,##0.00_);_(&quot;$&quot;* \(#,##0.00\);_(&quot;$&quot;* &quot;-&quot;??_);_(@_)">
                  <c:v>204.16666666666666</c:v>
                </c:pt>
                <c:pt idx="2815" formatCode="_(&quot;$&quot;* #,##0.00_);_(&quot;$&quot;* \(#,##0.00\);_(&quot;$&quot;* &quot;-&quot;??_);_(@_)">
                  <c:v>214.53590192644484</c:v>
                </c:pt>
                <c:pt idx="2816" formatCode="_(&quot;$&quot;* #,##0.00_);_(&quot;$&quot;* \(#,##0.00\);_(&quot;$&quot;* &quot;-&quot;??_);_(@_)">
                  <c:v>176.25899280575538</c:v>
                </c:pt>
                <c:pt idx="2817" formatCode="_(&quot;$&quot;* #,##0.00_);_(&quot;$&quot;* \(#,##0.00\);_(&quot;$&quot;* &quot;-&quot;??_);_(@_)">
                  <c:v>222.72727272727272</c:v>
                </c:pt>
                <c:pt idx="2818" formatCode="_(&quot;$&quot;* #,##0.00_);_(&quot;$&quot;* \(#,##0.00\);_(&quot;$&quot;* &quot;-&quot;??_);_(@_)">
                  <c:v>192.91338582677164</c:v>
                </c:pt>
                <c:pt idx="2819" formatCode="_(&quot;$&quot;* #,##0.00_);_(&quot;$&quot;* \(#,##0.00\);_(&quot;$&quot;* &quot;-&quot;??_);_(@_)">
                  <c:v>186.73780487804879</c:v>
                </c:pt>
                <c:pt idx="2820" formatCode="_(&quot;$&quot;* #,##0.00_);_(&quot;$&quot;* \(#,##0.00\);_(&quot;$&quot;* &quot;-&quot;??_);_(@_)">
                  <c:v>164.76126429051783</c:v>
                </c:pt>
                <c:pt idx="2821" formatCode="_(&quot;$&quot;* #,##0.00_);_(&quot;$&quot;* \(#,##0.00\);_(&quot;$&quot;* &quot;-&quot;??_);_(@_)">
                  <c:v>244.26719840478563</c:v>
                </c:pt>
                <c:pt idx="2822" formatCode="_(&quot;$&quot;* #,##0.00_);_(&quot;$&quot;* \(#,##0.00\);_(&quot;$&quot;* &quot;-&quot;??_);_(@_)">
                  <c:v>168.9655172413793</c:v>
                </c:pt>
                <c:pt idx="2823" formatCode="_(&quot;$&quot;* #,##0.00_);_(&quot;$&quot;* \(#,##0.00\);_(&quot;$&quot;* &quot;-&quot;??_);_(@_)">
                  <c:v>206.92567567567568</c:v>
                </c:pt>
                <c:pt idx="2824" formatCode="_(&quot;$&quot;* #,##0.00_);_(&quot;$&quot;* \(#,##0.00\);_(&quot;$&quot;* &quot;-&quot;??_);_(@_)">
                  <c:v>310.95717884130983</c:v>
                </c:pt>
                <c:pt idx="2825" formatCode="_(&quot;$&quot;* #,##0.00_);_(&quot;$&quot;* \(#,##0.00\);_(&quot;$&quot;* &quot;-&quot;??_);_(@_)">
                  <c:v>247</c:v>
                </c:pt>
                <c:pt idx="2826" formatCode="_(&quot;$&quot;* #,##0.00_);_(&quot;$&quot;* \(#,##0.00\);_(&quot;$&quot;* &quot;-&quot;??_);_(@_)">
                  <c:v>238.64734299516908</c:v>
                </c:pt>
                <c:pt idx="2827" formatCode="_(&quot;$&quot;* #,##0.00_);_(&quot;$&quot;* \(#,##0.00\);_(&quot;$&quot;* &quot;-&quot;??_);_(@_)">
                  <c:v>275</c:v>
                </c:pt>
                <c:pt idx="2828" formatCode="_(&quot;$&quot;* #,##0.00_);_(&quot;$&quot;* \(#,##0.00\);_(&quot;$&quot;* &quot;-&quot;??_);_(@_)">
                  <c:v>165.22029372496661</c:v>
                </c:pt>
                <c:pt idx="2829" formatCode="_(&quot;$&quot;* #,##0.00_);_(&quot;$&quot;* \(#,##0.00\);_(&quot;$&quot;* &quot;-&quot;??_);_(@_)">
                  <c:v>175.14124293785312</c:v>
                </c:pt>
                <c:pt idx="2830" formatCode="_(&quot;$&quot;* #,##0.00_);_(&quot;$&quot;* \(#,##0.00\);_(&quot;$&quot;* &quot;-&quot;??_);_(@_)">
                  <c:v>140.2714932126697</c:v>
                </c:pt>
                <c:pt idx="2831" formatCode="_(&quot;$&quot;* #,##0.00_);_(&quot;$&quot;* \(#,##0.00\);_(&quot;$&quot;* &quot;-&quot;??_);_(@_)">
                  <c:v>174.15730337078651</c:v>
                </c:pt>
                <c:pt idx="2832" formatCode="_(&quot;$&quot;* #,##0.00_);_(&quot;$&quot;* \(#,##0.00\);_(&quot;$&quot;* &quot;-&quot;??_);_(@_)">
                  <c:v>247.26911618669314</c:v>
                </c:pt>
                <c:pt idx="2833" formatCode="_(&quot;$&quot;* #,##0.00_);_(&quot;$&quot;* \(#,##0.00\);_(&quot;$&quot;* &quot;-&quot;??_);_(@_)">
                  <c:v>251.00806451612902</c:v>
                </c:pt>
                <c:pt idx="2834" formatCode="_(&quot;$&quot;* #,##0.00_);_(&quot;$&quot;* \(#,##0.00\);_(&quot;$&quot;* &quot;-&quot;??_);_(@_)">
                  <c:v>205.3909465020576</c:v>
                </c:pt>
                <c:pt idx="2835" formatCode="_(&quot;$&quot;* #,##0.00_);_(&quot;$&quot;* \(#,##0.00\);_(&quot;$&quot;* &quot;-&quot;??_);_(@_)">
                  <c:v>152.56410256410257</c:v>
                </c:pt>
                <c:pt idx="2836" formatCode="_(&quot;$&quot;* #,##0.00_);_(&quot;$&quot;* \(#,##0.00\);_(&quot;$&quot;* &quot;-&quot;??_);_(@_)">
                  <c:v>203.91517128874389</c:v>
                </c:pt>
                <c:pt idx="2837" formatCode="_(&quot;$&quot;* #,##0.00_);_(&quot;$&quot;* \(#,##0.00\);_(&quot;$&quot;* &quot;-&quot;??_);_(@_)">
                  <c:v>200</c:v>
                </c:pt>
                <c:pt idx="2838" formatCode="_(&quot;$&quot;* #,##0.00_);_(&quot;$&quot;* \(#,##0.00\);_(&quot;$&quot;* &quot;-&quot;??_);_(@_)">
                  <c:v>98.270440251572325</c:v>
                </c:pt>
                <c:pt idx="2839" formatCode="_(&quot;$&quot;* #,##0.00_);_(&quot;$&quot;* \(#,##0.00\);_(&quot;$&quot;* &quot;-&quot;??_);_(@_)">
                  <c:v>105.21885521885523</c:v>
                </c:pt>
                <c:pt idx="2840" formatCode="_(&quot;$&quot;* #,##0.00_);_(&quot;$&quot;* \(#,##0.00\);_(&quot;$&quot;* &quot;-&quot;??_);_(@_)">
                  <c:v>215.51724137931035</c:v>
                </c:pt>
                <c:pt idx="2841" formatCode="_(&quot;$&quot;* #,##0.00_);_(&quot;$&quot;* \(#,##0.00\);_(&quot;$&quot;* &quot;-&quot;??_);_(@_)">
                  <c:v>208.33333333333334</c:v>
                </c:pt>
                <c:pt idx="2842" formatCode="_(&quot;$&quot;* #,##0.00_);_(&quot;$&quot;* \(#,##0.00\);_(&quot;$&quot;* &quot;-&quot;??_);_(@_)">
                  <c:v>222.81639928698752</c:v>
                </c:pt>
                <c:pt idx="2843" formatCode="_(&quot;$&quot;* #,##0.00_);_(&quot;$&quot;* \(#,##0.00\);_(&quot;$&quot;* &quot;-&quot;??_);_(@_)">
                  <c:v>167.78523489932886</c:v>
                </c:pt>
                <c:pt idx="2844" formatCode="_(&quot;$&quot;* #,##0.00_);_(&quot;$&quot;* \(#,##0.00\);_(&quot;$&quot;* &quot;-&quot;??_);_(@_)">
                  <c:v>260.14568158168572</c:v>
                </c:pt>
                <c:pt idx="2845" formatCode="_(&quot;$&quot;* #,##0.00_);_(&quot;$&quot;* \(#,##0.00\);_(&quot;$&quot;* &quot;-&quot;??_);_(@_)">
                  <c:v>186.28912071535024</c:v>
                </c:pt>
                <c:pt idx="2846" formatCode="_(&quot;$&quot;* #,##0.00_);_(&quot;$&quot;* \(#,##0.00\);_(&quot;$&quot;* &quot;-&quot;??_);_(@_)">
                  <c:v>210.9704641350211</c:v>
                </c:pt>
                <c:pt idx="2847" formatCode="_(&quot;$&quot;* #,##0.00_);_(&quot;$&quot;* \(#,##0.00\);_(&quot;$&quot;* &quot;-&quot;??_);_(@_)">
                  <c:v>191.131498470948</c:v>
                </c:pt>
                <c:pt idx="2848" formatCode="_(&quot;$&quot;* #,##0.00_);_(&quot;$&quot;* \(#,##0.00\);_(&quot;$&quot;* &quot;-&quot;??_);_(@_)">
                  <c:v>159.23566878980893</c:v>
                </c:pt>
                <c:pt idx="2849" formatCode="_(&quot;$&quot;* #,##0.00_);_(&quot;$&quot;* \(#,##0.00\);_(&quot;$&quot;* &quot;-&quot;??_);_(@_)">
                  <c:v>227.27272727272728</c:v>
                </c:pt>
                <c:pt idx="2850" formatCode="_(&quot;$&quot;* #,##0.00_);_(&quot;$&quot;* \(#,##0.00\);_(&quot;$&quot;* &quot;-&quot;??_);_(@_)">
                  <c:v>205.25451559934319</c:v>
                </c:pt>
                <c:pt idx="2851" formatCode="_(&quot;$&quot;* #,##0.00_);_(&quot;$&quot;* \(#,##0.00\);_(&quot;$&quot;* &quot;-&quot;??_);_(@_)">
                  <c:v>172.41379310344828</c:v>
                </c:pt>
                <c:pt idx="2852" formatCode="_(&quot;$&quot;* #,##0.00_);_(&quot;$&quot;* \(#,##0.00\);_(&quot;$&quot;* &quot;-&quot;??_);_(@_)">
                  <c:v>132.27513227513228</c:v>
                </c:pt>
                <c:pt idx="2853" formatCode="_(&quot;$&quot;* #,##0.00_);_(&quot;$&quot;* \(#,##0.00\);_(&quot;$&quot;* &quot;-&quot;??_);_(@_)">
                  <c:v>261.23301985370949</c:v>
                </c:pt>
                <c:pt idx="2854" formatCode="_(&quot;$&quot;* #,##0.00_);_(&quot;$&quot;* \(#,##0.00\);_(&quot;$&quot;* &quot;-&quot;??_);_(@_)">
                  <c:v>199.04458598726114</c:v>
                </c:pt>
                <c:pt idx="2855" formatCode="_(&quot;$&quot;* #,##0.00_);_(&quot;$&quot;* \(#,##0.00\);_(&quot;$&quot;* &quot;-&quot;??_);_(@_)">
                  <c:v>153.37423312883436</c:v>
                </c:pt>
                <c:pt idx="2856" formatCode="_(&quot;$&quot;* #,##0.00_);_(&quot;$&quot;* \(#,##0.00\);_(&quot;$&quot;* &quot;-&quot;??_);_(@_)">
                  <c:v>179.34002869440459</c:v>
                </c:pt>
                <c:pt idx="2857" formatCode="_(&quot;$&quot;* #,##0.00_);_(&quot;$&quot;* \(#,##0.00\);_(&quot;$&quot;* &quot;-&quot;??_);_(@_)">
                  <c:v>206.95364238410596</c:v>
                </c:pt>
                <c:pt idx="2858" formatCode="_(&quot;$&quot;* #,##0.00_);_(&quot;$&quot;* \(#,##0.00\);_(&quot;$&quot;* &quot;-&quot;??_);_(@_)">
                  <c:v>200.71827613727055</c:v>
                </c:pt>
                <c:pt idx="2859" formatCode="_(&quot;$&quot;* #,##0.00_);_(&quot;$&quot;* \(#,##0.00\);_(&quot;$&quot;* &quot;-&quot;??_);_(@_)">
                  <c:v>166.11733684904416</c:v>
                </c:pt>
                <c:pt idx="2860" formatCode="_(&quot;$&quot;* #,##0.00_);_(&quot;$&quot;* \(#,##0.00\);_(&quot;$&quot;* &quot;-&quot;??_);_(@_)">
                  <c:v>182.34442836468887</c:v>
                </c:pt>
                <c:pt idx="2861" formatCode="_(&quot;$&quot;* #,##0.00_);_(&quot;$&quot;* \(#,##0.00\);_(&quot;$&quot;* &quot;-&quot;??_);_(@_)">
                  <c:v>229.44896115627822</c:v>
                </c:pt>
                <c:pt idx="2862" formatCode="_(&quot;$&quot;* #,##0.00_);_(&quot;$&quot;* \(#,##0.00\);_(&quot;$&quot;* &quot;-&quot;??_);_(@_)">
                  <c:v>214.46593776282592</c:v>
                </c:pt>
                <c:pt idx="2863" formatCode="_(&quot;$&quot;* #,##0.00_);_(&quot;$&quot;* \(#,##0.00\);_(&quot;$&quot;* &quot;-&quot;??_);_(@_)">
                  <c:v>188.05309734513276</c:v>
                </c:pt>
                <c:pt idx="2864" formatCode="_(&quot;$&quot;* #,##0.00_);_(&quot;$&quot;* \(#,##0.00\);_(&quot;$&quot;* &quot;-&quot;??_);_(@_)">
                  <c:v>199.06323185011709</c:v>
                </c:pt>
                <c:pt idx="2865" formatCode="_(&quot;$&quot;* #,##0.00_);_(&quot;$&quot;* \(#,##0.00\);_(&quot;$&quot;* &quot;-&quot;??_);_(@_)">
                  <c:v>182.14285714285714</c:v>
                </c:pt>
                <c:pt idx="2866" formatCode="_(&quot;$&quot;* #,##0.00_);_(&quot;$&quot;* \(#,##0.00\);_(&quot;$&quot;* &quot;-&quot;??_);_(@_)">
                  <c:v>185.99562363238513</c:v>
                </c:pt>
                <c:pt idx="2867" formatCode="_(&quot;$&quot;* #,##0.00_);_(&quot;$&quot;* \(#,##0.00\);_(&quot;$&quot;* &quot;-&quot;??_);_(@_)">
                  <c:v>126.48809523809524</c:v>
                </c:pt>
                <c:pt idx="2868" formatCode="_(&quot;$&quot;* #,##0.00_);_(&quot;$&quot;* \(#,##0.00\);_(&quot;$&quot;* &quot;-&quot;??_);_(@_)">
                  <c:v>174.18032786885246</c:v>
                </c:pt>
                <c:pt idx="2869" formatCode="_(&quot;$&quot;* #,##0.00_);_(&quot;$&quot;* \(#,##0.00\);_(&quot;$&quot;* &quot;-&quot;??_);_(@_)">
                  <c:v>174.18032786885246</c:v>
                </c:pt>
                <c:pt idx="2870" formatCode="_(&quot;$&quot;* #,##0.00_);_(&quot;$&quot;* \(#,##0.00\);_(&quot;$&quot;* &quot;-&quot;??_);_(@_)">
                  <c:v>169.43521594684384</c:v>
                </c:pt>
                <c:pt idx="2871" formatCode="_(&quot;$&quot;* #,##0.00_);_(&quot;$&quot;* \(#,##0.00\);_(&quot;$&quot;* &quot;-&quot;??_);_(@_)">
                  <c:v>238.0952380952381</c:v>
                </c:pt>
                <c:pt idx="2872" formatCode="_(&quot;$&quot;* #,##0.00_);_(&quot;$&quot;* \(#,##0.00\);_(&quot;$&quot;* &quot;-&quot;??_);_(@_)">
                  <c:v>162.31699554423935</c:v>
                </c:pt>
                <c:pt idx="2873" formatCode="_(&quot;$&quot;* #,##0.00_);_(&quot;$&quot;* \(#,##0.00\);_(&quot;$&quot;* &quot;-&quot;??_);_(@_)">
                  <c:v>167.76315789473685</c:v>
                </c:pt>
                <c:pt idx="2874" formatCode="_(&quot;$&quot;* #,##0.00_);_(&quot;$&quot;* \(#,##0.00\);_(&quot;$&quot;* &quot;-&quot;??_);_(@_)">
                  <c:v>252.97619047619048</c:v>
                </c:pt>
                <c:pt idx="2875" formatCode="_(&quot;$&quot;* #,##0.00_);_(&quot;$&quot;* \(#,##0.00\);_(&quot;$&quot;* &quot;-&quot;??_);_(@_)">
                  <c:v>177.45302713987473</c:v>
                </c:pt>
                <c:pt idx="2876" formatCode="_(&quot;$&quot;* #,##0.00_);_(&quot;$&quot;* \(#,##0.00\);_(&quot;$&quot;* &quot;-&quot;??_);_(@_)">
                  <c:v>210.52631578947367</c:v>
                </c:pt>
                <c:pt idx="2877" formatCode="_(&quot;$&quot;* #,##0.00_);_(&quot;$&quot;* \(#,##0.00\);_(&quot;$&quot;* &quot;-&quot;??_);_(@_)">
                  <c:v>234.86238532110093</c:v>
                </c:pt>
                <c:pt idx="2878" formatCode="_(&quot;$&quot;* #,##0.00_);_(&quot;$&quot;* \(#,##0.00\);_(&quot;$&quot;* &quot;-&quot;??_);_(@_)">
                  <c:v>162.34996841440304</c:v>
                </c:pt>
                <c:pt idx="2879" formatCode="_(&quot;$&quot;* #,##0.00_);_(&quot;$&quot;* \(#,##0.00\);_(&quot;$&quot;* &quot;-&quot;??_);_(@_)">
                  <c:v>178.96935933147631</c:v>
                </c:pt>
                <c:pt idx="2880" formatCode="_(&quot;$&quot;* #,##0.00_);_(&quot;$&quot;* \(#,##0.00\);_(&quot;$&quot;* &quot;-&quot;??_);_(@_)">
                  <c:v>169.19025674786045</c:v>
                </c:pt>
                <c:pt idx="2881" formatCode="_(&quot;$&quot;* #,##0.00_);_(&quot;$&quot;* \(#,##0.00\);_(&quot;$&quot;* &quot;-&quot;??_);_(@_)">
                  <c:v>214.16666666666666</c:v>
                </c:pt>
                <c:pt idx="2882" formatCode="_(&quot;$&quot;* #,##0.00_);_(&quot;$&quot;* \(#,##0.00\);_(&quot;$&quot;* &quot;-&quot;??_);_(@_)">
                  <c:v>243.62606232294618</c:v>
                </c:pt>
                <c:pt idx="2883" formatCode="_(&quot;$&quot;* #,##0.00_);_(&quot;$&quot;* \(#,##0.00\);_(&quot;$&quot;* &quot;-&quot;??_);_(@_)">
                  <c:v>170.74784910655194</c:v>
                </c:pt>
                <c:pt idx="2884" formatCode="_(&quot;$&quot;* #,##0.00_);_(&quot;$&quot;* \(#,##0.00\);_(&quot;$&quot;* &quot;-&quot;??_);_(@_)">
                  <c:v>212.34567901234567</c:v>
                </c:pt>
                <c:pt idx="2885" formatCode="_(&quot;$&quot;* #,##0.00_);_(&quot;$&quot;* \(#,##0.00\);_(&quot;$&quot;* &quot;-&quot;??_);_(@_)">
                  <c:v>186.50793650793651</c:v>
                </c:pt>
                <c:pt idx="2886" formatCode="_(&quot;$&quot;* #,##0.00_);_(&quot;$&quot;* \(#,##0.00\);_(&quot;$&quot;* &quot;-&quot;??_);_(@_)">
                  <c:v>259.89999999999998</c:v>
                </c:pt>
                <c:pt idx="2887" formatCode="_(&quot;$&quot;* #,##0.00_);_(&quot;$&quot;* \(#,##0.00\);_(&quot;$&quot;* &quot;-&quot;??_);_(@_)">
                  <c:v>275.31779661016947</c:v>
                </c:pt>
                <c:pt idx="2888" formatCode="_(&quot;$&quot;* #,##0.00_);_(&quot;$&quot;* \(#,##0.00\);_(&quot;$&quot;* &quot;-&quot;??_);_(@_)">
                  <c:v>175.84573748308526</c:v>
                </c:pt>
                <c:pt idx="2889" formatCode="_(&quot;$&quot;* #,##0.00_);_(&quot;$&quot;* \(#,##0.00\);_(&quot;$&quot;* &quot;-&quot;??_);_(@_)">
                  <c:v>165.39440203562341</c:v>
                </c:pt>
                <c:pt idx="2890" formatCode="_(&quot;$&quot;* #,##0.00_);_(&quot;$&quot;* \(#,##0.00\);_(&quot;$&quot;* &quot;-&quot;??_);_(@_)">
                  <c:v>157.86278081360049</c:v>
                </c:pt>
                <c:pt idx="2891" formatCode="_(&quot;$&quot;* #,##0.00_);_(&quot;$&quot;* \(#,##0.00\);_(&quot;$&quot;* &quot;-&quot;??_);_(@_)">
                  <c:v>251.93798449612405</c:v>
                </c:pt>
                <c:pt idx="2892" formatCode="_(&quot;$&quot;* #,##0.00_);_(&quot;$&quot;* \(#,##0.00\);_(&quot;$&quot;* &quot;-&quot;??_);_(@_)">
                  <c:v>209.67741935483872</c:v>
                </c:pt>
                <c:pt idx="2893" formatCode="_(&quot;$&quot;* #,##0.00_);_(&quot;$&quot;* \(#,##0.00\);_(&quot;$&quot;* &quot;-&quot;??_);_(@_)">
                  <c:v>200.77220077220076</c:v>
                </c:pt>
                <c:pt idx="2894" formatCode="_(&quot;$&quot;* #,##0.00_);_(&quot;$&quot;* \(#,##0.00\);_(&quot;$&quot;* &quot;-&quot;??_);_(@_)">
                  <c:v>190.47619047619048</c:v>
                </c:pt>
                <c:pt idx="2895" formatCode="_(&quot;$&quot;* #,##0.00_);_(&quot;$&quot;* \(#,##0.00\);_(&quot;$&quot;* &quot;-&quot;??_);_(@_)">
                  <c:v>179.43409247757074</c:v>
                </c:pt>
                <c:pt idx="2896" formatCode="_(&quot;$&quot;* #,##0.00_);_(&quot;$&quot;* \(#,##0.00\);_(&quot;$&quot;* &quot;-&quot;??_);_(@_)">
                  <c:v>185.71428571428572</c:v>
                </c:pt>
                <c:pt idx="2897" formatCode="_(&quot;$&quot;* #,##0.00_);_(&quot;$&quot;* \(#,##0.00\);_(&quot;$&quot;* &quot;-&quot;??_);_(@_)">
                  <c:v>173.91304347826087</c:v>
                </c:pt>
                <c:pt idx="2898" formatCode="_(&quot;$&quot;* #,##0.00_);_(&quot;$&quot;* \(#,##0.00\);_(&quot;$&quot;* &quot;-&quot;??_);_(@_)">
                  <c:v>126.7056530214425</c:v>
                </c:pt>
                <c:pt idx="2899" formatCode="_(&quot;$&quot;* #,##0.00_);_(&quot;$&quot;* \(#,##0.00\);_(&quot;$&quot;* &quot;-&quot;??_);_(@_)">
                  <c:v>171.05263157894737</c:v>
                </c:pt>
                <c:pt idx="2900" formatCode="_(&quot;$&quot;* #,##0.00_);_(&quot;$&quot;* \(#,##0.00\);_(&quot;$&quot;* &quot;-&quot;??_);_(@_)">
                  <c:v>135.41666666666666</c:v>
                </c:pt>
                <c:pt idx="2901" formatCode="_(&quot;$&quot;* #,##0.00_);_(&quot;$&quot;* \(#,##0.00\);_(&quot;$&quot;* &quot;-&quot;??_);_(@_)">
                  <c:v>231.3167259786477</c:v>
                </c:pt>
                <c:pt idx="2902" formatCode="_(&quot;$&quot;* #,##0.00_);_(&quot;$&quot;* \(#,##0.00\);_(&quot;$&quot;* &quot;-&quot;??_);_(@_)">
                  <c:v>163.00940438871473</c:v>
                </c:pt>
                <c:pt idx="2903" formatCode="_(&quot;$&quot;* #,##0.00_);_(&quot;$&quot;* \(#,##0.00\);_(&quot;$&quot;* &quot;-&quot;??_);_(@_)">
                  <c:v>208</c:v>
                </c:pt>
                <c:pt idx="2904" formatCode="_(&quot;$&quot;* #,##0.00_);_(&quot;$&quot;* \(#,##0.00\);_(&quot;$&quot;* &quot;-&quot;??_);_(@_)">
                  <c:v>234.71223021582733</c:v>
                </c:pt>
                <c:pt idx="2905" formatCode="_(&quot;$&quot;* #,##0.00_);_(&quot;$&quot;* \(#,##0.00\);_(&quot;$&quot;* &quot;-&quot;??_);_(@_)">
                  <c:v>187.76978417266187</c:v>
                </c:pt>
                <c:pt idx="2906" formatCode="_(&quot;$&quot;* #,##0.00_);_(&quot;$&quot;* \(#,##0.00\);_(&quot;$&quot;* &quot;-&quot;??_);_(@_)">
                  <c:v>166.56050955414014</c:v>
                </c:pt>
                <c:pt idx="2907" formatCode="_(&quot;$&quot;* #,##0.00_);_(&quot;$&quot;* \(#,##0.00\);_(&quot;$&quot;* &quot;-&quot;??_);_(@_)">
                  <c:v>249.52380952380952</c:v>
                </c:pt>
                <c:pt idx="2908" formatCode="_(&quot;$&quot;* #,##0.00_);_(&quot;$&quot;* \(#,##0.00\);_(&quot;$&quot;* &quot;-&quot;??_);_(@_)">
                  <c:v>187.14285714285714</c:v>
                </c:pt>
                <c:pt idx="2909" formatCode="_(&quot;$&quot;* #,##0.00_);_(&quot;$&quot;* \(#,##0.00\);_(&quot;$&quot;* &quot;-&quot;??_);_(@_)">
                  <c:v>178.96174863387978</c:v>
                </c:pt>
                <c:pt idx="2910" formatCode="_(&quot;$&quot;* #,##0.00_);_(&quot;$&quot;* \(#,##0.00\);_(&quot;$&quot;* &quot;-&quot;??_);_(@_)">
                  <c:v>187.09907341411261</c:v>
                </c:pt>
                <c:pt idx="2911" formatCode="_(&quot;$&quot;* #,##0.00_);_(&quot;$&quot;* \(#,##0.00\);_(&quot;$&quot;* &quot;-&quot;??_);_(@_)">
                  <c:v>262.21335992023927</c:v>
                </c:pt>
                <c:pt idx="2912" formatCode="_(&quot;$&quot;* #,##0.00_);_(&quot;$&quot;* \(#,##0.00\);_(&quot;$&quot;* &quot;-&quot;??_);_(@_)">
                  <c:v>193.4480234260615</c:v>
                </c:pt>
                <c:pt idx="2913" formatCode="_(&quot;$&quot;* #,##0.00_);_(&quot;$&quot;* \(#,##0.00\);_(&quot;$&quot;* &quot;-&quot;??_);_(@_)">
                  <c:v>172.92619203135206</c:v>
                </c:pt>
                <c:pt idx="2914" formatCode="_(&quot;$&quot;* #,##0.00_);_(&quot;$&quot;* \(#,##0.00\);_(&quot;$&quot;* &quot;-&quot;??_);_(@_)">
                  <c:v>265</c:v>
                </c:pt>
                <c:pt idx="2915" formatCode="_(&quot;$&quot;* #,##0.00_);_(&quot;$&quot;* \(#,##0.00\);_(&quot;$&quot;* &quot;-&quot;??_);_(@_)">
                  <c:v>180.39482641252553</c:v>
                </c:pt>
                <c:pt idx="2916" formatCode="_(&quot;$&quot;* #,##0.00_);_(&quot;$&quot;* \(#,##0.00\);_(&quot;$&quot;* &quot;-&quot;??_);_(@_)">
                  <c:v>203.84615384615384</c:v>
                </c:pt>
                <c:pt idx="2917" formatCode="_(&quot;$&quot;* #,##0.00_);_(&quot;$&quot;* \(#,##0.00\);_(&quot;$&quot;* &quot;-&quot;??_);_(@_)">
                  <c:v>223.62869198312237</c:v>
                </c:pt>
                <c:pt idx="2918" formatCode="_(&quot;$&quot;* #,##0.00_);_(&quot;$&quot;* \(#,##0.00\);_(&quot;$&quot;* &quot;-&quot;??_);_(@_)">
                  <c:v>147.96203238414293</c:v>
                </c:pt>
                <c:pt idx="2919" formatCode="_(&quot;$&quot;* #,##0.00_);_(&quot;$&quot;* \(#,##0.00\);_(&quot;$&quot;* &quot;-&quot;??_);_(@_)">
                  <c:v>240.47186932849365</c:v>
                </c:pt>
                <c:pt idx="2920" formatCode="_(&quot;$&quot;* #,##0.00_);_(&quot;$&quot;* \(#,##0.00\);_(&quot;$&quot;* &quot;-&quot;??_);_(@_)">
                  <c:v>199.39804364183595</c:v>
                </c:pt>
                <c:pt idx="2921" formatCode="_(&quot;$&quot;* #,##0.00_);_(&quot;$&quot;* \(#,##0.00\);_(&quot;$&quot;* &quot;-&quot;??_);_(@_)">
                  <c:v>155.33411488862836</c:v>
                </c:pt>
                <c:pt idx="2922" formatCode="_(&quot;$&quot;* #,##0.00_);_(&quot;$&quot;* \(#,##0.00\);_(&quot;$&quot;* &quot;-&quot;??_);_(@_)">
                  <c:v>234.30592396109637</c:v>
                </c:pt>
                <c:pt idx="2923" formatCode="_(&quot;$&quot;* #,##0.00_);_(&quot;$&quot;* \(#,##0.00\);_(&quot;$&quot;* &quot;-&quot;??_);_(@_)">
                  <c:v>264.2073778664008</c:v>
                </c:pt>
                <c:pt idx="2924" formatCode="_(&quot;$&quot;* #,##0.00_);_(&quot;$&quot;* \(#,##0.00\);_(&quot;$&quot;* &quot;-&quot;??_);_(@_)">
                  <c:v>210.15067406819983</c:v>
                </c:pt>
                <c:pt idx="2925" formatCode="_(&quot;$&quot;* #,##0.00_);_(&quot;$&quot;* \(#,##0.00\);_(&quot;$&quot;* &quot;-&quot;??_);_(@_)">
                  <c:v>171.96625567813109</c:v>
                </c:pt>
                <c:pt idx="2926" formatCode="_(&quot;$&quot;* #,##0.00_);_(&quot;$&quot;* \(#,##0.00\);_(&quot;$&quot;* &quot;-&quot;??_);_(@_)">
                  <c:v>237.0304114490161</c:v>
                </c:pt>
                <c:pt idx="2927" formatCode="_(&quot;$&quot;* #,##0.00_);_(&quot;$&quot;* \(#,##0.00\);_(&quot;$&quot;* &quot;-&quot;??_);_(@_)">
                  <c:v>212.5796178343949</c:v>
                </c:pt>
                <c:pt idx="2928" formatCode="_(&quot;$&quot;* #,##0.00_);_(&quot;$&quot;* \(#,##0.00\);_(&quot;$&quot;* &quot;-&quot;??_);_(@_)">
                  <c:v>203.04182509505702</c:v>
                </c:pt>
                <c:pt idx="2929" formatCode="_(&quot;$&quot;* #,##0.00_);_(&quot;$&quot;* \(#,##0.00\);_(&quot;$&quot;* &quot;-&quot;??_);_(@_)">
                  <c:v>173.71502927781393</c:v>
                </c:pt>
                <c:pt idx="2930" formatCode="_(&quot;$&quot;* #,##0.00_);_(&quot;$&quot;* \(#,##0.00\);_(&quot;$&quot;* &quot;-&quot;??_);_(@_)">
                  <c:v>149.49608062709967</c:v>
                </c:pt>
                <c:pt idx="2931" formatCode="_(&quot;$&quot;* #,##0.00_);_(&quot;$&quot;* \(#,##0.00\);_(&quot;$&quot;* &quot;-&quot;??_);_(@_)">
                  <c:v>168.66708780795958</c:v>
                </c:pt>
                <c:pt idx="2932" formatCode="_(&quot;$&quot;* #,##0.00_);_(&quot;$&quot;* \(#,##0.00\);_(&quot;$&quot;* &quot;-&quot;??_);_(@_)">
                  <c:v>139.36557462298492</c:v>
                </c:pt>
                <c:pt idx="2933" formatCode="_(&quot;$&quot;* #,##0.00_);_(&quot;$&quot;* \(#,##0.00\);_(&quot;$&quot;* &quot;-&quot;??_);_(@_)">
                  <c:v>150.42016806722688</c:v>
                </c:pt>
                <c:pt idx="2934" formatCode="_(&quot;$&quot;* #,##0.00_);_(&quot;$&quot;* \(#,##0.00\);_(&quot;$&quot;* &quot;-&quot;??_);_(@_)">
                  <c:v>167.28855721393035</c:v>
                </c:pt>
                <c:pt idx="2935" formatCode="_(&quot;$&quot;* #,##0.00_);_(&quot;$&quot;* \(#,##0.00\);_(&quot;$&quot;* &quot;-&quot;??_);_(@_)">
                  <c:v>107.8</c:v>
                </c:pt>
                <c:pt idx="2936" formatCode="_(&quot;$&quot;* #,##0.00_);_(&quot;$&quot;* \(#,##0.00\);_(&quot;$&quot;* &quot;-&quot;??_);_(@_)">
                  <c:v>194.17266187050359</c:v>
                </c:pt>
                <c:pt idx="2937" formatCode="_(&quot;$&quot;* #,##0.00_);_(&quot;$&quot;* \(#,##0.00\);_(&quot;$&quot;* &quot;-&quot;??_);_(@_)">
                  <c:v>204.3906131718395</c:v>
                </c:pt>
                <c:pt idx="2938" formatCode="_(&quot;$&quot;* #,##0.00_);_(&quot;$&quot;* \(#,##0.00\);_(&quot;$&quot;* &quot;-&quot;??_);_(@_)">
                  <c:v>215.48284118116521</c:v>
                </c:pt>
                <c:pt idx="2939" formatCode="_(&quot;$&quot;* #,##0.00_);_(&quot;$&quot;* \(#,##0.00\);_(&quot;$&quot;* &quot;-&quot;??_);_(@_)">
                  <c:v>173.74517374517376</c:v>
                </c:pt>
                <c:pt idx="2940" formatCode="_(&quot;$&quot;* #,##0.00_);_(&quot;$&quot;* \(#,##0.00\);_(&quot;$&quot;* &quot;-&quot;??_);_(@_)">
                  <c:v>165.44117647058823</c:v>
                </c:pt>
                <c:pt idx="2941" formatCode="_(&quot;$&quot;* #,##0.00_);_(&quot;$&quot;* \(#,##0.00\);_(&quot;$&quot;* &quot;-&quot;??_);_(@_)">
                  <c:v>216</c:v>
                </c:pt>
                <c:pt idx="2942" formatCode="_(&quot;$&quot;* #,##0.00_);_(&quot;$&quot;* \(#,##0.00\);_(&quot;$&quot;* &quot;-&quot;??_);_(@_)">
                  <c:v>149.41892639734365</c:v>
                </c:pt>
                <c:pt idx="2943" formatCode="_(&quot;$&quot;* #,##0.00_);_(&quot;$&quot;* \(#,##0.00\);_(&quot;$&quot;* &quot;-&quot;??_);_(@_)">
                  <c:v>167.91044776119404</c:v>
                </c:pt>
                <c:pt idx="2944" formatCode="_(&quot;$&quot;* #,##0.00_);_(&quot;$&quot;* \(#,##0.00\);_(&quot;$&quot;* &quot;-&quot;??_);_(@_)">
                  <c:v>170.13232514177693</c:v>
                </c:pt>
                <c:pt idx="2945" formatCode="_(&quot;$&quot;* #,##0.00_);_(&quot;$&quot;* \(#,##0.00\);_(&quot;$&quot;* &quot;-&quot;??_);_(@_)">
                  <c:v>181.45161290322579</c:v>
                </c:pt>
                <c:pt idx="2946" formatCode="_(&quot;$&quot;* #,##0.00_);_(&quot;$&quot;* \(#,##0.00\);_(&quot;$&quot;* &quot;-&quot;??_);_(@_)">
                  <c:v>174.64424320827942</c:v>
                </c:pt>
                <c:pt idx="2947" formatCode="_(&quot;$&quot;* #,##0.00_);_(&quot;$&quot;* \(#,##0.00\);_(&quot;$&quot;* &quot;-&quot;??_);_(@_)">
                  <c:v>161.19402985074626</c:v>
                </c:pt>
                <c:pt idx="2948" formatCode="_(&quot;$&quot;* #,##0.00_);_(&quot;$&quot;* \(#,##0.00\);_(&quot;$&quot;* &quot;-&quot;??_);_(@_)">
                  <c:v>186.07856650585802</c:v>
                </c:pt>
                <c:pt idx="2949" formatCode="_(&quot;$&quot;* #,##0.00_);_(&quot;$&quot;* \(#,##0.00\);_(&quot;$&quot;* &quot;-&quot;??_);_(@_)">
                  <c:v>234.375</c:v>
                </c:pt>
                <c:pt idx="2950" formatCode="_(&quot;$&quot;* #,##0.00_);_(&quot;$&quot;* \(#,##0.00\);_(&quot;$&quot;* &quot;-&quot;??_);_(@_)">
                  <c:v>187.76077885952711</c:v>
                </c:pt>
                <c:pt idx="2951" formatCode="_(&quot;$&quot;* #,##0.00_);_(&quot;$&quot;* \(#,##0.00\);_(&quot;$&quot;* &quot;-&quot;??_);_(@_)">
                  <c:v>168.53932584269663</c:v>
                </c:pt>
                <c:pt idx="2952" formatCode="_(&quot;$&quot;* #,##0.00_);_(&quot;$&quot;* \(#,##0.00\);_(&quot;$&quot;* &quot;-&quot;??_);_(@_)">
                  <c:v>237.97025371828522</c:v>
                </c:pt>
                <c:pt idx="2953" formatCode="_(&quot;$&quot;* #,##0.00_);_(&quot;$&quot;* \(#,##0.00\);_(&quot;$&quot;* &quot;-&quot;??_);_(@_)">
                  <c:v>175.48387096774192</c:v>
                </c:pt>
                <c:pt idx="2954" formatCode="_(&quot;$&quot;* #,##0.00_);_(&quot;$&quot;* \(#,##0.00\);_(&quot;$&quot;* &quot;-&quot;??_);_(@_)">
                  <c:v>173.80191693290735</c:v>
                </c:pt>
                <c:pt idx="2955" formatCode="_(&quot;$&quot;* #,##0.00_);_(&quot;$&quot;* \(#,##0.00\);_(&quot;$&quot;* &quot;-&quot;??_);_(@_)">
                  <c:v>202.30141054194507</c:v>
                </c:pt>
                <c:pt idx="2956" formatCode="_(&quot;$&quot;* #,##0.00_);_(&quot;$&quot;* \(#,##0.00\);_(&quot;$&quot;* &quot;-&quot;??_);_(@_)">
                  <c:v>202.22222222222223</c:v>
                </c:pt>
                <c:pt idx="2957" formatCode="_(&quot;$&quot;* #,##0.00_);_(&quot;$&quot;* \(#,##0.00\);_(&quot;$&quot;* &quot;-&quot;??_);_(@_)">
                  <c:v>138.06158505805149</c:v>
                </c:pt>
                <c:pt idx="2958" formatCode="_(&quot;$&quot;* #,##0.00_);_(&quot;$&quot;* \(#,##0.00\);_(&quot;$&quot;* &quot;-&quot;??_);_(@_)">
                  <c:v>136.75</c:v>
                </c:pt>
                <c:pt idx="2959" formatCode="_(&quot;$&quot;* #,##0.00_);_(&quot;$&quot;* \(#,##0.00\);_(&quot;$&quot;* &quot;-&quot;??_);_(@_)">
                  <c:v>229.08333333333334</c:v>
                </c:pt>
                <c:pt idx="2960" formatCode="_(&quot;$&quot;* #,##0.00_);_(&quot;$&quot;* \(#,##0.00\);_(&quot;$&quot;* &quot;-&quot;??_);_(@_)">
                  <c:v>286.45833333333331</c:v>
                </c:pt>
                <c:pt idx="2961" formatCode="_(&quot;$&quot;* #,##0.00_);_(&quot;$&quot;* \(#,##0.00\);_(&quot;$&quot;* &quot;-&quot;??_);_(@_)">
                  <c:v>179.62116263879818</c:v>
                </c:pt>
                <c:pt idx="2962" formatCode="_(&quot;$&quot;* #,##0.00_);_(&quot;$&quot;* \(#,##0.00\);_(&quot;$&quot;* &quot;-&quot;??_);_(@_)">
                  <c:v>143.45331246739698</c:v>
                </c:pt>
                <c:pt idx="2963" formatCode="_(&quot;$&quot;* #,##0.00_);_(&quot;$&quot;* \(#,##0.00\);_(&quot;$&quot;* &quot;-&quot;??_);_(@_)">
                  <c:v>201.17044623262618</c:v>
                </c:pt>
                <c:pt idx="2964" formatCode="_(&quot;$&quot;* #,##0.00_);_(&quot;$&quot;* \(#,##0.00\);_(&quot;$&quot;* &quot;-&quot;??_);_(@_)">
                  <c:v>168.91891891891891</c:v>
                </c:pt>
                <c:pt idx="2965" formatCode="_(&quot;$&quot;* #,##0.00_);_(&quot;$&quot;* \(#,##0.00\);_(&quot;$&quot;* &quot;-&quot;??_);_(@_)">
                  <c:v>257.97373358348966</c:v>
                </c:pt>
                <c:pt idx="2966" formatCode="_(&quot;$&quot;* #,##0.00_);_(&quot;$&quot;* \(#,##0.00\);_(&quot;$&quot;* &quot;-&quot;??_);_(@_)">
                  <c:v>196.42857142857142</c:v>
                </c:pt>
                <c:pt idx="2967" formatCode="_(&quot;$&quot;* #,##0.00_);_(&quot;$&quot;* \(#,##0.00\);_(&quot;$&quot;* &quot;-&quot;??_);_(@_)">
                  <c:v>202.8023598820059</c:v>
                </c:pt>
                <c:pt idx="2968" formatCode="_(&quot;$&quot;* #,##0.00_);_(&quot;$&quot;* \(#,##0.00\);_(&quot;$&quot;* &quot;-&quot;??_);_(@_)">
                  <c:v>150.73730202075367</c:v>
                </c:pt>
                <c:pt idx="2969" formatCode="_(&quot;$&quot;* #,##0.00_);_(&quot;$&quot;* \(#,##0.00\);_(&quot;$&quot;* &quot;-&quot;??_);_(@_)">
                  <c:v>220.27134876296887</c:v>
                </c:pt>
                <c:pt idx="2970" formatCode="_(&quot;$&quot;* #,##0.00_);_(&quot;$&quot;* \(#,##0.00\);_(&quot;$&quot;* &quot;-&quot;??_);_(@_)">
                  <c:v>192.21140472878997</c:v>
                </c:pt>
                <c:pt idx="2971" formatCode="_(&quot;$&quot;* #,##0.00_);_(&quot;$&quot;* \(#,##0.00\);_(&quot;$&quot;* &quot;-&quot;??_);_(@_)">
                  <c:v>218.62667719021312</c:v>
                </c:pt>
                <c:pt idx="2972" formatCode="_(&quot;$&quot;* #,##0.00_);_(&quot;$&quot;* \(#,##0.00\);_(&quot;$&quot;* &quot;-&quot;??_);_(@_)">
                  <c:v>154.16666666666666</c:v>
                </c:pt>
                <c:pt idx="2973" formatCode="_(&quot;$&quot;* #,##0.00_);_(&quot;$&quot;* \(#,##0.00\);_(&quot;$&quot;* &quot;-&quot;??_);_(@_)">
                  <c:v>182.89473684210526</c:v>
                </c:pt>
                <c:pt idx="2974" formatCode="_(&quot;$&quot;* #,##0.00_);_(&quot;$&quot;* \(#,##0.00\);_(&quot;$&quot;* &quot;-&quot;??_);_(@_)">
                  <c:v>191.3282863041982</c:v>
                </c:pt>
                <c:pt idx="2975" formatCode="_(&quot;$&quot;* #,##0.00_);_(&quot;$&quot;* \(#,##0.00\);_(&quot;$&quot;* &quot;-&quot;??_);_(@_)">
                  <c:v>305.37280701754383</c:v>
                </c:pt>
                <c:pt idx="2976" formatCode="_(&quot;$&quot;* #,##0.00_);_(&quot;$&quot;* \(#,##0.00\);_(&quot;$&quot;* &quot;-&quot;??_);_(@_)">
                  <c:v>188.89641164522681</c:v>
                </c:pt>
                <c:pt idx="2977" formatCode="_(&quot;$&quot;* #,##0.00_);_(&quot;$&quot;* \(#,##0.00\);_(&quot;$&quot;* &quot;-&quot;??_);_(@_)">
                  <c:v>183.66141732283464</c:v>
                </c:pt>
                <c:pt idx="2978" formatCode="_(&quot;$&quot;* #,##0.00_);_(&quot;$&quot;* \(#,##0.00\);_(&quot;$&quot;* &quot;-&quot;??_);_(@_)">
                  <c:v>160.73478760045924</c:v>
                </c:pt>
                <c:pt idx="2979" formatCode="_(&quot;$&quot;* #,##0.00_);_(&quot;$&quot;* \(#,##0.00\);_(&quot;$&quot;* &quot;-&quot;??_);_(@_)">
                  <c:v>208.33333333333334</c:v>
                </c:pt>
                <c:pt idx="2980" formatCode="_(&quot;$&quot;* #,##0.00_);_(&quot;$&quot;* \(#,##0.00\);_(&quot;$&quot;* &quot;-&quot;??_);_(@_)">
                  <c:v>208.33333333333334</c:v>
                </c:pt>
                <c:pt idx="2981" formatCode="_(&quot;$&quot;* #,##0.00_);_(&quot;$&quot;* \(#,##0.00\);_(&quot;$&quot;* &quot;-&quot;??_);_(@_)">
                  <c:v>162.03703703703704</c:v>
                </c:pt>
                <c:pt idx="2982" formatCode="_(&quot;$&quot;* #,##0.00_);_(&quot;$&quot;* \(#,##0.00\);_(&quot;$&quot;* &quot;-&quot;??_);_(@_)">
                  <c:v>155.55555555555554</c:v>
                </c:pt>
                <c:pt idx="2983" formatCode="_(&quot;$&quot;* #,##0.00_);_(&quot;$&quot;* \(#,##0.00\);_(&quot;$&quot;* &quot;-&quot;??_);_(@_)">
                  <c:v>146.6736511262441</c:v>
                </c:pt>
                <c:pt idx="2984" formatCode="_(&quot;$&quot;* #,##0.00_);_(&quot;$&quot;* \(#,##0.00\);_(&quot;$&quot;* &quot;-&quot;??_);_(@_)">
                  <c:v>224.35897435897436</c:v>
                </c:pt>
                <c:pt idx="2985" formatCode="_(&quot;$&quot;* #,##0.00_);_(&quot;$&quot;* \(#,##0.00\);_(&quot;$&quot;* &quot;-&quot;??_);_(@_)">
                  <c:v>175.43859649122808</c:v>
                </c:pt>
                <c:pt idx="2986" formatCode="_(&quot;$&quot;* #,##0.00_);_(&quot;$&quot;* \(#,##0.00\);_(&quot;$&quot;* &quot;-&quot;??_);_(@_)">
                  <c:v>197.74011299435028</c:v>
                </c:pt>
                <c:pt idx="2987" formatCode="_(&quot;$&quot;* #,##0.00_);_(&quot;$&quot;* \(#,##0.00\);_(&quot;$&quot;* &quot;-&quot;??_);_(@_)">
                  <c:v>186.79119412941961</c:v>
                </c:pt>
                <c:pt idx="2988" formatCode="_(&quot;$&quot;* #,##0.00_);_(&quot;$&quot;* \(#,##0.00\);_(&quot;$&quot;* &quot;-&quot;??_);_(@_)">
                  <c:v>195.25801952580196</c:v>
                </c:pt>
                <c:pt idx="2989" formatCode="_(&quot;$&quot;* #,##0.00_);_(&quot;$&quot;* \(#,##0.00\);_(&quot;$&quot;* &quot;-&quot;??_);_(@_)">
                  <c:v>166.66666666666666</c:v>
                </c:pt>
                <c:pt idx="2990" formatCode="_(&quot;$&quot;* #,##0.00_);_(&quot;$&quot;* \(#,##0.00\);_(&quot;$&quot;* &quot;-&quot;??_);_(@_)">
                  <c:v>195.39427773900908</c:v>
                </c:pt>
                <c:pt idx="2991" formatCode="_(&quot;$&quot;* #,##0.00_);_(&quot;$&quot;* \(#,##0.00\);_(&quot;$&quot;* &quot;-&quot;??_);_(@_)">
                  <c:v>149.16134185303514</c:v>
                </c:pt>
                <c:pt idx="2992" formatCode="_(&quot;$&quot;* #,##0.00_);_(&quot;$&quot;* \(#,##0.00\);_(&quot;$&quot;* &quot;-&quot;??_);_(@_)">
                  <c:v>181.84754521963825</c:v>
                </c:pt>
                <c:pt idx="2993" formatCode="_(&quot;$&quot;* #,##0.00_);_(&quot;$&quot;* \(#,##0.00\);_(&quot;$&quot;* &quot;-&quot;??_);_(@_)">
                  <c:v>171.52398299939284</c:v>
                </c:pt>
                <c:pt idx="2994" formatCode="_(&quot;$&quot;* #,##0.00_);_(&quot;$&quot;* \(#,##0.00\);_(&quot;$&quot;* &quot;-&quot;??_);_(@_)">
                  <c:v>171.52398299939284</c:v>
                </c:pt>
                <c:pt idx="2995" formatCode="_(&quot;$&quot;* #,##0.00_);_(&quot;$&quot;* \(#,##0.00\);_(&quot;$&quot;* &quot;-&quot;??_);_(@_)">
                  <c:v>190.44414535666218</c:v>
                </c:pt>
                <c:pt idx="2996" formatCode="_(&quot;$&quot;* #,##0.00_);_(&quot;$&quot;* \(#,##0.00\);_(&quot;$&quot;* &quot;-&quot;??_);_(@_)">
                  <c:v>160.15846066779852</c:v>
                </c:pt>
                <c:pt idx="2997" formatCode="_(&quot;$&quot;* #,##0.00_);_(&quot;$&quot;* \(#,##0.00\);_(&quot;$&quot;* &quot;-&quot;??_);_(@_)">
                  <c:v>174.7842170160296</c:v>
                </c:pt>
                <c:pt idx="2998" formatCode="_(&quot;$&quot;* #,##0.00_);_(&quot;$&quot;* \(#,##0.00\);_(&quot;$&quot;* &quot;-&quot;??_);_(@_)">
                  <c:v>199.02234636871509</c:v>
                </c:pt>
                <c:pt idx="2999" formatCode="_(&quot;$&quot;* #,##0.00_);_(&quot;$&quot;* \(#,##0.00\);_(&quot;$&quot;* &quot;-&quot;??_);_(@_)">
                  <c:v>231.51909017059302</c:v>
                </c:pt>
                <c:pt idx="3000" formatCode="_(&quot;$&quot;* #,##0.00_);_(&quot;$&quot;* \(#,##0.00\);_(&quot;$&quot;* &quot;-&quot;??_);_(@_)">
                  <c:v>212.05357142857142</c:v>
                </c:pt>
                <c:pt idx="3001" formatCode="_(&quot;$&quot;* #,##0.00_);_(&quot;$&quot;* \(#,##0.00\);_(&quot;$&quot;* &quot;-&quot;??_);_(@_)">
                  <c:v>209.40484937545921</c:v>
                </c:pt>
                <c:pt idx="3002" formatCode="_(&quot;$&quot;* #,##0.00_);_(&quot;$&quot;* \(#,##0.00\);_(&quot;$&quot;* &quot;-&quot;??_);_(@_)">
                  <c:v>183.87096774193549</c:v>
                </c:pt>
                <c:pt idx="3003" formatCode="_(&quot;$&quot;* #,##0.00_);_(&quot;$&quot;* \(#,##0.00\);_(&quot;$&quot;* &quot;-&quot;??_);_(@_)">
                  <c:v>216.07278241091737</c:v>
                </c:pt>
                <c:pt idx="3004" formatCode="_(&quot;$&quot;* #,##0.00_);_(&quot;$&quot;* \(#,##0.00\);_(&quot;$&quot;* &quot;-&quot;??_);_(@_)">
                  <c:v>175.06142506142507</c:v>
                </c:pt>
                <c:pt idx="3005" formatCode="_(&quot;$&quot;* #,##0.00_);_(&quot;$&quot;* \(#,##0.00\);_(&quot;$&quot;* &quot;-&quot;??_);_(@_)">
                  <c:v>249.12587412587413</c:v>
                </c:pt>
                <c:pt idx="3006" formatCode="_(&quot;$&quot;* #,##0.00_);_(&quot;$&quot;* \(#,##0.00\);_(&quot;$&quot;* &quot;-&quot;??_);_(@_)">
                  <c:v>151.91897654584221</c:v>
                </c:pt>
                <c:pt idx="3007" formatCode="_(&quot;$&quot;* #,##0.00_);_(&quot;$&quot;* \(#,##0.00\);_(&quot;$&quot;* &quot;-&quot;??_);_(@_)">
                  <c:v>158.68596881959911</c:v>
                </c:pt>
                <c:pt idx="3008" formatCode="_(&quot;$&quot;* #,##0.00_);_(&quot;$&quot;* \(#,##0.00\);_(&quot;$&quot;* &quot;-&quot;??_);_(@_)">
                  <c:v>196.42857142857142</c:v>
                </c:pt>
                <c:pt idx="3009" formatCode="_(&quot;$&quot;* #,##0.00_);_(&quot;$&quot;* \(#,##0.00\);_(&quot;$&quot;* &quot;-&quot;??_);_(@_)">
                  <c:v>199.16434540389972</c:v>
                </c:pt>
                <c:pt idx="3010" formatCode="_(&quot;$&quot;* #,##0.00_);_(&quot;$&quot;* \(#,##0.00\);_(&quot;$&quot;* &quot;-&quot;??_);_(@_)">
                  <c:v>166.08796296296296</c:v>
                </c:pt>
                <c:pt idx="3011" formatCode="_(&quot;$&quot;* #,##0.00_);_(&quot;$&quot;* \(#,##0.00\);_(&quot;$&quot;* &quot;-&quot;??_);_(@_)">
                  <c:v>174.33414043583534</c:v>
                </c:pt>
                <c:pt idx="3012" formatCode="_(&quot;$&quot;* #,##0.00_);_(&quot;$&quot;* \(#,##0.00\);_(&quot;$&quot;* &quot;-&quot;??_);_(@_)">
                  <c:v>264.67889908256882</c:v>
                </c:pt>
                <c:pt idx="3013" formatCode="_(&quot;$&quot;* #,##0.00_);_(&quot;$&quot;* \(#,##0.00\);_(&quot;$&quot;* &quot;-&quot;??_);_(@_)">
                  <c:v>222.65745007680491</c:v>
                </c:pt>
                <c:pt idx="3014" formatCode="_(&quot;$&quot;* #,##0.00_);_(&quot;$&quot;* \(#,##0.00\);_(&quot;$&quot;* &quot;-&quot;??_);_(@_)">
                  <c:v>286.56126482213438</c:v>
                </c:pt>
                <c:pt idx="3015" formatCode="_(&quot;$&quot;* #,##0.00_);_(&quot;$&quot;* \(#,##0.00\);_(&quot;$&quot;* &quot;-&quot;??_);_(@_)">
                  <c:v>185.18518518518519</c:v>
                </c:pt>
                <c:pt idx="3016" formatCode="_(&quot;$&quot;* #,##0.00_);_(&quot;$&quot;* \(#,##0.00\);_(&quot;$&quot;* &quot;-&quot;??_);_(@_)">
                  <c:v>191.92587690271344</c:v>
                </c:pt>
                <c:pt idx="3017" formatCode="_(&quot;$&quot;* #,##0.00_);_(&quot;$&quot;* \(#,##0.00\);_(&quot;$&quot;* &quot;-&quot;??_);_(@_)">
                  <c:v>214.60176991150442</c:v>
                </c:pt>
                <c:pt idx="3018" formatCode="_(&quot;$&quot;* #,##0.00_);_(&quot;$&quot;* \(#,##0.00\);_(&quot;$&quot;* &quot;-&quot;??_);_(@_)">
                  <c:v>222.47706422018348</c:v>
                </c:pt>
                <c:pt idx="3019" formatCode="_(&quot;$&quot;* #,##0.00_);_(&quot;$&quot;* \(#,##0.00\);_(&quot;$&quot;* &quot;-&quot;??_);_(@_)">
                  <c:v>247.03891708967851</c:v>
                </c:pt>
                <c:pt idx="3020" formatCode="_(&quot;$&quot;* #,##0.00_);_(&quot;$&quot;* \(#,##0.00\);_(&quot;$&quot;* &quot;-&quot;??_);_(@_)">
                  <c:v>257.51978891820579</c:v>
                </c:pt>
                <c:pt idx="3021" formatCode="_(&quot;$&quot;* #,##0.00_);_(&quot;$&quot;* \(#,##0.00\);_(&quot;$&quot;* &quot;-&quot;??_);_(@_)">
                  <c:v>200.68493150684932</c:v>
                </c:pt>
                <c:pt idx="3022" formatCode="_(&quot;$&quot;* #,##0.00_);_(&quot;$&quot;* \(#,##0.00\);_(&quot;$&quot;* &quot;-&quot;??_);_(@_)">
                  <c:v>191.90600522193211</c:v>
                </c:pt>
                <c:pt idx="3023" formatCode="_(&quot;$&quot;* #,##0.00_);_(&quot;$&quot;* \(#,##0.00\);_(&quot;$&quot;* &quot;-&quot;??_);_(@_)">
                  <c:v>187.46021642266072</c:v>
                </c:pt>
                <c:pt idx="3024" formatCode="_(&quot;$&quot;* #,##0.00_);_(&quot;$&quot;* \(#,##0.00\);_(&quot;$&quot;* &quot;-&quot;??_);_(@_)">
                  <c:v>246.44945697577276</c:v>
                </c:pt>
                <c:pt idx="3025" formatCode="_(&quot;$&quot;* #,##0.00_);_(&quot;$&quot;* \(#,##0.00\);_(&quot;$&quot;* &quot;-&quot;??_);_(@_)">
                  <c:v>198.78706199460916</c:v>
                </c:pt>
                <c:pt idx="3026" formatCode="_(&quot;$&quot;* #,##0.00_);_(&quot;$&quot;* \(#,##0.00\);_(&quot;$&quot;* &quot;-&quot;??_);_(@_)">
                  <c:v>184.25983760149907</c:v>
                </c:pt>
                <c:pt idx="3027" formatCode="_(&quot;$&quot;* #,##0.00_);_(&quot;$&quot;* \(#,##0.00\);_(&quot;$&quot;* &quot;-&quot;??_);_(@_)">
                  <c:v>218.5185185185185</c:v>
                </c:pt>
                <c:pt idx="3028" formatCode="_(&quot;$&quot;* #,##0.00_);_(&quot;$&quot;* \(#,##0.00\);_(&quot;$&quot;* &quot;-&quot;??_);_(@_)">
                  <c:v>214.70160116448326</c:v>
                </c:pt>
                <c:pt idx="3029" formatCode="_(&quot;$&quot;* #,##0.00_);_(&quot;$&quot;* \(#,##0.00\);_(&quot;$&quot;* &quot;-&quot;??_);_(@_)">
                  <c:v>146.25681705503223</c:v>
                </c:pt>
                <c:pt idx="3030" formatCode="_(&quot;$&quot;* #,##0.00_);_(&quot;$&quot;* \(#,##0.00\);_(&quot;$&quot;* &quot;-&quot;??_);_(@_)">
                  <c:v>173.73380447585396</c:v>
                </c:pt>
                <c:pt idx="3031" formatCode="_(&quot;$&quot;* #,##0.00_);_(&quot;$&quot;* \(#,##0.00\);_(&quot;$&quot;* &quot;-&quot;??_);_(@_)">
                  <c:v>164.16666666666666</c:v>
                </c:pt>
                <c:pt idx="3032" formatCode="_(&quot;$&quot;* #,##0.00_);_(&quot;$&quot;* \(#,##0.00\);_(&quot;$&quot;* &quot;-&quot;??_);_(@_)">
                  <c:v>169.23956546598055</c:v>
                </c:pt>
                <c:pt idx="3033" formatCode="_(&quot;$&quot;* #,##0.00_);_(&quot;$&quot;* \(#,##0.00\);_(&quot;$&quot;* &quot;-&quot;??_);_(@_)">
                  <c:v>200.06747638326587</c:v>
                </c:pt>
                <c:pt idx="3034" formatCode="_(&quot;$&quot;* #,##0.00_);_(&quot;$&quot;* \(#,##0.00\);_(&quot;$&quot;* &quot;-&quot;??_);_(@_)">
                  <c:v>164.26991150442478</c:v>
                </c:pt>
                <c:pt idx="3035" formatCode="_(&quot;$&quot;* #,##0.00_);_(&quot;$&quot;* \(#,##0.00\);_(&quot;$&quot;* &quot;-&quot;??_);_(@_)">
                  <c:v>228.81355932203391</c:v>
                </c:pt>
                <c:pt idx="3036" formatCode="_(&quot;$&quot;* #,##0.00_);_(&quot;$&quot;* \(#,##0.00\);_(&quot;$&quot;* &quot;-&quot;??_);_(@_)">
                  <c:v>186.05378361475923</c:v>
                </c:pt>
                <c:pt idx="3037" formatCode="_(&quot;$&quot;* #,##0.00_);_(&quot;$&quot;* \(#,##0.00\);_(&quot;$&quot;* &quot;-&quot;??_);_(@_)">
                  <c:v>197.42063492063491</c:v>
                </c:pt>
                <c:pt idx="3038" formatCode="_(&quot;$&quot;* #,##0.00_);_(&quot;$&quot;* \(#,##0.00\);_(&quot;$&quot;* &quot;-&quot;??_);_(@_)">
                  <c:v>132.84444444444443</c:v>
                </c:pt>
                <c:pt idx="3039" formatCode="_(&quot;$&quot;* #,##0.00_);_(&quot;$&quot;* \(#,##0.00\);_(&quot;$&quot;* &quot;-&quot;??_);_(@_)">
                  <c:v>272.72727272727275</c:v>
                </c:pt>
                <c:pt idx="3040" formatCode="_(&quot;$&quot;* #,##0.00_);_(&quot;$&quot;* \(#,##0.00\);_(&quot;$&quot;* &quot;-&quot;??_);_(@_)">
                  <c:v>276.7527675276753</c:v>
                </c:pt>
                <c:pt idx="3041" formatCode="_(&quot;$&quot;* #,##0.00_);_(&quot;$&quot;* \(#,##0.00\);_(&quot;$&quot;* &quot;-&quot;??_);_(@_)">
                  <c:v>230.76923076923077</c:v>
                </c:pt>
                <c:pt idx="3042" formatCode="_(&quot;$&quot;* #,##0.00_);_(&quot;$&quot;* \(#,##0.00\);_(&quot;$&quot;* &quot;-&quot;??_);_(@_)">
                  <c:v>193.92372333548803</c:v>
                </c:pt>
                <c:pt idx="3043" formatCode="_(&quot;$&quot;* #,##0.00_);_(&quot;$&quot;* \(#,##0.00\);_(&quot;$&quot;* &quot;-&quot;??_);_(@_)">
                  <c:v>214.59227467811158</c:v>
                </c:pt>
                <c:pt idx="3044" formatCode="_(&quot;$&quot;* #,##0.00_);_(&quot;$&quot;* \(#,##0.00\);_(&quot;$&quot;* &quot;-&quot;??_);_(@_)">
                  <c:v>216.45021645021646</c:v>
                </c:pt>
                <c:pt idx="3045" formatCode="_(&quot;$&quot;* #,##0.00_);_(&quot;$&quot;* \(#,##0.00\);_(&quot;$&quot;* &quot;-&quot;??_);_(@_)">
                  <c:v>191.44862795149967</c:v>
                </c:pt>
                <c:pt idx="3046" formatCode="_(&quot;$&quot;* #,##0.00_);_(&quot;$&quot;* \(#,##0.00\);_(&quot;$&quot;* &quot;-&quot;??_);_(@_)">
                  <c:v>162.68980477223428</c:v>
                </c:pt>
                <c:pt idx="3047" formatCode="_(&quot;$&quot;* #,##0.00_);_(&quot;$&quot;* \(#,##0.00\);_(&quot;$&quot;* &quot;-&quot;??_);_(@_)">
                  <c:v>146.55593551538837</c:v>
                </c:pt>
                <c:pt idx="3048" formatCode="_(&quot;$&quot;* #,##0.00_);_(&quot;$&quot;* \(#,##0.00\);_(&quot;$&quot;* &quot;-&quot;??_);_(@_)">
                  <c:v>195.3125</c:v>
                </c:pt>
                <c:pt idx="3049" formatCode="_(&quot;$&quot;* #,##0.00_);_(&quot;$&quot;* \(#,##0.00\);_(&quot;$&quot;* &quot;-&quot;??_);_(@_)">
                  <c:v>183.5985312117503</c:v>
                </c:pt>
                <c:pt idx="3050" formatCode="_(&quot;$&quot;* #,##0.00_);_(&quot;$&quot;* \(#,##0.00\);_(&quot;$&quot;* &quot;-&quot;??_);_(@_)">
                  <c:v>140.77897700610043</c:v>
                </c:pt>
                <c:pt idx="3051" formatCode="_(&quot;$&quot;* #,##0.00_);_(&quot;$&quot;* \(#,##0.00\);_(&quot;$&quot;* &quot;-&quot;??_);_(@_)">
                  <c:v>224.29210134128166</c:v>
                </c:pt>
                <c:pt idx="3052" formatCode="_(&quot;$&quot;* #,##0.00_);_(&quot;$&quot;* \(#,##0.00\);_(&quot;$&quot;* &quot;-&quot;??_);_(@_)">
                  <c:v>156.80166147455867</c:v>
                </c:pt>
                <c:pt idx="3053" formatCode="_(&quot;$&quot;* #,##0.00_);_(&quot;$&quot;* \(#,##0.00\);_(&quot;$&quot;* &quot;-&quot;??_);_(@_)">
                  <c:v>197.14656290531778</c:v>
                </c:pt>
                <c:pt idx="3054" formatCode="_(&quot;$&quot;* #,##0.00_);_(&quot;$&quot;* \(#,##0.00\);_(&quot;$&quot;* &quot;-&quot;??_);_(@_)">
                  <c:v>168.79511382565241</c:v>
                </c:pt>
                <c:pt idx="3055" formatCode="_(&quot;$&quot;* #,##0.00_);_(&quot;$&quot;* \(#,##0.00\);_(&quot;$&quot;* &quot;-&quot;??_);_(@_)">
                  <c:v>230.71104387291982</c:v>
                </c:pt>
                <c:pt idx="3056" formatCode="_(&quot;$&quot;* #,##0.00_);_(&quot;$&quot;* \(#,##0.00\);_(&quot;$&quot;* &quot;-&quot;??_);_(@_)">
                  <c:v>171.34831460674158</c:v>
                </c:pt>
                <c:pt idx="3057" formatCode="_(&quot;$&quot;* #,##0.00_);_(&quot;$&quot;* \(#,##0.00\);_(&quot;$&quot;* &quot;-&quot;??_);_(@_)">
                  <c:v>200.65789473684211</c:v>
                </c:pt>
                <c:pt idx="3058" formatCode="_(&quot;$&quot;* #,##0.00_);_(&quot;$&quot;* \(#,##0.00\);_(&quot;$&quot;* &quot;-&quot;??_);_(@_)">
                  <c:v>160.07345225603359</c:v>
                </c:pt>
                <c:pt idx="3059" formatCode="_(&quot;$&quot;* #,##0.00_);_(&quot;$&quot;* \(#,##0.00\);_(&quot;$&quot;* &quot;-&quot;??_);_(@_)">
                  <c:v>201.31578947368422</c:v>
                </c:pt>
                <c:pt idx="3060" formatCode="_(&quot;$&quot;* #,##0.00_);_(&quot;$&quot;* \(#,##0.00\);_(&quot;$&quot;* &quot;-&quot;??_);_(@_)">
                  <c:v>162.59298618490968</c:v>
                </c:pt>
                <c:pt idx="3061" formatCode="_(&quot;$&quot;* #,##0.00_);_(&quot;$&quot;* \(#,##0.00\);_(&quot;$&quot;* &quot;-&quot;??_);_(@_)">
                  <c:v>176.13310384394723</c:v>
                </c:pt>
                <c:pt idx="3062" formatCode="_(&quot;$&quot;* #,##0.00_);_(&quot;$&quot;* \(#,##0.00\);_(&quot;$&quot;* &quot;-&quot;??_);_(@_)">
                  <c:v>209.66643975493534</c:v>
                </c:pt>
                <c:pt idx="3063" formatCode="_(&quot;$&quot;* #,##0.00_);_(&quot;$&quot;* \(#,##0.00\);_(&quot;$&quot;* &quot;-&quot;??_);_(@_)">
                  <c:v>272.00704225352115</c:v>
                </c:pt>
                <c:pt idx="3064" formatCode="_(&quot;$&quot;* #,##0.00_);_(&quot;$&quot;* \(#,##0.00\);_(&quot;$&quot;* &quot;-&quot;??_);_(@_)">
                  <c:v>173.109243697479</c:v>
                </c:pt>
                <c:pt idx="3065" formatCode="_(&quot;$&quot;* #,##0.00_);_(&quot;$&quot;* \(#,##0.00\);_(&quot;$&quot;* &quot;-&quot;??_);_(@_)">
                  <c:v>182.73211117681845</c:v>
                </c:pt>
                <c:pt idx="3066" formatCode="_(&quot;$&quot;* #,##0.00_);_(&quot;$&quot;* \(#,##0.00\);_(&quot;$&quot;* &quot;-&quot;??_);_(@_)">
                  <c:v>244.01574803149606</c:v>
                </c:pt>
                <c:pt idx="3067" formatCode="_(&quot;$&quot;* #,##0.00_);_(&quot;$&quot;* \(#,##0.00\);_(&quot;$&quot;* &quot;-&quot;??_);_(@_)">
                  <c:v>202.87958115183247</c:v>
                </c:pt>
                <c:pt idx="3068" formatCode="_(&quot;$&quot;* #,##0.00_);_(&quot;$&quot;* \(#,##0.00\);_(&quot;$&quot;* &quot;-&quot;??_);_(@_)">
                  <c:v>172.60579064587972</c:v>
                </c:pt>
                <c:pt idx="3069" formatCode="_(&quot;$&quot;* #,##0.00_);_(&quot;$&quot;* \(#,##0.00\);_(&quot;$&quot;* &quot;-&quot;??_);_(@_)">
                  <c:v>212.91208791208791</c:v>
                </c:pt>
                <c:pt idx="3070" formatCode="_(&quot;$&quot;* #,##0.00_);_(&quot;$&quot;* \(#,##0.00\);_(&quot;$&quot;* &quot;-&quot;??_);_(@_)">
                  <c:v>225.2906976744186</c:v>
                </c:pt>
                <c:pt idx="3071" formatCode="_(&quot;$&quot;* #,##0.00_);_(&quot;$&quot;* \(#,##0.00\);_(&quot;$&quot;* &quot;-&quot;??_);_(@_)">
                  <c:v>209.7428958051421</c:v>
                </c:pt>
                <c:pt idx="3072" formatCode="_(&quot;$&quot;* #,##0.00_);_(&quot;$&quot;* \(#,##0.00\);_(&quot;$&quot;* &quot;-&quot;??_);_(@_)">
                  <c:v>155</c:v>
                </c:pt>
                <c:pt idx="3073" formatCode="_(&quot;$&quot;* #,##0.00_);_(&quot;$&quot;* \(#,##0.00\);_(&quot;$&quot;* &quot;-&quot;??_);_(@_)">
                  <c:v>248.39743589743588</c:v>
                </c:pt>
                <c:pt idx="3074" formatCode="_(&quot;$&quot;* #,##0.00_);_(&quot;$&quot;* \(#,##0.00\);_(&quot;$&quot;* &quot;-&quot;??_);_(@_)">
                  <c:v>192.78606965174129</c:v>
                </c:pt>
                <c:pt idx="3075" formatCode="_(&quot;$&quot;* #,##0.00_);_(&quot;$&quot;* \(#,##0.00\);_(&quot;$&quot;* &quot;-&quot;??_);_(@_)">
                  <c:v>179.81438515081206</c:v>
                </c:pt>
                <c:pt idx="3076" formatCode="_(&quot;$&quot;* #,##0.00_);_(&quot;$&quot;* \(#,##0.00\);_(&quot;$&quot;* &quot;-&quot;??_);_(@_)">
                  <c:v>156.88259109311741</c:v>
                </c:pt>
                <c:pt idx="3077" formatCode="_(&quot;$&quot;* #,##0.00_);_(&quot;$&quot;* \(#,##0.00\);_(&quot;$&quot;* &quot;-&quot;??_);_(@_)">
                  <c:v>204.7556142668428</c:v>
                </c:pt>
                <c:pt idx="3078" formatCode="_(&quot;$&quot;* #,##0.00_);_(&quot;$&quot;* \(#,##0.00\);_(&quot;$&quot;* &quot;-&quot;??_);_(@_)">
                  <c:v>178.88055395268321</c:v>
                </c:pt>
                <c:pt idx="3079" formatCode="_(&quot;$&quot;* #,##0.00_);_(&quot;$&quot;* \(#,##0.00\);_(&quot;$&quot;* &quot;-&quot;??_);_(@_)">
                  <c:v>176.32027257240205</c:v>
                </c:pt>
                <c:pt idx="3080" formatCode="_(&quot;$&quot;* #,##0.00_);_(&quot;$&quot;* \(#,##0.00\);_(&quot;$&quot;* &quot;-&quot;??_);_(@_)">
                  <c:v>216.57381615598885</c:v>
                </c:pt>
                <c:pt idx="3081" formatCode="_(&quot;$&quot;* #,##0.00_);_(&quot;$&quot;* \(#,##0.00\);_(&quot;$&quot;* &quot;-&quot;??_);_(@_)">
                  <c:v>221.19487908961594</c:v>
                </c:pt>
                <c:pt idx="3082" formatCode="_(&quot;$&quot;* #,##0.00_);_(&quot;$&quot;* \(#,##0.00\);_(&quot;$&quot;* &quot;-&quot;??_);_(@_)">
                  <c:v>203.80078636959371</c:v>
                </c:pt>
                <c:pt idx="3083" formatCode="_(&quot;$&quot;* #,##0.00_);_(&quot;$&quot;* \(#,##0.00\);_(&quot;$&quot;* &quot;-&quot;??_);_(@_)">
                  <c:v>215.27297857636489</c:v>
                </c:pt>
                <c:pt idx="3084" formatCode="_(&quot;$&quot;* #,##0.00_);_(&quot;$&quot;* \(#,##0.00\);_(&quot;$&quot;* &quot;-&quot;??_);_(@_)">
                  <c:v>263.29113924050631</c:v>
                </c:pt>
                <c:pt idx="3085" formatCode="_(&quot;$&quot;* #,##0.00_);_(&quot;$&quot;* \(#,##0.00\);_(&quot;$&quot;* &quot;-&quot;??_);_(@_)">
                  <c:v>198.0952380952381</c:v>
                </c:pt>
                <c:pt idx="3086" formatCode="_(&quot;$&quot;* #,##0.00_);_(&quot;$&quot;* \(#,##0.00\);_(&quot;$&quot;* &quot;-&quot;??_);_(@_)">
                  <c:v>195.73400250941029</c:v>
                </c:pt>
                <c:pt idx="3087" formatCode="_(&quot;$&quot;* #,##0.00_);_(&quot;$&quot;* \(#,##0.00\);_(&quot;$&quot;* &quot;-&quot;??_);_(@_)">
                  <c:v>186.37992831541217</c:v>
                </c:pt>
                <c:pt idx="3088" formatCode="_(&quot;$&quot;* #,##0.00_);_(&quot;$&quot;* \(#,##0.00\);_(&quot;$&quot;* &quot;-&quot;??_);_(@_)">
                  <c:v>251.20772946859904</c:v>
                </c:pt>
                <c:pt idx="3089" formatCode="_(&quot;$&quot;* #,##0.00_);_(&quot;$&quot;* \(#,##0.00\);_(&quot;$&quot;* &quot;-&quot;??_);_(@_)">
                  <c:v>158.24064711830133</c:v>
                </c:pt>
                <c:pt idx="3090" formatCode="_(&quot;$&quot;* #,##0.00_);_(&quot;$&quot;* \(#,##0.00\);_(&quot;$&quot;* &quot;-&quot;??_);_(@_)">
                  <c:v>216.80497925311204</c:v>
                </c:pt>
                <c:pt idx="3091" formatCode="_(&quot;$&quot;* #,##0.00_);_(&quot;$&quot;* \(#,##0.00\);_(&quot;$&quot;* &quot;-&quot;??_);_(@_)">
                  <c:v>194.44444444444446</c:v>
                </c:pt>
                <c:pt idx="3092" formatCode="_(&quot;$&quot;* #,##0.00_);_(&quot;$&quot;* \(#,##0.00\);_(&quot;$&quot;* &quot;-&quot;??_);_(@_)">
                  <c:v>233.16062176165804</c:v>
                </c:pt>
                <c:pt idx="3093" formatCode="_(&quot;$&quot;* #,##0.00_);_(&quot;$&quot;* \(#,##0.00\);_(&quot;$&quot;* &quot;-&quot;??_);_(@_)">
                  <c:v>224.19928825622776</c:v>
                </c:pt>
                <c:pt idx="3094" formatCode="_(&quot;$&quot;* #,##0.00_);_(&quot;$&quot;* \(#,##0.00\);_(&quot;$&quot;* &quot;-&quot;??_);_(@_)">
                  <c:v>155.94059405940595</c:v>
                </c:pt>
                <c:pt idx="3095" formatCode="_(&quot;$&quot;* #,##0.00_);_(&quot;$&quot;* \(#,##0.00\);_(&quot;$&quot;* &quot;-&quot;??_);_(@_)">
                  <c:v>146.44351464435147</c:v>
                </c:pt>
                <c:pt idx="3096" formatCode="_(&quot;$&quot;* #,##0.00_);_(&quot;$&quot;* \(#,##0.00\);_(&quot;$&quot;* &quot;-&quot;??_);_(@_)">
                  <c:v>190.79345850999394</c:v>
                </c:pt>
                <c:pt idx="3097" formatCode="_(&quot;$&quot;* #,##0.00_);_(&quot;$&quot;* \(#,##0.00\);_(&quot;$&quot;* &quot;-&quot;??_);_(@_)">
                  <c:v>192.07317073170731</c:v>
                </c:pt>
                <c:pt idx="3098" formatCode="_(&quot;$&quot;* #,##0.00_);_(&quot;$&quot;* \(#,##0.00\);_(&quot;$&quot;* &quot;-&quot;??_);_(@_)">
                  <c:v>196.62921348314606</c:v>
                </c:pt>
                <c:pt idx="3099" formatCode="_(&quot;$&quot;* #,##0.00_);_(&quot;$&quot;* \(#,##0.00\);_(&quot;$&quot;* &quot;-&quot;??_);_(@_)">
                  <c:v>207.50988142292491</c:v>
                </c:pt>
                <c:pt idx="3100" formatCode="_(&quot;$&quot;* #,##0.00_);_(&quot;$&quot;* \(#,##0.00\);_(&quot;$&quot;* &quot;-&quot;??_);_(@_)">
                  <c:v>139.13427561837455</c:v>
                </c:pt>
                <c:pt idx="3101" formatCode="_(&quot;$&quot;* #,##0.00_);_(&quot;$&quot;* \(#,##0.00\);_(&quot;$&quot;* &quot;-&quot;??_);_(@_)">
                  <c:v>194.61444308445533</c:v>
                </c:pt>
                <c:pt idx="3102" formatCode="_(&quot;$&quot;* #,##0.00_);_(&quot;$&quot;* \(#,##0.00\);_(&quot;$&quot;* &quot;-&quot;??_);_(@_)">
                  <c:v>224.29577464788733</c:v>
                </c:pt>
                <c:pt idx="3103" formatCode="_(&quot;$&quot;* #,##0.00_);_(&quot;$&quot;* \(#,##0.00\);_(&quot;$&quot;* &quot;-&quot;??_);_(@_)">
                  <c:v>220.84195997239476</c:v>
                </c:pt>
                <c:pt idx="3104" formatCode="_(&quot;$&quot;* #,##0.00_);_(&quot;$&quot;* \(#,##0.00\);_(&quot;$&quot;* &quot;-&quot;??_);_(@_)">
                  <c:v>201.63831127914304</c:v>
                </c:pt>
                <c:pt idx="3105" formatCode="_(&quot;$&quot;* #,##0.00_);_(&quot;$&quot;* \(#,##0.00\);_(&quot;$&quot;* &quot;-&quot;??_);_(@_)">
                  <c:v>141.84397163120568</c:v>
                </c:pt>
                <c:pt idx="3106" formatCode="_(&quot;$&quot;* #,##0.00_);_(&quot;$&quot;* \(#,##0.00\);_(&quot;$&quot;* &quot;-&quot;??_);_(@_)">
                  <c:v>191.15890083632019</c:v>
                </c:pt>
                <c:pt idx="3107" formatCode="_(&quot;$&quot;* #,##0.00_);_(&quot;$&quot;* \(#,##0.00\);_(&quot;$&quot;* &quot;-&quot;??_);_(@_)">
                  <c:v>210.2496714848883</c:v>
                </c:pt>
                <c:pt idx="3108" formatCode="_(&quot;$&quot;* #,##0.00_);_(&quot;$&quot;* \(#,##0.00\);_(&quot;$&quot;* &quot;-&quot;??_);_(@_)">
                  <c:v>175.72762218561229</c:v>
                </c:pt>
                <c:pt idx="3109" formatCode="_(&quot;$&quot;* #,##0.00_);_(&quot;$&quot;* \(#,##0.00\);_(&quot;$&quot;* &quot;-&quot;??_);_(@_)">
                  <c:v>160.96579476861166</c:v>
                </c:pt>
                <c:pt idx="3110" formatCode="_(&quot;$&quot;* #,##0.00_);_(&quot;$&quot;* \(#,##0.00\);_(&quot;$&quot;* &quot;-&quot;??_);_(@_)">
                  <c:v>220.84195997239476</c:v>
                </c:pt>
                <c:pt idx="3111" formatCode="_(&quot;$&quot;* #,##0.00_);_(&quot;$&quot;* \(#,##0.00\);_(&quot;$&quot;* &quot;-&quot;??_);_(@_)">
                  <c:v>176.60044150110375</c:v>
                </c:pt>
                <c:pt idx="3112" formatCode="_(&quot;$&quot;* #,##0.00_);_(&quot;$&quot;* \(#,##0.00\);_(&quot;$&quot;* &quot;-&quot;??_);_(@_)">
                  <c:v>175.72762218561229</c:v>
                </c:pt>
                <c:pt idx="3113" formatCode="_(&quot;$&quot;* #,##0.00_);_(&quot;$&quot;* \(#,##0.00\);_(&quot;$&quot;* &quot;-&quot;??_);_(@_)">
                  <c:v>152.96367112810708</c:v>
                </c:pt>
                <c:pt idx="3114" formatCode="_(&quot;$&quot;* #,##0.00_);_(&quot;$&quot;* \(#,##0.00\);_(&quot;$&quot;* &quot;-&quot;??_);_(@_)">
                  <c:v>104.54099967330937</c:v>
                </c:pt>
                <c:pt idx="3115" formatCode="_(&quot;$&quot;* #,##0.00_);_(&quot;$&quot;* \(#,##0.00\);_(&quot;$&quot;* &quot;-&quot;??_);_(@_)">
                  <c:v>147.94267221451688</c:v>
                </c:pt>
                <c:pt idx="3116" formatCode="_(&quot;$&quot;* #,##0.00_);_(&quot;$&quot;* \(#,##0.00\);_(&quot;$&quot;* &quot;-&quot;??_);_(@_)">
                  <c:v>236.3367799113737</c:v>
                </c:pt>
                <c:pt idx="3117" formatCode="_(&quot;$&quot;* #,##0.00_);_(&quot;$&quot;* \(#,##0.00\);_(&quot;$&quot;* &quot;-&quot;??_);_(@_)">
                  <c:v>194.07496977025394</c:v>
                </c:pt>
                <c:pt idx="3118" formatCode="_(&quot;$&quot;* #,##0.00_);_(&quot;$&quot;* \(#,##0.00\);_(&quot;$&quot;* &quot;-&quot;??_);_(@_)">
                  <c:v>219.72789115646259</c:v>
                </c:pt>
                <c:pt idx="3119" formatCode="_(&quot;$&quot;* #,##0.00_);_(&quot;$&quot;* \(#,##0.00\);_(&quot;$&quot;* &quot;-&quot;??_);_(@_)">
                  <c:v>195.06321493076459</c:v>
                </c:pt>
                <c:pt idx="3120" formatCode="_(&quot;$&quot;* #,##0.00_);_(&quot;$&quot;* \(#,##0.00\);_(&quot;$&quot;* &quot;-&quot;??_);_(@_)">
                  <c:v>203.63322884012538</c:v>
                </c:pt>
                <c:pt idx="3121" formatCode="_(&quot;$&quot;* #,##0.00_);_(&quot;$&quot;* \(#,##0.00\);_(&quot;$&quot;* &quot;-&quot;??_);_(@_)">
                  <c:v>264.65798045602605</c:v>
                </c:pt>
                <c:pt idx="3122" formatCode="_(&quot;$&quot;* #,##0.00_);_(&quot;$&quot;* \(#,##0.00\);_(&quot;$&quot;* &quot;-&quot;??_);_(@_)">
                  <c:v>183.61581920903956</c:v>
                </c:pt>
                <c:pt idx="3123" formatCode="_(&quot;$&quot;* #,##0.00_);_(&quot;$&quot;* \(#,##0.00\);_(&quot;$&quot;* &quot;-&quot;??_);_(@_)">
                  <c:v>203.125</c:v>
                </c:pt>
                <c:pt idx="3124" formatCode="_(&quot;$&quot;* #,##0.00_);_(&quot;$&quot;* \(#,##0.00\);_(&quot;$&quot;* &quot;-&quot;??_);_(@_)">
                  <c:v>233.64485981308411</c:v>
                </c:pt>
                <c:pt idx="3125" formatCode="_(&quot;$&quot;* #,##0.00_);_(&quot;$&quot;* \(#,##0.00\);_(&quot;$&quot;* &quot;-&quot;??_);_(@_)">
                  <c:v>268.81720430107526</c:v>
                </c:pt>
                <c:pt idx="3126" formatCode="_(&quot;$&quot;* #,##0.00_);_(&quot;$&quot;* \(#,##0.00\);_(&quot;$&quot;* &quot;-&quot;??_);_(@_)">
                  <c:v>200.3699136868064</c:v>
                </c:pt>
                <c:pt idx="3127" formatCode="_(&quot;$&quot;* #,##0.00_);_(&quot;$&quot;* \(#,##0.00\);_(&quot;$&quot;* &quot;-&quot;??_);_(@_)">
                  <c:v>232.14285714285714</c:v>
                </c:pt>
                <c:pt idx="3128" formatCode="_(&quot;$&quot;* #,##0.00_);_(&quot;$&quot;* \(#,##0.00\);_(&quot;$&quot;* &quot;-&quot;??_);_(@_)">
                  <c:v>196.25603864734299</c:v>
                </c:pt>
                <c:pt idx="3129" formatCode="_(&quot;$&quot;* #,##0.00_);_(&quot;$&quot;* \(#,##0.00\);_(&quot;$&quot;* &quot;-&quot;??_);_(@_)">
                  <c:v>176.82263329706203</c:v>
                </c:pt>
                <c:pt idx="3130" formatCode="_(&quot;$&quot;* #,##0.00_);_(&quot;$&quot;* \(#,##0.00\);_(&quot;$&quot;* &quot;-&quot;??_);_(@_)">
                  <c:v>148.67337602927722</c:v>
                </c:pt>
                <c:pt idx="3131" formatCode="_(&quot;$&quot;* #,##0.00_);_(&quot;$&quot;* \(#,##0.00\);_(&quot;$&quot;* &quot;-&quot;??_);_(@_)">
                  <c:v>201.11042566317087</c:v>
                </c:pt>
                <c:pt idx="3132" formatCode="_(&quot;$&quot;* #,##0.00_);_(&quot;$&quot;* \(#,##0.00\);_(&quot;$&quot;* &quot;-&quot;??_);_(@_)">
                  <c:v>160.7669616519174</c:v>
                </c:pt>
                <c:pt idx="3133" formatCode="_(&quot;$&quot;* #,##0.00_);_(&quot;$&quot;* \(#,##0.00\);_(&quot;$&quot;* &quot;-&quot;??_);_(@_)">
                  <c:v>194.4114149821641</c:v>
                </c:pt>
                <c:pt idx="3134" formatCode="_(&quot;$&quot;* #,##0.00_);_(&quot;$&quot;* \(#,##0.00\);_(&quot;$&quot;* &quot;-&quot;??_);_(@_)">
                  <c:v>219.33333333333334</c:v>
                </c:pt>
                <c:pt idx="3135" formatCode="_(&quot;$&quot;* #,##0.00_);_(&quot;$&quot;* \(#,##0.00\);_(&quot;$&quot;* &quot;-&quot;??_);_(@_)">
                  <c:v>202.32985898221949</c:v>
                </c:pt>
                <c:pt idx="3136" formatCode="_(&quot;$&quot;* #,##0.00_);_(&quot;$&quot;* \(#,##0.00\);_(&quot;$&quot;* &quot;-&quot;??_);_(@_)">
                  <c:v>170.54263565891472</c:v>
                </c:pt>
                <c:pt idx="3137" formatCode="_(&quot;$&quot;* #,##0.00_);_(&quot;$&quot;* \(#,##0.00\);_(&quot;$&quot;* &quot;-&quot;??_);_(@_)">
                  <c:v>245.35315985130111</c:v>
                </c:pt>
                <c:pt idx="3138" formatCode="_(&quot;$&quot;* #,##0.00_);_(&quot;$&quot;* \(#,##0.00\);_(&quot;$&quot;* &quot;-&quot;??_);_(@_)">
                  <c:v>136.53289201489449</c:v>
                </c:pt>
                <c:pt idx="3139" formatCode="_(&quot;$&quot;* #,##0.00_);_(&quot;$&quot;* \(#,##0.00\);_(&quot;$&quot;* &quot;-&quot;??_);_(@_)">
                  <c:v>176.65952890792292</c:v>
                </c:pt>
                <c:pt idx="3140" formatCode="_(&quot;$&quot;* #,##0.00_);_(&quot;$&quot;* \(#,##0.00\);_(&quot;$&quot;* &quot;-&quot;??_);_(@_)">
                  <c:v>173.68421052631578</c:v>
                </c:pt>
                <c:pt idx="3141" formatCode="_(&quot;$&quot;* #,##0.00_);_(&quot;$&quot;* \(#,##0.00\);_(&quot;$&quot;* &quot;-&quot;??_);_(@_)">
                  <c:v>239.13043478260869</c:v>
                </c:pt>
                <c:pt idx="3142" formatCode="_(&quot;$&quot;* #,##0.00_);_(&quot;$&quot;* \(#,##0.00\);_(&quot;$&quot;* &quot;-&quot;??_);_(@_)">
                  <c:v>188.13847900113507</c:v>
                </c:pt>
                <c:pt idx="3143" formatCode="_(&quot;$&quot;* #,##0.00_);_(&quot;$&quot;* \(#,##0.00\);_(&quot;$&quot;* &quot;-&quot;??_);_(@_)">
                  <c:v>212.00510855683268</c:v>
                </c:pt>
                <c:pt idx="3144" formatCode="_(&quot;$&quot;* #,##0.00_);_(&quot;$&quot;* \(#,##0.00\);_(&quot;$&quot;* &quot;-&quot;??_);_(@_)">
                  <c:v>156.45617342130066</c:v>
                </c:pt>
                <c:pt idx="3145" formatCode="_(&quot;$&quot;* #,##0.00_);_(&quot;$&quot;* \(#,##0.00\);_(&quot;$&quot;* &quot;-&quot;??_);_(@_)">
                  <c:v>201.08695652173913</c:v>
                </c:pt>
                <c:pt idx="3146" formatCode="_(&quot;$&quot;* #,##0.00_);_(&quot;$&quot;* \(#,##0.00\);_(&quot;$&quot;* &quot;-&quot;??_);_(@_)">
                  <c:v>240.62049062049061</c:v>
                </c:pt>
                <c:pt idx="3147" formatCode="_(&quot;$&quot;* #,##0.00_);_(&quot;$&quot;* \(#,##0.00\);_(&quot;$&quot;* &quot;-&quot;??_);_(@_)">
                  <c:v>121.81818181818181</c:v>
                </c:pt>
                <c:pt idx="3148" formatCode="_(&quot;$&quot;* #,##0.00_);_(&quot;$&quot;* \(#,##0.00\);_(&quot;$&quot;* &quot;-&quot;??_);_(@_)">
                  <c:v>197.05882352941177</c:v>
                </c:pt>
                <c:pt idx="3149" formatCode="_(&quot;$&quot;* #,##0.00_);_(&quot;$&quot;* \(#,##0.00\);_(&quot;$&quot;* &quot;-&quot;??_);_(@_)">
                  <c:v>216.82847896440128</c:v>
                </c:pt>
                <c:pt idx="3150" formatCode="_(&quot;$&quot;* #,##0.00_);_(&quot;$&quot;* \(#,##0.00\);_(&quot;$&quot;* &quot;-&quot;??_);_(@_)">
                  <c:v>159.52380952380952</c:v>
                </c:pt>
                <c:pt idx="3151" formatCode="_(&quot;$&quot;* #,##0.00_);_(&quot;$&quot;* \(#,##0.00\);_(&quot;$&quot;* &quot;-&quot;??_);_(@_)">
                  <c:v>220.39473684210526</c:v>
                </c:pt>
                <c:pt idx="3152" formatCode="_(&quot;$&quot;* #,##0.00_);_(&quot;$&quot;* \(#,##0.00\);_(&quot;$&quot;* &quot;-&quot;??_);_(@_)">
                  <c:v>221.05263157894737</c:v>
                </c:pt>
                <c:pt idx="3153" formatCode="_(&quot;$&quot;* #,##0.00_);_(&quot;$&quot;* \(#,##0.00\);_(&quot;$&quot;* &quot;-&quot;??_);_(@_)">
                  <c:v>199.28825622775801</c:v>
                </c:pt>
                <c:pt idx="3154" formatCode="_(&quot;$&quot;* #,##0.00_);_(&quot;$&quot;* \(#,##0.00\);_(&quot;$&quot;* &quot;-&quot;??_);_(@_)">
                  <c:v>207.08613317043373</c:v>
                </c:pt>
                <c:pt idx="3155" formatCode="_(&quot;$&quot;* #,##0.00_);_(&quot;$&quot;* \(#,##0.00\);_(&quot;$&quot;* &quot;-&quot;??_);_(@_)">
                  <c:v>138.02931596091204</c:v>
                </c:pt>
                <c:pt idx="3156" formatCode="_(&quot;$&quot;* #,##0.00_);_(&quot;$&quot;* \(#,##0.00\);_(&quot;$&quot;* &quot;-&quot;??_);_(@_)">
                  <c:v>189.27973199329983</c:v>
                </c:pt>
                <c:pt idx="3157" formatCode="_(&quot;$&quot;* #,##0.00_);_(&quot;$&quot;* \(#,##0.00\);_(&quot;$&quot;* &quot;-&quot;??_);_(@_)">
                  <c:v>172.27572225038014</c:v>
                </c:pt>
                <c:pt idx="3158" formatCode="_(&quot;$&quot;* #,##0.00_);_(&quot;$&quot;* \(#,##0.00\);_(&quot;$&quot;* &quot;-&quot;??_);_(@_)">
                  <c:v>166.09672691744015</c:v>
                </c:pt>
                <c:pt idx="3159" formatCode="_(&quot;$&quot;* #,##0.00_);_(&quot;$&quot;* \(#,##0.00\);_(&quot;$&quot;* &quot;-&quot;??_);_(@_)">
                  <c:v>206.18556701030928</c:v>
                </c:pt>
                <c:pt idx="3160" formatCode="_(&quot;$&quot;* #,##0.00_);_(&quot;$&quot;* \(#,##0.00\);_(&quot;$&quot;* &quot;-&quot;??_);_(@_)">
                  <c:v>215.87301587301587</c:v>
                </c:pt>
                <c:pt idx="3161" formatCode="_(&quot;$&quot;* #,##0.00_);_(&quot;$&quot;* \(#,##0.00\);_(&quot;$&quot;* &quot;-&quot;??_);_(@_)">
                  <c:v>188.47006651884701</c:v>
                </c:pt>
                <c:pt idx="3162" formatCode="_(&quot;$&quot;* #,##0.00_);_(&quot;$&quot;* \(#,##0.00\);_(&quot;$&quot;* &quot;-&quot;??_);_(@_)">
                  <c:v>224.71910112359549</c:v>
                </c:pt>
                <c:pt idx="3163" formatCode="_(&quot;$&quot;* #,##0.00_);_(&quot;$&quot;* \(#,##0.00\);_(&quot;$&quot;* &quot;-&quot;??_);_(@_)">
                  <c:v>176.16580310880829</c:v>
                </c:pt>
                <c:pt idx="3164" formatCode="_(&quot;$&quot;* #,##0.00_);_(&quot;$&quot;* \(#,##0.00\);_(&quot;$&quot;* &quot;-&quot;??_);_(@_)">
                  <c:v>215.18987341772151</c:v>
                </c:pt>
                <c:pt idx="3165" formatCode="_(&quot;$&quot;* #,##0.00_);_(&quot;$&quot;* \(#,##0.00\);_(&quot;$&quot;* &quot;-&quot;??_);_(@_)">
                  <c:v>146.66666666666666</c:v>
                </c:pt>
                <c:pt idx="3166" formatCode="_(&quot;$&quot;* #,##0.00_);_(&quot;$&quot;* \(#,##0.00\);_(&quot;$&quot;* &quot;-&quot;??_);_(@_)">
                  <c:v>206.006006006006</c:v>
                </c:pt>
                <c:pt idx="3167" formatCode="_(&quot;$&quot;* #,##0.00_);_(&quot;$&quot;* \(#,##0.00\);_(&quot;$&quot;* &quot;-&quot;??_);_(@_)">
                  <c:v>160.95729704364149</c:v>
                </c:pt>
                <c:pt idx="3168" formatCode="_(&quot;$&quot;* #,##0.00_);_(&quot;$&quot;* \(#,##0.00\);_(&quot;$&quot;* &quot;-&quot;??_);_(@_)">
                  <c:v>174.53069507864029</c:v>
                </c:pt>
                <c:pt idx="3169" formatCode="_(&quot;$&quot;* #,##0.00_);_(&quot;$&quot;* \(#,##0.00\);_(&quot;$&quot;* &quot;-&quot;??_);_(@_)">
                  <c:v>191.98664440734558</c:v>
                </c:pt>
                <c:pt idx="3170" formatCode="_(&quot;$&quot;* #,##0.00_);_(&quot;$&quot;* \(#,##0.00\);_(&quot;$&quot;* &quot;-&quot;??_);_(@_)">
                  <c:v>171.55643958229737</c:v>
                </c:pt>
                <c:pt idx="3171" formatCode="_(&quot;$&quot;* #,##0.00_);_(&quot;$&quot;* \(#,##0.00\);_(&quot;$&quot;* &quot;-&quot;??_);_(@_)">
                  <c:v>137.28611221647432</c:v>
                </c:pt>
                <c:pt idx="3172" formatCode="_(&quot;$&quot;* #,##0.00_);_(&quot;$&quot;* \(#,##0.00\);_(&quot;$&quot;* &quot;-&quot;??_);_(@_)">
                  <c:v>215.22145976294448</c:v>
                </c:pt>
                <c:pt idx="3173" formatCode="_(&quot;$&quot;* #,##0.00_);_(&quot;$&quot;* \(#,##0.00\);_(&quot;$&quot;* &quot;-&quot;??_);_(@_)">
                  <c:v>227.48191978961211</c:v>
                </c:pt>
                <c:pt idx="3174" formatCode="_(&quot;$&quot;* #,##0.00_);_(&quot;$&quot;* \(#,##0.00\);_(&quot;$&quot;* &quot;-&quot;??_);_(@_)">
                  <c:v>165.23809523809524</c:v>
                </c:pt>
                <c:pt idx="3175" formatCode="_(&quot;$&quot;* #,##0.00_);_(&quot;$&quot;* \(#,##0.00\);_(&quot;$&quot;* &quot;-&quot;??_);_(@_)">
                  <c:v>170.92337917485264</c:v>
                </c:pt>
                <c:pt idx="3176" formatCode="_(&quot;$&quot;* #,##0.00_);_(&quot;$&quot;* \(#,##0.00\);_(&quot;$&quot;* &quot;-&quot;??_);_(@_)">
                  <c:v>170.92337917485264</c:v>
                </c:pt>
                <c:pt idx="3177" formatCode="_(&quot;$&quot;* #,##0.00_);_(&quot;$&quot;* \(#,##0.00\);_(&quot;$&quot;* &quot;-&quot;??_);_(@_)">
                  <c:v>188.64864864864865</c:v>
                </c:pt>
                <c:pt idx="3178" formatCode="_(&quot;$&quot;* #,##0.00_);_(&quot;$&quot;* \(#,##0.00\);_(&quot;$&quot;* &quot;-&quot;??_);_(@_)">
                  <c:v>267.09923664122135</c:v>
                </c:pt>
                <c:pt idx="3179" formatCode="_(&quot;$&quot;* #,##0.00_);_(&quot;$&quot;* \(#,##0.00\);_(&quot;$&quot;* &quot;-&quot;??_);_(@_)">
                  <c:v>195.42155220547181</c:v>
                </c:pt>
                <c:pt idx="3180" formatCode="_(&quot;$&quot;* #,##0.00_);_(&quot;$&quot;* \(#,##0.00\);_(&quot;$&quot;* &quot;-&quot;??_);_(@_)">
                  <c:v>205.88235294117646</c:v>
                </c:pt>
                <c:pt idx="3181" formatCode="_(&quot;$&quot;* #,##0.00_);_(&quot;$&quot;* \(#,##0.00\);_(&quot;$&quot;* &quot;-&quot;??_);_(@_)">
                  <c:v>222.22222222222223</c:v>
                </c:pt>
                <c:pt idx="3182" formatCode="_(&quot;$&quot;* #,##0.00_);_(&quot;$&quot;* \(#,##0.00\);_(&quot;$&quot;* &quot;-&quot;??_);_(@_)">
                  <c:v>207.59193357058126</c:v>
                </c:pt>
                <c:pt idx="3183" formatCode="_(&quot;$&quot;* #,##0.00_);_(&quot;$&quot;* \(#,##0.00\);_(&quot;$&quot;* &quot;-&quot;??_);_(@_)">
                  <c:v>218.20448877805487</c:v>
                </c:pt>
                <c:pt idx="3184" formatCode="_(&quot;$&quot;* #,##0.00_);_(&quot;$&quot;* \(#,##0.00\);_(&quot;$&quot;* &quot;-&quot;??_);_(@_)">
                  <c:v>198.86363636363637</c:v>
                </c:pt>
                <c:pt idx="3185" formatCode="_(&quot;$&quot;* #,##0.00_);_(&quot;$&quot;* \(#,##0.00\);_(&quot;$&quot;* &quot;-&quot;??_);_(@_)">
                  <c:v>148.74628134296643</c:v>
                </c:pt>
                <c:pt idx="3186" formatCode="_(&quot;$&quot;* #,##0.00_);_(&quot;$&quot;* \(#,##0.00\);_(&quot;$&quot;* &quot;-&quot;??_);_(@_)">
                  <c:v>166.66666666666666</c:v>
                </c:pt>
                <c:pt idx="3187" formatCode="_(&quot;$&quot;* #,##0.00_);_(&quot;$&quot;* \(#,##0.00\);_(&quot;$&quot;* &quot;-&quot;??_);_(@_)">
                  <c:v>202.32987312572087</c:v>
                </c:pt>
                <c:pt idx="3188" formatCode="_(&quot;$&quot;* #,##0.00_);_(&quot;$&quot;* \(#,##0.00\);_(&quot;$&quot;* &quot;-&quot;??_);_(@_)">
                  <c:v>225.57840616966581</c:v>
                </c:pt>
                <c:pt idx="3189" formatCode="_(&quot;$&quot;* #,##0.00_);_(&quot;$&quot;* \(#,##0.00\);_(&quot;$&quot;* &quot;-&quot;??_);_(@_)">
                  <c:v>146.34247714048212</c:v>
                </c:pt>
                <c:pt idx="3190" formatCode="_(&quot;$&quot;* #,##0.00_);_(&quot;$&quot;* \(#,##0.00\);_(&quot;$&quot;* &quot;-&quot;??_);_(@_)">
                  <c:v>207.7238150965477</c:v>
                </c:pt>
                <c:pt idx="3191" formatCode="_(&quot;$&quot;* #,##0.00_);_(&quot;$&quot;* \(#,##0.00\);_(&quot;$&quot;* &quot;-&quot;??_);_(@_)">
                  <c:v>212.82973621103116</c:v>
                </c:pt>
                <c:pt idx="3192" formatCode="_(&quot;$&quot;* #,##0.00_);_(&quot;$&quot;* \(#,##0.00\);_(&quot;$&quot;* &quot;-&quot;??_);_(@_)">
                  <c:v>220.22332506203475</c:v>
                </c:pt>
                <c:pt idx="3193" formatCode="_(&quot;$&quot;* #,##0.00_);_(&quot;$&quot;* \(#,##0.00\);_(&quot;$&quot;* &quot;-&quot;??_);_(@_)">
                  <c:v>158.97895208240035</c:v>
                </c:pt>
                <c:pt idx="3194" formatCode="_(&quot;$&quot;* #,##0.00_);_(&quot;$&quot;* \(#,##0.00\);_(&quot;$&quot;* &quot;-&quot;??_);_(@_)">
                  <c:v>151.70212765957447</c:v>
                </c:pt>
                <c:pt idx="3195" formatCode="_(&quot;$&quot;* #,##0.00_);_(&quot;$&quot;* \(#,##0.00\);_(&quot;$&quot;* &quot;-&quot;??_);_(@_)">
                  <c:v>216.36363636363637</c:v>
                </c:pt>
                <c:pt idx="3196" formatCode="_(&quot;$&quot;* #,##0.00_);_(&quot;$&quot;* \(#,##0.00\);_(&quot;$&quot;* &quot;-&quot;??_);_(@_)">
                  <c:v>140.72327044025158</c:v>
                </c:pt>
                <c:pt idx="3197" formatCode="_(&quot;$&quot;* #,##0.00_);_(&quot;$&quot;* \(#,##0.00\);_(&quot;$&quot;* &quot;-&quot;??_);_(@_)">
                  <c:v>196.60460021905806</c:v>
                </c:pt>
                <c:pt idx="3198" formatCode="_(&quot;$&quot;* #,##0.00_);_(&quot;$&quot;* \(#,##0.00\);_(&quot;$&quot;* &quot;-&quot;??_);_(@_)">
                  <c:v>224.9375</c:v>
                </c:pt>
                <c:pt idx="3199" formatCode="_(&quot;$&quot;* #,##0.00_);_(&quot;$&quot;* \(#,##0.00\);_(&quot;$&quot;* &quot;-&quot;??_);_(@_)">
                  <c:v>224.9375</c:v>
                </c:pt>
                <c:pt idx="3200" formatCode="_(&quot;$&quot;* #,##0.00_);_(&quot;$&quot;* \(#,##0.00\);_(&quot;$&quot;* &quot;-&quot;??_);_(@_)">
                  <c:v>240</c:v>
                </c:pt>
                <c:pt idx="3201" formatCode="_(&quot;$&quot;* #,##0.00_);_(&quot;$&quot;* \(#,##0.00\);_(&quot;$&quot;* &quot;-&quot;??_);_(@_)">
                  <c:v>193.75672766415499</c:v>
                </c:pt>
                <c:pt idx="3202" formatCode="_(&quot;$&quot;* #,##0.00_);_(&quot;$&quot;* \(#,##0.00\);_(&quot;$&quot;* &quot;-&quot;??_);_(@_)">
                  <c:v>188.67924528301887</c:v>
                </c:pt>
                <c:pt idx="3203" formatCode="_(&quot;$&quot;* #,##0.00_);_(&quot;$&quot;* \(#,##0.00\);_(&quot;$&quot;* &quot;-&quot;??_);_(@_)">
                  <c:v>233.00970873786409</c:v>
                </c:pt>
                <c:pt idx="3204" formatCode="_(&quot;$&quot;* #,##0.00_);_(&quot;$&quot;* \(#,##0.00\);_(&quot;$&quot;* &quot;-&quot;??_);_(@_)">
                  <c:v>174.58777885548011</c:v>
                </c:pt>
                <c:pt idx="3205" formatCode="_(&quot;$&quot;* #,##0.00_);_(&quot;$&quot;* \(#,##0.00\);_(&quot;$&quot;* &quot;-&quot;??_);_(@_)">
                  <c:v>154.83870967741936</c:v>
                </c:pt>
                <c:pt idx="3206" formatCode="_(&quot;$&quot;* #,##0.00_);_(&quot;$&quot;* \(#,##0.00\);_(&quot;$&quot;* &quot;-&quot;??_);_(@_)">
                  <c:v>155.91397849462365</c:v>
                </c:pt>
                <c:pt idx="3207" formatCode="_(&quot;$&quot;* #,##0.00_);_(&quot;$&quot;* \(#,##0.00\);_(&quot;$&quot;* &quot;-&quot;??_);_(@_)">
                  <c:v>149.05427631578948</c:v>
                </c:pt>
                <c:pt idx="3208" formatCode="_(&quot;$&quot;* #,##0.00_);_(&quot;$&quot;* \(#,##0.00\);_(&quot;$&quot;* &quot;-&quot;??_);_(@_)">
                  <c:v>161.90900981266725</c:v>
                </c:pt>
                <c:pt idx="3209" formatCode="_(&quot;$&quot;* #,##0.00_);_(&quot;$&quot;* \(#,##0.00\);_(&quot;$&quot;* &quot;-&quot;??_);_(@_)">
                  <c:v>185.58282208588957</c:v>
                </c:pt>
                <c:pt idx="3210" formatCode="_(&quot;$&quot;* #,##0.00_);_(&quot;$&quot;* \(#,##0.00\);_(&quot;$&quot;* &quot;-&quot;??_);_(@_)">
                  <c:v>190.58577405857741</c:v>
                </c:pt>
                <c:pt idx="3211" formatCode="_(&quot;$&quot;* #,##0.00_);_(&quot;$&quot;* \(#,##0.00\);_(&quot;$&quot;* &quot;-&quot;??_);_(@_)">
                  <c:v>200.99118942731278</c:v>
                </c:pt>
                <c:pt idx="3212" formatCode="_(&quot;$&quot;* #,##0.00_);_(&quot;$&quot;* \(#,##0.00\);_(&quot;$&quot;* &quot;-&quot;??_);_(@_)">
                  <c:v>167.12454212454213</c:v>
                </c:pt>
                <c:pt idx="3213" formatCode="_(&quot;$&quot;* #,##0.00_);_(&quot;$&quot;* \(#,##0.00\);_(&quot;$&quot;* &quot;-&quot;??_);_(@_)">
                  <c:v>136.60179640718562</c:v>
                </c:pt>
                <c:pt idx="3214" formatCode="_(&quot;$&quot;* #,##0.00_);_(&quot;$&quot;* \(#,##0.00\);_(&quot;$&quot;* &quot;-&quot;??_);_(@_)">
                  <c:v>149.34533551554827</c:v>
                </c:pt>
                <c:pt idx="3215" formatCode="_(&quot;$&quot;* #,##0.00_);_(&quot;$&quot;* \(#,##0.00\);_(&quot;$&quot;* &quot;-&quot;??_);_(@_)">
                  <c:v>148.9795918367347</c:v>
                </c:pt>
                <c:pt idx="3216" formatCode="_(&quot;$&quot;* #,##0.00_);_(&quot;$&quot;* \(#,##0.00\);_(&quot;$&quot;* &quot;-&quot;??_);_(@_)">
                  <c:v>214.9587750294464</c:v>
                </c:pt>
                <c:pt idx="3217" formatCode="_(&quot;$&quot;* #,##0.00_);_(&quot;$&quot;* \(#,##0.00\);_(&quot;$&quot;* &quot;-&quot;??_);_(@_)">
                  <c:v>165.90909090909091</c:v>
                </c:pt>
                <c:pt idx="3218" formatCode="_(&quot;$&quot;* #,##0.00_);_(&quot;$&quot;* \(#,##0.00\);_(&quot;$&quot;* &quot;-&quot;??_);_(@_)">
                  <c:v>142.13395638629282</c:v>
                </c:pt>
                <c:pt idx="3219" formatCode="_(&quot;$&quot;* #,##0.00_);_(&quot;$&quot;* \(#,##0.00\);_(&quot;$&quot;* &quot;-&quot;??_);_(@_)">
                  <c:v>199.89047097480832</c:v>
                </c:pt>
                <c:pt idx="3220" formatCode="_(&quot;$&quot;* #,##0.00_);_(&quot;$&quot;* \(#,##0.00\);_(&quot;$&quot;* &quot;-&quot;??_);_(@_)">
                  <c:v>209.10652920962198</c:v>
                </c:pt>
                <c:pt idx="3221" formatCode="_(&quot;$&quot;* #,##0.00_);_(&quot;$&quot;* \(#,##0.00\);_(&quot;$&quot;* &quot;-&quot;??_);_(@_)">
                  <c:v>203.27777777777777</c:v>
                </c:pt>
                <c:pt idx="3222" formatCode="_(&quot;$&quot;* #,##0.00_);_(&quot;$&quot;* \(#,##0.00\);_(&quot;$&quot;* &quot;-&quot;??_);_(@_)">
                  <c:v>233.01587301587301</c:v>
                </c:pt>
                <c:pt idx="3223" formatCode="_(&quot;$&quot;* #,##0.00_);_(&quot;$&quot;* \(#,##0.00\);_(&quot;$&quot;* &quot;-&quot;??_);_(@_)">
                  <c:v>224.39024390243901</c:v>
                </c:pt>
                <c:pt idx="3224" formatCode="_(&quot;$&quot;* #,##0.00_);_(&quot;$&quot;* \(#,##0.00\);_(&quot;$&quot;* &quot;-&quot;??_);_(@_)">
                  <c:v>209.45639864099661</c:v>
                </c:pt>
                <c:pt idx="3225" formatCode="_(&quot;$&quot;* #,##0.00_);_(&quot;$&quot;* \(#,##0.00\);_(&quot;$&quot;* &quot;-&quot;??_);_(@_)">
                  <c:v>235.96938775510205</c:v>
                </c:pt>
                <c:pt idx="3226" formatCode="_(&quot;$&quot;* #,##0.00_);_(&quot;$&quot;* \(#,##0.00\);_(&quot;$&quot;* &quot;-&quot;??_);_(@_)">
                  <c:v>214.74172954149739</c:v>
                </c:pt>
                <c:pt idx="3227" formatCode="_(&quot;$&quot;* #,##0.00_);_(&quot;$&quot;* \(#,##0.00\);_(&quot;$&quot;* &quot;-&quot;??_);_(@_)">
                  <c:v>169.72477064220183</c:v>
                </c:pt>
                <c:pt idx="3228" formatCode="_(&quot;$&quot;* #,##0.00_);_(&quot;$&quot;* \(#,##0.00\);_(&quot;$&quot;* &quot;-&quot;??_);_(@_)">
                  <c:v>218.03182086034178</c:v>
                </c:pt>
                <c:pt idx="3229" formatCode="_(&quot;$&quot;* #,##0.00_);_(&quot;$&quot;* \(#,##0.00\);_(&quot;$&quot;* &quot;-&quot;??_);_(@_)">
                  <c:v>163.35540838852097</c:v>
                </c:pt>
                <c:pt idx="3230" formatCode="_(&quot;$&quot;* #,##0.00_);_(&quot;$&quot;* \(#,##0.00\);_(&quot;$&quot;* &quot;-&quot;??_);_(@_)">
                  <c:v>226.85469037400367</c:v>
                </c:pt>
                <c:pt idx="3231" formatCode="_(&quot;$&quot;* #,##0.00_);_(&quot;$&quot;* \(#,##0.00\);_(&quot;$&quot;* &quot;-&quot;??_);_(@_)">
                  <c:v>200.65075921908894</c:v>
                </c:pt>
                <c:pt idx="3232" formatCode="_(&quot;$&quot;* #,##0.00_);_(&quot;$&quot;* \(#,##0.00\);_(&quot;$&quot;* &quot;-&quot;??_);_(@_)">
                  <c:v>238.70967741935485</c:v>
                </c:pt>
                <c:pt idx="3233" formatCode="_(&quot;$&quot;* #,##0.00_);_(&quot;$&quot;* \(#,##0.00\);_(&quot;$&quot;* &quot;-&quot;??_);_(@_)">
                  <c:v>194.73684210526315</c:v>
                </c:pt>
                <c:pt idx="3234" formatCode="_(&quot;$&quot;* #,##0.00_);_(&quot;$&quot;* \(#,##0.00\);_(&quot;$&quot;* &quot;-&quot;??_);_(@_)">
                  <c:v>151.0204081632653</c:v>
                </c:pt>
                <c:pt idx="3235" formatCode="_(&quot;$&quot;* #,##0.00_);_(&quot;$&quot;* \(#,##0.00\);_(&quot;$&quot;* &quot;-&quot;??_);_(@_)">
                  <c:v>175.68850902184235</c:v>
                </c:pt>
                <c:pt idx="3236" formatCode="_(&quot;$&quot;* #,##0.00_);_(&quot;$&quot;* \(#,##0.00\);_(&quot;$&quot;* &quot;-&quot;??_);_(@_)">
                  <c:v>202.94759825327512</c:v>
                </c:pt>
                <c:pt idx="3237" formatCode="_(&quot;$&quot;* #,##0.00_);_(&quot;$&quot;* \(#,##0.00\);_(&quot;$&quot;* &quot;-&quot;??_);_(@_)">
                  <c:v>192.54658385093168</c:v>
                </c:pt>
                <c:pt idx="3238" formatCode="_(&quot;$&quot;* #,##0.00_);_(&quot;$&quot;* \(#,##0.00\);_(&quot;$&quot;* &quot;-&quot;??_);_(@_)">
                  <c:v>185.91968269707488</c:v>
                </c:pt>
                <c:pt idx="3239" formatCode="_(&quot;$&quot;* #,##0.00_);_(&quot;$&quot;* \(#,##0.00\);_(&quot;$&quot;* &quot;-&quot;??_);_(@_)">
                  <c:v>236.14609571788412</c:v>
                </c:pt>
                <c:pt idx="3240" formatCode="_(&quot;$&quot;* #,##0.00_);_(&quot;$&quot;* \(#,##0.00\);_(&quot;$&quot;* &quot;-&quot;??_);_(@_)">
                  <c:v>175.47964436125409</c:v>
                </c:pt>
                <c:pt idx="3241" formatCode="_(&quot;$&quot;* #,##0.00_);_(&quot;$&quot;* \(#,##0.00\);_(&quot;$&quot;* &quot;-&quot;??_);_(@_)">
                  <c:v>173.77201112140872</c:v>
                </c:pt>
                <c:pt idx="3242" formatCode="_(&quot;$&quot;* #,##0.00_);_(&quot;$&quot;* \(#,##0.00\);_(&quot;$&quot;* &quot;-&quot;??_);_(@_)">
                  <c:v>178.57142857142858</c:v>
                </c:pt>
                <c:pt idx="3243" formatCode="_(&quot;$&quot;* #,##0.00_);_(&quot;$&quot;* \(#,##0.00\);_(&quot;$&quot;* &quot;-&quot;??_);_(@_)">
                  <c:v>157.36466638690726</c:v>
                </c:pt>
                <c:pt idx="3244" formatCode="_(&quot;$&quot;* #,##0.00_);_(&quot;$&quot;* \(#,##0.00\);_(&quot;$&quot;* &quot;-&quot;??_);_(@_)">
                  <c:v>151.637687019814</c:v>
                </c:pt>
                <c:pt idx="3245" formatCode="_(&quot;$&quot;* #,##0.00_);_(&quot;$&quot;* \(#,##0.00\);_(&quot;$&quot;* &quot;-&quot;??_);_(@_)">
                  <c:v>213.39739966082533</c:v>
                </c:pt>
                <c:pt idx="3246" formatCode="_(&quot;$&quot;* #,##0.00_);_(&quot;$&quot;* \(#,##0.00\);_(&quot;$&quot;* &quot;-&quot;??_);_(@_)">
                  <c:v>251.16279069767441</c:v>
                </c:pt>
                <c:pt idx="3247" formatCode="_(&quot;$&quot;* #,##0.00_);_(&quot;$&quot;* \(#,##0.00\);_(&quot;$&quot;* &quot;-&quot;??_);_(@_)">
                  <c:v>230.53527980535279</c:v>
                </c:pt>
                <c:pt idx="3248" formatCode="_(&quot;$&quot;* #,##0.00_);_(&quot;$&quot;* \(#,##0.00\);_(&quot;$&quot;* &quot;-&quot;??_);_(@_)">
                  <c:v>151.6</c:v>
                </c:pt>
                <c:pt idx="3249" formatCode="_(&quot;$&quot;* #,##0.00_);_(&quot;$&quot;* \(#,##0.00\);_(&quot;$&quot;* &quot;-&quot;??_);_(@_)">
                  <c:v>193.1367564819522</c:v>
                </c:pt>
                <c:pt idx="3250" formatCode="_(&quot;$&quot;* #,##0.00_);_(&quot;$&quot;* \(#,##0.00\);_(&quot;$&quot;* &quot;-&quot;??_);_(@_)">
                  <c:v>220.231884057971</c:v>
                </c:pt>
                <c:pt idx="3251" formatCode="_(&quot;$&quot;* #,##0.00_);_(&quot;$&quot;* \(#,##0.00\);_(&quot;$&quot;* &quot;-&quot;??_);_(@_)">
                  <c:v>224.85207100591717</c:v>
                </c:pt>
                <c:pt idx="3252" formatCode="_(&quot;$&quot;* #,##0.00_);_(&quot;$&quot;* \(#,##0.00\);_(&quot;$&quot;* &quot;-&quot;??_);_(@_)">
                  <c:v>200.9518773135907</c:v>
                </c:pt>
                <c:pt idx="3253" formatCode="_(&quot;$&quot;* #,##0.00_);_(&quot;$&quot;* \(#,##0.00\);_(&quot;$&quot;* &quot;-&quot;??_);_(@_)">
                  <c:v>164.35986159169551</c:v>
                </c:pt>
                <c:pt idx="3254" formatCode="_(&quot;$&quot;* #,##0.00_);_(&quot;$&quot;* \(#,##0.00\);_(&quot;$&quot;* &quot;-&quot;??_);_(@_)">
                  <c:v>140.37680088659033</c:v>
                </c:pt>
                <c:pt idx="3255" formatCode="_(&quot;$&quot;* #,##0.00_);_(&quot;$&quot;* \(#,##0.00\);_(&quot;$&quot;* &quot;-&quot;??_);_(@_)">
                  <c:v>146.49190439475714</c:v>
                </c:pt>
                <c:pt idx="3256" formatCode="_(&quot;$&quot;* #,##0.00_);_(&quot;$&quot;* \(#,##0.00\);_(&quot;$&quot;* &quot;-&quot;??_);_(@_)">
                  <c:v>146.60493827160494</c:v>
                </c:pt>
                <c:pt idx="3257" formatCode="_(&quot;$&quot;* #,##0.00_);_(&quot;$&quot;* \(#,##0.00\);_(&quot;$&quot;* &quot;-&quot;??_);_(@_)">
                  <c:v>217.14285714285714</c:v>
                </c:pt>
                <c:pt idx="3258" formatCode="_(&quot;$&quot;* #,##0.00_);_(&quot;$&quot;* \(#,##0.00\);_(&quot;$&quot;* &quot;-&quot;??_);_(@_)">
                  <c:v>184.08321238509919</c:v>
                </c:pt>
                <c:pt idx="3259" formatCode="_(&quot;$&quot;* #,##0.00_);_(&quot;$&quot;* \(#,##0.00\);_(&quot;$&quot;* &quot;-&quot;??_);_(@_)">
                  <c:v>190.5</c:v>
                </c:pt>
                <c:pt idx="3260" formatCode="_(&quot;$&quot;* #,##0.00_);_(&quot;$&quot;* \(#,##0.00\);_(&quot;$&quot;* &quot;-&quot;??_);_(@_)">
                  <c:v>262.72352132049519</c:v>
                </c:pt>
                <c:pt idx="3261" formatCode="_(&quot;$&quot;* #,##0.00_);_(&quot;$&quot;* \(#,##0.00\);_(&quot;$&quot;* &quot;-&quot;??_);_(@_)">
                  <c:v>161.59052453468698</c:v>
                </c:pt>
                <c:pt idx="3262" formatCode="_(&quot;$&quot;* #,##0.00_);_(&quot;$&quot;* \(#,##0.00\);_(&quot;$&quot;* &quot;-&quot;??_);_(@_)">
                  <c:v>190.33383158943698</c:v>
                </c:pt>
                <c:pt idx="3263" formatCode="_(&quot;$&quot;* #,##0.00_);_(&quot;$&quot;* \(#,##0.00\);_(&quot;$&quot;* &quot;-&quot;??_);_(@_)">
                  <c:v>218.75</c:v>
                </c:pt>
                <c:pt idx="3264" formatCode="_(&quot;$&quot;* #,##0.00_);_(&quot;$&quot;* \(#,##0.00\);_(&quot;$&quot;* &quot;-&quot;??_);_(@_)">
                  <c:v>196.9309462915601</c:v>
                </c:pt>
                <c:pt idx="3265" formatCode="_(&quot;$&quot;* #,##0.00_);_(&quot;$&quot;* \(#,##0.00\);_(&quot;$&quot;* &quot;-&quot;??_);_(@_)">
                  <c:v>218.87436043206367</c:v>
                </c:pt>
                <c:pt idx="3266" formatCode="_(&quot;$&quot;* #,##0.00_);_(&quot;$&quot;* \(#,##0.00\);_(&quot;$&quot;* &quot;-&quot;??_);_(@_)">
                  <c:v>160.95317725752508</c:v>
                </c:pt>
                <c:pt idx="3267" formatCode="_(&quot;$&quot;* #,##0.00_);_(&quot;$&quot;* \(#,##0.00\);_(&quot;$&quot;* &quot;-&quot;??_);_(@_)">
                  <c:v>186.53100775193798</c:v>
                </c:pt>
                <c:pt idx="3268" formatCode="_(&quot;$&quot;* #,##0.00_);_(&quot;$&quot;* \(#,##0.00\);_(&quot;$&quot;* &quot;-&quot;??_);_(@_)">
                  <c:v>224.79721900347624</c:v>
                </c:pt>
                <c:pt idx="3269" formatCode="_(&quot;$&quot;* #,##0.00_);_(&quot;$&quot;* \(#,##0.00\);_(&quot;$&quot;* &quot;-&quot;??_);_(@_)">
                  <c:v>136.18813618813618</c:v>
                </c:pt>
                <c:pt idx="3270" formatCode="_(&quot;$&quot;* #,##0.00_);_(&quot;$&quot;* \(#,##0.00\);_(&quot;$&quot;* &quot;-&quot;??_);_(@_)">
                  <c:v>186.60287081339712</c:v>
                </c:pt>
                <c:pt idx="3271" formatCode="_(&quot;$&quot;* #,##0.00_);_(&quot;$&quot;* \(#,##0.00\);_(&quot;$&quot;* &quot;-&quot;??_);_(@_)">
                  <c:v>242.2360248447205</c:v>
                </c:pt>
                <c:pt idx="3272" formatCode="_(&quot;$&quot;* #,##0.00_);_(&quot;$&quot;* \(#,##0.00\);_(&quot;$&quot;* &quot;-&quot;??_);_(@_)">
                  <c:v>172.10944395410414</c:v>
                </c:pt>
                <c:pt idx="3273" formatCode="_(&quot;$&quot;* #,##0.00_);_(&quot;$&quot;* \(#,##0.00\);_(&quot;$&quot;* &quot;-&quot;??_);_(@_)">
                  <c:v>300</c:v>
                </c:pt>
                <c:pt idx="3274" formatCode="_(&quot;$&quot;* #,##0.00_);_(&quot;$&quot;* \(#,##0.00\);_(&quot;$&quot;* &quot;-&quot;??_);_(@_)">
                  <c:v>177.27272727272728</c:v>
                </c:pt>
                <c:pt idx="3275" formatCode="_(&quot;$&quot;* #,##0.00_);_(&quot;$&quot;* \(#,##0.00\);_(&quot;$&quot;* &quot;-&quot;??_);_(@_)">
                  <c:v>153.87642660369934</c:v>
                </c:pt>
                <c:pt idx="3276" formatCode="_(&quot;$&quot;* #,##0.00_);_(&quot;$&quot;* \(#,##0.00\);_(&quot;$&quot;* &quot;-&quot;??_);_(@_)">
                  <c:v>133.88725657669968</c:v>
                </c:pt>
                <c:pt idx="3277" formatCode="_(&quot;$&quot;* #,##0.00_);_(&quot;$&quot;* \(#,##0.00\);_(&quot;$&quot;* &quot;-&quot;??_);_(@_)">
                  <c:v>225.02870264064293</c:v>
                </c:pt>
                <c:pt idx="3278" formatCode="_(&quot;$&quot;* #,##0.00_);_(&quot;$&quot;* \(#,##0.00\);_(&quot;$&quot;* &quot;-&quot;??_);_(@_)">
                  <c:v>153.48472983555209</c:v>
                </c:pt>
                <c:pt idx="3279" formatCode="_(&quot;$&quot;* #,##0.00_);_(&quot;$&quot;* \(#,##0.00\);_(&quot;$&quot;* &quot;-&quot;??_);_(@_)">
                  <c:v>203.51239669421489</c:v>
                </c:pt>
                <c:pt idx="3280" formatCode="_(&quot;$&quot;* #,##0.00_);_(&quot;$&quot;* \(#,##0.00\);_(&quot;$&quot;* &quot;-&quot;??_);_(@_)">
                  <c:v>250</c:v>
                </c:pt>
                <c:pt idx="3281" formatCode="_(&quot;$&quot;* #,##0.00_);_(&quot;$&quot;* \(#,##0.00\);_(&quot;$&quot;* &quot;-&quot;??_);_(@_)">
                  <c:v>153.63671723064957</c:v>
                </c:pt>
                <c:pt idx="3282" formatCode="_(&quot;$&quot;* #,##0.00_);_(&quot;$&quot;* \(#,##0.00\);_(&quot;$&quot;* &quot;-&quot;??_);_(@_)">
                  <c:v>213.86031402273957</c:v>
                </c:pt>
                <c:pt idx="3283" formatCode="_(&quot;$&quot;* #,##0.00_);_(&quot;$&quot;* \(#,##0.00\);_(&quot;$&quot;* &quot;-&quot;??_);_(@_)">
                  <c:v>166.52613827993255</c:v>
                </c:pt>
                <c:pt idx="3284" formatCode="_(&quot;$&quot;* #,##0.00_);_(&quot;$&quot;* \(#,##0.00\);_(&quot;$&quot;* &quot;-&quot;??_);_(@_)">
                  <c:v>144.05543398978847</c:v>
                </c:pt>
                <c:pt idx="3285" formatCode="_(&quot;$&quot;* #,##0.00_);_(&quot;$&quot;* \(#,##0.00\);_(&quot;$&quot;* &quot;-&quot;??_);_(@_)">
                  <c:v>241.04432301153614</c:v>
                </c:pt>
                <c:pt idx="3286" formatCode="_(&quot;$&quot;* #,##0.00_);_(&quot;$&quot;* \(#,##0.00\);_(&quot;$&quot;* &quot;-&quot;??_);_(@_)">
                  <c:v>155.89502546024286</c:v>
                </c:pt>
                <c:pt idx="3287" formatCode="_(&quot;$&quot;* #,##0.00_);_(&quot;$&quot;* \(#,##0.00\);_(&quot;$&quot;* &quot;-&quot;??_);_(@_)">
                  <c:v>205.07692307692307</c:v>
                </c:pt>
                <c:pt idx="3288" formatCode="_(&quot;$&quot;* #,##0.00_);_(&quot;$&quot;* \(#,##0.00\);_(&quot;$&quot;* &quot;-&quot;??_);_(@_)">
                  <c:v>163.06563391765187</c:v>
                </c:pt>
                <c:pt idx="3289" formatCode="_(&quot;$&quot;* #,##0.00_);_(&quot;$&quot;* \(#,##0.00\);_(&quot;$&quot;* &quot;-&quot;??_);_(@_)">
                  <c:v>222.84122562674094</c:v>
                </c:pt>
                <c:pt idx="3290" formatCode="_(&quot;$&quot;* #,##0.00_);_(&quot;$&quot;* \(#,##0.00\);_(&quot;$&quot;* &quot;-&quot;??_);_(@_)">
                  <c:v>193.79844961240309</c:v>
                </c:pt>
                <c:pt idx="3291" formatCode="_(&quot;$&quot;* #,##0.00_);_(&quot;$&quot;* \(#,##0.00\);_(&quot;$&quot;* &quot;-&quot;??_);_(@_)">
                  <c:v>219.17808219178082</c:v>
                </c:pt>
                <c:pt idx="3292" formatCode="_(&quot;$&quot;* #,##0.00_);_(&quot;$&quot;* \(#,##0.00\);_(&quot;$&quot;* &quot;-&quot;??_);_(@_)">
                  <c:v>179.13121361397222</c:v>
                </c:pt>
                <c:pt idx="3293" formatCode="_(&quot;$&quot;* #,##0.00_);_(&quot;$&quot;* \(#,##0.00\);_(&quot;$&quot;* &quot;-&quot;??_);_(@_)">
                  <c:v>163.8672675133142</c:v>
                </c:pt>
                <c:pt idx="3294" formatCode="_(&quot;$&quot;* #,##0.00_);_(&quot;$&quot;* \(#,##0.00\);_(&quot;$&quot;* &quot;-&quot;??_);_(@_)">
                  <c:v>444.93882091212458</c:v>
                </c:pt>
                <c:pt idx="3295" formatCode="_(&quot;$&quot;* #,##0.00_);_(&quot;$&quot;* \(#,##0.00\);_(&quot;$&quot;* &quot;-&quot;??_);_(@_)">
                  <c:v>191.85714285714286</c:v>
                </c:pt>
                <c:pt idx="3296" formatCode="_(&quot;$&quot;* #,##0.00_);_(&quot;$&quot;* \(#,##0.00\);_(&quot;$&quot;* &quot;-&quot;??_);_(@_)">
                  <c:v>192.30769230769232</c:v>
                </c:pt>
                <c:pt idx="3297" formatCode="_(&quot;$&quot;* #,##0.00_);_(&quot;$&quot;* \(#,##0.00\);_(&quot;$&quot;* &quot;-&quot;??_);_(@_)">
                  <c:v>208.2051282051282</c:v>
                </c:pt>
                <c:pt idx="3298" formatCode="_(&quot;$&quot;* #,##0.00_);_(&quot;$&quot;* \(#,##0.00\);_(&quot;$&quot;* &quot;-&quot;??_);_(@_)">
                  <c:v>194.33333333333334</c:v>
                </c:pt>
                <c:pt idx="3299" formatCode="_(&quot;$&quot;* #,##0.00_);_(&quot;$&quot;* \(#,##0.00\);_(&quot;$&quot;* &quot;-&quot;??_);_(@_)">
                  <c:v>141.47688060731539</c:v>
                </c:pt>
                <c:pt idx="3300" formatCode="_(&quot;$&quot;* #,##0.00_);_(&quot;$&quot;* \(#,##0.00\);_(&quot;$&quot;* &quot;-&quot;??_);_(@_)">
                  <c:v>250.61124694376528</c:v>
                </c:pt>
                <c:pt idx="3301" formatCode="_(&quot;$&quot;* #,##0.00_);_(&quot;$&quot;* \(#,##0.00\);_(&quot;$&quot;* &quot;-&quot;??_);_(@_)">
                  <c:v>221.62162162162161</c:v>
                </c:pt>
                <c:pt idx="3302" formatCode="_(&quot;$&quot;* #,##0.00_);_(&quot;$&quot;* \(#,##0.00\);_(&quot;$&quot;* &quot;-&quot;??_);_(@_)">
                  <c:v>197.49518304431598</c:v>
                </c:pt>
                <c:pt idx="3303" formatCode="_(&quot;$&quot;* #,##0.00_);_(&quot;$&quot;* \(#,##0.00\);_(&quot;$&quot;* &quot;-&quot;??_);_(@_)">
                  <c:v>188.07339449541286</c:v>
                </c:pt>
                <c:pt idx="3304" formatCode="_(&quot;$&quot;* #,##0.00_);_(&quot;$&quot;* \(#,##0.00\);_(&quot;$&quot;* &quot;-&quot;??_);_(@_)">
                  <c:v>214.1514360313316</c:v>
                </c:pt>
                <c:pt idx="3305" formatCode="_(&quot;$&quot;* #,##0.00_);_(&quot;$&quot;* \(#,##0.00\);_(&quot;$&quot;* &quot;-&quot;??_);_(@_)">
                  <c:v>180.49452954048141</c:v>
                </c:pt>
                <c:pt idx="3306" formatCode="_(&quot;$&quot;* #,##0.00_);_(&quot;$&quot;* \(#,##0.00\);_(&quot;$&quot;* &quot;-&quot;??_);_(@_)">
                  <c:v>215.99216710182768</c:v>
                </c:pt>
                <c:pt idx="3307" formatCode="_(&quot;$&quot;* #,##0.00_);_(&quot;$&quot;* \(#,##0.00\);_(&quot;$&quot;* &quot;-&quot;??_);_(@_)">
                  <c:v>259.375</c:v>
                </c:pt>
                <c:pt idx="3308" formatCode="_(&quot;$&quot;* #,##0.00_);_(&quot;$&quot;* \(#,##0.00\);_(&quot;$&quot;* &quot;-&quot;??_);_(@_)">
                  <c:v>147.05882352941177</c:v>
                </c:pt>
                <c:pt idx="3309" formatCode="_(&quot;$&quot;* #,##0.00_);_(&quot;$&quot;* \(#,##0.00\);_(&quot;$&quot;* &quot;-&quot;??_);_(@_)">
                  <c:v>232.49299719887955</c:v>
                </c:pt>
                <c:pt idx="3310" formatCode="_(&quot;$&quot;* #,##0.00_);_(&quot;$&quot;* \(#,##0.00\);_(&quot;$&quot;* &quot;-&quot;??_);_(@_)">
                  <c:v>198.04761904761904</c:v>
                </c:pt>
                <c:pt idx="3311" formatCode="_(&quot;$&quot;* #,##0.00_);_(&quot;$&quot;* \(#,##0.00\);_(&quot;$&quot;* &quot;-&quot;??_);_(@_)">
                  <c:v>191.16300366300365</c:v>
                </c:pt>
                <c:pt idx="3312" formatCode="_(&quot;$&quot;* #,##0.00_);_(&quot;$&quot;* \(#,##0.00\);_(&quot;$&quot;* &quot;-&quot;??_);_(@_)">
                  <c:v>205.66502463054186</c:v>
                </c:pt>
                <c:pt idx="3313" formatCode="_(&quot;$&quot;* #,##0.00_);_(&quot;$&quot;* \(#,##0.00\);_(&quot;$&quot;* &quot;-&quot;??_);_(@_)">
                  <c:v>240.47183908045977</c:v>
                </c:pt>
                <c:pt idx="3314" formatCode="_(&quot;$&quot;* #,##0.00_);_(&quot;$&quot;* \(#,##0.00\);_(&quot;$&quot;* &quot;-&quot;??_);_(@_)">
                  <c:v>299.28571428571428</c:v>
                </c:pt>
                <c:pt idx="3315" formatCode="_(&quot;$&quot;* #,##0.00_);_(&quot;$&quot;* \(#,##0.00\);_(&quot;$&quot;* &quot;-&quot;??_);_(@_)">
                  <c:v>235.12906846240179</c:v>
                </c:pt>
                <c:pt idx="3316" formatCode="_(&quot;$&quot;* #,##0.00_);_(&quot;$&quot;* \(#,##0.00\);_(&quot;$&quot;* &quot;-&quot;??_);_(@_)">
                  <c:v>160.65950920245399</c:v>
                </c:pt>
                <c:pt idx="3317" formatCode="_(&quot;$&quot;* #,##0.00_);_(&quot;$&quot;* \(#,##0.00\);_(&quot;$&quot;* &quot;-&quot;??_);_(@_)">
                  <c:v>182.60869565217391</c:v>
                </c:pt>
                <c:pt idx="3318" formatCode="_(&quot;$&quot;* #,##0.00_);_(&quot;$&quot;* \(#,##0.00\);_(&quot;$&quot;* &quot;-&quot;??_);_(@_)">
                  <c:v>182.60869565217391</c:v>
                </c:pt>
                <c:pt idx="3319" formatCode="_(&quot;$&quot;* #,##0.00_);_(&quot;$&quot;* \(#,##0.00\);_(&quot;$&quot;* &quot;-&quot;??_);_(@_)">
                  <c:v>232.68698060941827</c:v>
                </c:pt>
                <c:pt idx="3320" formatCode="_(&quot;$&quot;* #,##0.00_);_(&quot;$&quot;* \(#,##0.00\);_(&quot;$&quot;* &quot;-&quot;??_);_(@_)">
                  <c:v>199.90480723465018</c:v>
                </c:pt>
                <c:pt idx="3321" formatCode="_(&quot;$&quot;* #,##0.00_);_(&quot;$&quot;* \(#,##0.00\);_(&quot;$&quot;* &quot;-&quot;??_);_(@_)">
                  <c:v>202.60492040520984</c:v>
                </c:pt>
                <c:pt idx="3322" formatCode="_(&quot;$&quot;* #,##0.00_);_(&quot;$&quot;* \(#,##0.00\);_(&quot;$&quot;* &quot;-&quot;??_);_(@_)">
                  <c:v>171.49857084524297</c:v>
                </c:pt>
                <c:pt idx="3323" formatCode="_(&quot;$&quot;* #,##0.00_);_(&quot;$&quot;* \(#,##0.00\);_(&quot;$&quot;* &quot;-&quot;??_);_(@_)">
                  <c:v>183.8621444201313</c:v>
                </c:pt>
                <c:pt idx="3324" formatCode="_(&quot;$&quot;* #,##0.00_);_(&quot;$&quot;* \(#,##0.00\);_(&quot;$&quot;* &quot;-&quot;??_);_(@_)">
                  <c:v>210.78921078921078</c:v>
                </c:pt>
                <c:pt idx="3325" formatCode="_(&quot;$&quot;* #,##0.00_);_(&quot;$&quot;* \(#,##0.00\);_(&quot;$&quot;* &quot;-&quot;??_);_(@_)">
                  <c:v>229.97275204359673</c:v>
                </c:pt>
                <c:pt idx="3326" formatCode="_(&quot;$&quot;* #,##0.00_);_(&quot;$&quot;* \(#,##0.00\);_(&quot;$&quot;* &quot;-&quot;??_);_(@_)">
                  <c:v>169.07051282051282</c:v>
                </c:pt>
                <c:pt idx="3327" formatCode="_(&quot;$&quot;* #,##0.00_);_(&quot;$&quot;* \(#,##0.00\);_(&quot;$&quot;* &quot;-&quot;??_);_(@_)">
                  <c:v>193.18181818181819</c:v>
                </c:pt>
                <c:pt idx="3328" formatCode="_(&quot;$&quot;* #,##0.00_);_(&quot;$&quot;* \(#,##0.00\);_(&quot;$&quot;* &quot;-&quot;??_);_(@_)">
                  <c:v>193.53369763205828</c:v>
                </c:pt>
                <c:pt idx="3329" formatCode="_(&quot;$&quot;* #,##0.00_);_(&quot;$&quot;* \(#,##0.00\);_(&quot;$&quot;* &quot;-&quot;??_);_(@_)">
                  <c:v>184.78260869565219</c:v>
                </c:pt>
                <c:pt idx="3330" formatCode="_(&quot;$&quot;* #,##0.00_);_(&quot;$&quot;* \(#,##0.00\);_(&quot;$&quot;* &quot;-&quot;??_);_(@_)">
                  <c:v>211.23260437375745</c:v>
                </c:pt>
                <c:pt idx="3331" formatCode="_(&quot;$&quot;* #,##0.00_);_(&quot;$&quot;* \(#,##0.00\);_(&quot;$&quot;* &quot;-&quot;??_);_(@_)">
                  <c:v>250</c:v>
                </c:pt>
                <c:pt idx="3332" formatCode="_(&quot;$&quot;* #,##0.00_);_(&quot;$&quot;* \(#,##0.00\);_(&quot;$&quot;* &quot;-&quot;??_);_(@_)">
                  <c:v>192.83121597096189</c:v>
                </c:pt>
                <c:pt idx="3333" formatCode="_(&quot;$&quot;* #,##0.00_);_(&quot;$&quot;* \(#,##0.00\);_(&quot;$&quot;* &quot;-&quot;??_);_(@_)">
                  <c:v>225.26315789473685</c:v>
                </c:pt>
                <c:pt idx="3334" formatCode="_(&quot;$&quot;* #,##0.00_);_(&quot;$&quot;* \(#,##0.00\);_(&quot;$&quot;* &quot;-&quot;??_);_(@_)">
                  <c:v>213.88059701492537</c:v>
                </c:pt>
                <c:pt idx="3335" formatCode="_(&quot;$&quot;* #,##0.00_);_(&quot;$&quot;* \(#,##0.00\);_(&quot;$&quot;* &quot;-&quot;??_);_(@_)">
                  <c:v>212.4505928853755</c:v>
                </c:pt>
                <c:pt idx="3336" formatCode="_(&quot;$&quot;* #,##0.00_);_(&quot;$&quot;* \(#,##0.00\);_(&quot;$&quot;* &quot;-&quot;??_);_(@_)">
                  <c:v>212.4505928853755</c:v>
                </c:pt>
                <c:pt idx="3337" formatCode="_(&quot;$&quot;* #,##0.00_);_(&quot;$&quot;* \(#,##0.00\);_(&quot;$&quot;* &quot;-&quot;??_);_(@_)">
                  <c:v>220.28688524590163</c:v>
                </c:pt>
                <c:pt idx="3338" formatCode="_(&quot;$&quot;* #,##0.00_);_(&quot;$&quot;* \(#,##0.00\);_(&quot;$&quot;* &quot;-&quot;??_);_(@_)">
                  <c:v>195.18837948252383</c:v>
                </c:pt>
                <c:pt idx="3339" formatCode="_(&quot;$&quot;* #,##0.00_);_(&quot;$&quot;* \(#,##0.00\);_(&quot;$&quot;* &quot;-&quot;??_);_(@_)">
                  <c:v>223.72528616024974</c:v>
                </c:pt>
                <c:pt idx="3340" formatCode="_(&quot;$&quot;* #,##0.00_);_(&quot;$&quot;* \(#,##0.00\);_(&quot;$&quot;* &quot;-&quot;??_);_(@_)">
                  <c:v>209.14396887159532</c:v>
                </c:pt>
                <c:pt idx="3341" formatCode="_(&quot;$&quot;* #,##0.00_);_(&quot;$&quot;* \(#,##0.00\);_(&quot;$&quot;* &quot;-&quot;??_);_(@_)">
                  <c:v>197.27272727272728</c:v>
                </c:pt>
                <c:pt idx="3342" formatCode="_(&quot;$&quot;* #,##0.00_);_(&quot;$&quot;* \(#,##0.00\);_(&quot;$&quot;* &quot;-&quot;??_);_(@_)">
                  <c:v>229.79397781299525</c:v>
                </c:pt>
                <c:pt idx="3343" formatCode="_(&quot;$&quot;* #,##0.00_);_(&quot;$&quot;* \(#,##0.00\);_(&quot;$&quot;* &quot;-&quot;??_);_(@_)">
                  <c:v>152.09790209790211</c:v>
                </c:pt>
                <c:pt idx="3344" formatCode="_(&quot;$&quot;* #,##0.00_);_(&quot;$&quot;* \(#,##0.00\);_(&quot;$&quot;* &quot;-&quot;??_);_(@_)">
                  <c:v>182.61964735516372</c:v>
                </c:pt>
                <c:pt idx="3345" formatCode="_(&quot;$&quot;* #,##0.00_);_(&quot;$&quot;* \(#,##0.00\);_(&quot;$&quot;* &quot;-&quot;??_);_(@_)">
                  <c:v>269.42046855733662</c:v>
                </c:pt>
                <c:pt idx="3346" formatCode="_(&quot;$&quot;* #,##0.00_);_(&quot;$&quot;* \(#,##0.00\);_(&quot;$&quot;* &quot;-&quot;??_);_(@_)">
                  <c:v>192.43982494529541</c:v>
                </c:pt>
                <c:pt idx="3347" formatCode="_(&quot;$&quot;* #,##0.00_);_(&quot;$&quot;* \(#,##0.00\);_(&quot;$&quot;* &quot;-&quot;??_);_(@_)">
                  <c:v>190.39376893119862</c:v>
                </c:pt>
                <c:pt idx="3348" formatCode="_(&quot;$&quot;* #,##0.00_);_(&quot;$&quot;* \(#,##0.00\);_(&quot;$&quot;* &quot;-&quot;??_);_(@_)">
                  <c:v>200</c:v>
                </c:pt>
                <c:pt idx="3349" formatCode="_(&quot;$&quot;* #,##0.00_);_(&quot;$&quot;* \(#,##0.00\);_(&quot;$&quot;* &quot;-&quot;??_);_(@_)">
                  <c:v>280.61224489795916</c:v>
                </c:pt>
                <c:pt idx="3350" formatCode="_(&quot;$&quot;* #,##0.00_);_(&quot;$&quot;* \(#,##0.00\);_(&quot;$&quot;* &quot;-&quot;??_);_(@_)">
                  <c:v>173.44881889763781</c:v>
                </c:pt>
                <c:pt idx="3351" formatCode="_(&quot;$&quot;* #,##0.00_);_(&quot;$&quot;* \(#,##0.00\);_(&quot;$&quot;* &quot;-&quot;??_);_(@_)">
                  <c:v>194.054704595186</c:v>
                </c:pt>
                <c:pt idx="3352" formatCode="_(&quot;$&quot;* #,##0.00_);_(&quot;$&quot;* \(#,##0.00\);_(&quot;$&quot;* &quot;-&quot;??_);_(@_)">
                  <c:v>194.70459518599563</c:v>
                </c:pt>
                <c:pt idx="3353" formatCode="_(&quot;$&quot;* #,##0.00_);_(&quot;$&quot;* \(#,##0.00\);_(&quot;$&quot;* &quot;-&quot;??_);_(@_)">
                  <c:v>225.65922920892496</c:v>
                </c:pt>
                <c:pt idx="3354" formatCode="_(&quot;$&quot;* #,##0.00_);_(&quot;$&quot;* \(#,##0.00\);_(&quot;$&quot;* &quot;-&quot;??_);_(@_)">
                  <c:v>160.30259365994237</c:v>
                </c:pt>
                <c:pt idx="3355" formatCode="_(&quot;$&quot;* #,##0.00_);_(&quot;$&quot;* \(#,##0.00\);_(&quot;$&quot;* &quot;-&quot;??_);_(@_)">
                  <c:v>175.00980392156862</c:v>
                </c:pt>
                <c:pt idx="3356" formatCode="_(&quot;$&quot;* #,##0.00_);_(&quot;$&quot;* \(#,##0.00\);_(&quot;$&quot;* &quot;-&quot;??_);_(@_)">
                  <c:v>202.33783175888439</c:v>
                </c:pt>
                <c:pt idx="3357" formatCode="_(&quot;$&quot;* #,##0.00_);_(&quot;$&quot;* \(#,##0.00\);_(&quot;$&quot;* &quot;-&quot;??_);_(@_)">
                  <c:v>178.31946095917559</c:v>
                </c:pt>
                <c:pt idx="3358" formatCode="_(&quot;$&quot;* #,##0.00_);_(&quot;$&quot;* \(#,##0.00\);_(&quot;$&quot;* &quot;-&quot;??_);_(@_)">
                  <c:v>192.96740994854201</c:v>
                </c:pt>
                <c:pt idx="3359" formatCode="_(&quot;$&quot;* #,##0.00_);_(&quot;$&quot;* \(#,##0.00\);_(&quot;$&quot;* &quot;-&quot;??_);_(@_)">
                  <c:v>174.96111975116642</c:v>
                </c:pt>
                <c:pt idx="3360" formatCode="_(&quot;$&quot;* #,##0.00_);_(&quot;$&quot;* \(#,##0.00\);_(&quot;$&quot;* &quot;-&quot;??_);_(@_)">
                  <c:v>251.25628140703517</c:v>
                </c:pt>
                <c:pt idx="3361" formatCode="_(&quot;$&quot;* #,##0.00_);_(&quot;$&quot;* \(#,##0.00\);_(&quot;$&quot;* &quot;-&quot;??_);_(@_)">
                  <c:v>173.07692307692307</c:v>
                </c:pt>
                <c:pt idx="3362" formatCode="_(&quot;$&quot;* #,##0.00_);_(&quot;$&quot;* \(#,##0.00\);_(&quot;$&quot;* &quot;-&quot;??_);_(@_)">
                  <c:v>199.20318725099602</c:v>
                </c:pt>
                <c:pt idx="3363" formatCode="_(&quot;$&quot;* #,##0.00_);_(&quot;$&quot;* \(#,##0.00\);_(&quot;$&quot;* &quot;-&quot;??_);_(@_)">
                  <c:v>220.703125</c:v>
                </c:pt>
                <c:pt idx="3364" formatCode="_(&quot;$&quot;* #,##0.00_);_(&quot;$&quot;* \(#,##0.00\);_(&quot;$&quot;* &quot;-&quot;??_);_(@_)">
                  <c:v>223.98414271555995</c:v>
                </c:pt>
                <c:pt idx="3365" formatCode="_(&quot;$&quot;* #,##0.00_);_(&quot;$&quot;* \(#,##0.00\);_(&quot;$&quot;* &quot;-&quot;??_);_(@_)">
                  <c:v>199.73544973544975</c:v>
                </c:pt>
                <c:pt idx="3366" formatCode="_(&quot;$&quot;* #,##0.00_);_(&quot;$&quot;* \(#,##0.00\);_(&quot;$&quot;* &quot;-&quot;??_);_(@_)">
                  <c:v>193.32766680832978</c:v>
                </c:pt>
                <c:pt idx="3367" formatCode="_(&quot;$&quot;* #,##0.00_);_(&quot;$&quot;* \(#,##0.00\);_(&quot;$&quot;* &quot;-&quot;??_);_(@_)">
                  <c:v>258.37592277115277</c:v>
                </c:pt>
                <c:pt idx="3368" formatCode="_(&quot;$&quot;* #,##0.00_);_(&quot;$&quot;* \(#,##0.00\);_(&quot;$&quot;* &quot;-&quot;??_);_(@_)">
                  <c:v>188.74172185430464</c:v>
                </c:pt>
                <c:pt idx="3369" formatCode="_(&quot;$&quot;* #,##0.00_);_(&quot;$&quot;* \(#,##0.00\);_(&quot;$&quot;* &quot;-&quot;??_);_(@_)">
                  <c:v>188.74172185430464</c:v>
                </c:pt>
                <c:pt idx="3370" formatCode="_(&quot;$&quot;* #,##0.00_);_(&quot;$&quot;* \(#,##0.00\);_(&quot;$&quot;* &quot;-&quot;??_);_(@_)">
                  <c:v>210.67636195752539</c:v>
                </c:pt>
                <c:pt idx="3371" formatCode="_(&quot;$&quot;* #,##0.00_);_(&quot;$&quot;* \(#,##0.00\);_(&quot;$&quot;* &quot;-&quot;??_);_(@_)">
                  <c:v>227.56569162121963</c:v>
                </c:pt>
                <c:pt idx="3372" formatCode="_(&quot;$&quot;* #,##0.00_);_(&quot;$&quot;* \(#,##0.00\);_(&quot;$&quot;* &quot;-&quot;??_);_(@_)">
                  <c:v>187.71428571428572</c:v>
                </c:pt>
                <c:pt idx="3373" formatCode="_(&quot;$&quot;* #,##0.00_);_(&quot;$&quot;* \(#,##0.00\);_(&quot;$&quot;* &quot;-&quot;??_);_(@_)">
                  <c:v>191.625</c:v>
                </c:pt>
                <c:pt idx="3374" formatCode="_(&quot;$&quot;* #,##0.00_);_(&quot;$&quot;* \(#,##0.00\);_(&quot;$&quot;* &quot;-&quot;??_);_(@_)">
                  <c:v>198.53258523953389</c:v>
                </c:pt>
                <c:pt idx="3375" formatCode="_(&quot;$&quot;* #,##0.00_);_(&quot;$&quot;* \(#,##0.00\);_(&quot;$&quot;* &quot;-&quot;??_);_(@_)">
                  <c:v>199.04803115534401</c:v>
                </c:pt>
                <c:pt idx="3376" formatCode="_(&quot;$&quot;* #,##0.00_);_(&quot;$&quot;* \(#,##0.00\);_(&quot;$&quot;* &quot;-&quot;??_);_(@_)">
                  <c:v>192.95302013422818</c:v>
                </c:pt>
                <c:pt idx="3377" formatCode="_(&quot;$&quot;* #,##0.00_);_(&quot;$&quot;* \(#,##0.00\);_(&quot;$&quot;* &quot;-&quot;??_);_(@_)">
                  <c:v>156.21375338753387</c:v>
                </c:pt>
                <c:pt idx="3378" formatCode="_(&quot;$&quot;* #,##0.00_);_(&quot;$&quot;* \(#,##0.00\);_(&quot;$&quot;* &quot;-&quot;??_);_(@_)">
                  <c:v>220.33190476190475</c:v>
                </c:pt>
                <c:pt idx="3379" formatCode="_(&quot;$&quot;* #,##0.00_);_(&quot;$&quot;* \(#,##0.00\);_(&quot;$&quot;* &quot;-&quot;??_);_(@_)">
                  <c:v>248.52388620504561</c:v>
                </c:pt>
                <c:pt idx="3380" formatCode="_(&quot;$&quot;* #,##0.00_);_(&quot;$&quot;* \(#,##0.00\);_(&quot;$&quot;* &quot;-&quot;??_);_(@_)">
                  <c:v>182.28346456692913</c:v>
                </c:pt>
                <c:pt idx="3381" formatCode="_(&quot;$&quot;* #,##0.00_);_(&quot;$&quot;* \(#,##0.00\);_(&quot;$&quot;* &quot;-&quot;??_);_(@_)">
                  <c:v>189.6411092985318</c:v>
                </c:pt>
                <c:pt idx="3382" formatCode="_(&quot;$&quot;* #,##0.00_);_(&quot;$&quot;* \(#,##0.00\);_(&quot;$&quot;* &quot;-&quot;??_);_(@_)">
                  <c:v>184.60329929300863</c:v>
                </c:pt>
                <c:pt idx="3383" formatCode="_(&quot;$&quot;* #,##0.00_);_(&quot;$&quot;* \(#,##0.00\);_(&quot;$&quot;* &quot;-&quot;??_);_(@_)">
                  <c:v>179.01701323251419</c:v>
                </c:pt>
                <c:pt idx="3384" formatCode="_(&quot;$&quot;* #,##0.00_);_(&quot;$&quot;* \(#,##0.00\);_(&quot;$&quot;* &quot;-&quot;??_);_(@_)">
                  <c:v>178.50169619298907</c:v>
                </c:pt>
                <c:pt idx="3385" formatCode="_(&quot;$&quot;* #,##0.00_);_(&quot;$&quot;* \(#,##0.00\);_(&quot;$&quot;* &quot;-&quot;??_);_(@_)">
                  <c:v>246.62512980269989</c:v>
                </c:pt>
                <c:pt idx="3386" formatCode="_(&quot;$&quot;* #,##0.00_);_(&quot;$&quot;* \(#,##0.00\);_(&quot;$&quot;* &quot;-&quot;??_);_(@_)">
                  <c:v>235.03216229589313</c:v>
                </c:pt>
                <c:pt idx="3387" formatCode="_(&quot;$&quot;* #,##0.00_);_(&quot;$&quot;* \(#,##0.00\);_(&quot;$&quot;* &quot;-&quot;??_);_(@_)">
                  <c:v>191.30084575110754</c:v>
                </c:pt>
                <c:pt idx="3388" formatCode="_(&quot;$&quot;* #,##0.00_);_(&quot;$&quot;* \(#,##0.00\);_(&quot;$&quot;* &quot;-&quot;??_);_(@_)">
                  <c:v>183.15467487495189</c:v>
                </c:pt>
                <c:pt idx="3389" formatCode="_(&quot;$&quot;* #,##0.00_);_(&quot;$&quot;* \(#,##0.00\);_(&quot;$&quot;* &quot;-&quot;??_);_(@_)">
                  <c:v>146.92307692307693</c:v>
                </c:pt>
                <c:pt idx="3390" formatCode="_(&quot;$&quot;* #,##0.00_);_(&quot;$&quot;* \(#,##0.00\);_(&quot;$&quot;* &quot;-&quot;??_);_(@_)">
                  <c:v>191.35308246597279</c:v>
                </c:pt>
                <c:pt idx="3391" formatCode="_(&quot;$&quot;* #,##0.00_);_(&quot;$&quot;* \(#,##0.00\);_(&quot;$&quot;* &quot;-&quot;??_);_(@_)">
                  <c:v>181.23344684071131</c:v>
                </c:pt>
                <c:pt idx="3392" formatCode="_(&quot;$&quot;* #,##0.00_);_(&quot;$&quot;* \(#,##0.00\);_(&quot;$&quot;* &quot;-&quot;??_);_(@_)">
                  <c:v>180.92725216735772</c:v>
                </c:pt>
                <c:pt idx="3393" formatCode="_(&quot;$&quot;* #,##0.00_);_(&quot;$&quot;* \(#,##0.00\);_(&quot;$&quot;* &quot;-&quot;??_);_(@_)">
                  <c:v>228.55796418473139</c:v>
                </c:pt>
                <c:pt idx="3394" formatCode="_(&quot;$&quot;* #,##0.00_);_(&quot;$&quot;* \(#,##0.00\);_(&quot;$&quot;* &quot;-&quot;??_);_(@_)">
                  <c:v>254.72689075630251</c:v>
                </c:pt>
                <c:pt idx="3395" formatCode="_(&quot;$&quot;* #,##0.00_);_(&quot;$&quot;* \(#,##0.00\);_(&quot;$&quot;* &quot;-&quot;??_);_(@_)">
                  <c:v>254.72689075630251</c:v>
                </c:pt>
                <c:pt idx="3396" formatCode="_(&quot;$&quot;* #,##0.00_);_(&quot;$&quot;* \(#,##0.00\);_(&quot;$&quot;* &quot;-&quot;??_);_(@_)">
                  <c:v>191.91929133858267</c:v>
                </c:pt>
                <c:pt idx="3397" formatCode="_(&quot;$&quot;* #,##0.00_);_(&quot;$&quot;* \(#,##0.00\);_(&quot;$&quot;* &quot;-&quot;??_);_(@_)">
                  <c:v>187.50960799385089</c:v>
                </c:pt>
                <c:pt idx="3398" formatCode="_(&quot;$&quot;* #,##0.00_);_(&quot;$&quot;* \(#,##0.00\);_(&quot;$&quot;* &quot;-&quot;??_);_(@_)">
                  <c:v>187.50960799385089</c:v>
                </c:pt>
                <c:pt idx="3399" formatCode="_(&quot;$&quot;* #,##0.00_);_(&quot;$&quot;* \(#,##0.00\);_(&quot;$&quot;* &quot;-&quot;??_);_(@_)">
                  <c:v>171.08938547486034</c:v>
                </c:pt>
                <c:pt idx="3400" formatCode="_(&quot;$&quot;* #,##0.00_);_(&quot;$&quot;* \(#,##0.00\);_(&quot;$&quot;* &quot;-&quot;??_);_(@_)">
                  <c:v>193.7244094488189</c:v>
                </c:pt>
                <c:pt idx="3401" formatCode="_(&quot;$&quot;* #,##0.00_);_(&quot;$&quot;* \(#,##0.00\);_(&quot;$&quot;* &quot;-&quot;??_);_(@_)">
                  <c:v>145.67392583872865</c:v>
                </c:pt>
                <c:pt idx="3402" formatCode="_(&quot;$&quot;* #,##0.00_);_(&quot;$&quot;* \(#,##0.00\);_(&quot;$&quot;* &quot;-&quot;??_);_(@_)">
                  <c:v>259.57000524383847</c:v>
                </c:pt>
                <c:pt idx="3403" formatCode="_(&quot;$&quot;* #,##0.00_);_(&quot;$&quot;* \(#,##0.00\);_(&quot;$&quot;* &quot;-&quot;??_);_(@_)">
                  <c:v>199.51632406287789</c:v>
                </c:pt>
                <c:pt idx="3404" formatCode="_(&quot;$&quot;* #,##0.00_);_(&quot;$&quot;* \(#,##0.00\);_(&quot;$&quot;* &quot;-&quot;??_);_(@_)">
                  <c:v>168.01346801346801</c:v>
                </c:pt>
                <c:pt idx="3405" formatCode="_(&quot;$&quot;* #,##0.00_);_(&quot;$&quot;* \(#,##0.00\);_(&quot;$&quot;* &quot;-&quot;??_);_(@_)">
                  <c:v>259.6253902185224</c:v>
                </c:pt>
                <c:pt idx="3406" formatCode="_(&quot;$&quot;* #,##0.00_);_(&quot;$&quot;* \(#,##0.00\);_(&quot;$&quot;* &quot;-&quot;??_);_(@_)">
                  <c:v>170.18379850238259</c:v>
                </c:pt>
                <c:pt idx="3407" formatCode="_(&quot;$&quot;* #,##0.00_);_(&quot;$&quot;* \(#,##0.00\);_(&quot;$&quot;* &quot;-&quot;??_);_(@_)">
                  <c:v>134.55328310010765</c:v>
                </c:pt>
                <c:pt idx="3408" formatCode="_(&quot;$&quot;* #,##0.00_);_(&quot;$&quot;* \(#,##0.00\);_(&quot;$&quot;* &quot;-&quot;??_);_(@_)">
                  <c:v>196.15535504119262</c:v>
                </c:pt>
                <c:pt idx="3409" formatCode="_(&quot;$&quot;* #,##0.00_);_(&quot;$&quot;* \(#,##0.00\);_(&quot;$&quot;* &quot;-&quot;??_);_(@_)">
                  <c:v>223.31397945511389</c:v>
                </c:pt>
                <c:pt idx="3410" formatCode="_(&quot;$&quot;* #,##0.00_);_(&quot;$&quot;* \(#,##0.00\);_(&quot;$&quot;* &quot;-&quot;??_);_(@_)">
                  <c:v>142.29024943310657</c:v>
                </c:pt>
                <c:pt idx="3411" formatCode="_(&quot;$&quot;* #,##0.00_);_(&quot;$&quot;* \(#,##0.00\);_(&quot;$&quot;* &quot;-&quot;??_);_(@_)">
                  <c:v>175.10402219140084</c:v>
                </c:pt>
                <c:pt idx="3412" formatCode="_(&quot;$&quot;* #,##0.00_);_(&quot;$&quot;* \(#,##0.00\);_(&quot;$&quot;* &quot;-&quot;??_);_(@_)">
                  <c:v>181.850918257112</c:v>
                </c:pt>
                <c:pt idx="3413" formatCode="_(&quot;$&quot;* #,##0.00_);_(&quot;$&quot;* \(#,##0.00\);_(&quot;$&quot;* &quot;-&quot;??_);_(@_)">
                  <c:v>163.48332793784397</c:v>
                </c:pt>
                <c:pt idx="3414" formatCode="_(&quot;$&quot;* #,##0.00_);_(&quot;$&quot;* \(#,##0.00\);_(&quot;$&quot;* &quot;-&quot;??_);_(@_)">
                  <c:v>170.87542087542087</c:v>
                </c:pt>
                <c:pt idx="3415" formatCode="_(&quot;$&quot;* #,##0.00_);_(&quot;$&quot;* \(#,##0.00\);_(&quot;$&quot;* &quot;-&quot;??_);_(@_)">
                  <c:v>248.78048780487805</c:v>
                </c:pt>
                <c:pt idx="3416" formatCode="_(&quot;$&quot;* #,##0.00_);_(&quot;$&quot;* \(#,##0.00\);_(&quot;$&quot;* &quot;-&quot;??_);_(@_)">
                  <c:v>184.11552346570397</c:v>
                </c:pt>
                <c:pt idx="3417" formatCode="_(&quot;$&quot;* #,##0.00_);_(&quot;$&quot;* \(#,##0.00\);_(&quot;$&quot;* &quot;-&quot;??_);_(@_)">
                  <c:v>225.6500661084178</c:v>
                </c:pt>
                <c:pt idx="3418" formatCode="_(&quot;$&quot;* #,##0.00_);_(&quot;$&quot;* \(#,##0.00\);_(&quot;$&quot;* &quot;-&quot;??_);_(@_)">
                  <c:v>170.13544763792535</c:v>
                </c:pt>
                <c:pt idx="3419" formatCode="_(&quot;$&quot;* #,##0.00_);_(&quot;$&quot;* \(#,##0.00\);_(&quot;$&quot;* &quot;-&quot;??_);_(@_)">
                  <c:v>180.76518076518076</c:v>
                </c:pt>
                <c:pt idx="3420" formatCode="_(&quot;$&quot;* #,##0.00_);_(&quot;$&quot;* \(#,##0.00\);_(&quot;$&quot;* &quot;-&quot;??_);_(@_)">
                  <c:v>192.59259259259258</c:v>
                </c:pt>
                <c:pt idx="3421" formatCode="_(&quot;$&quot;* #,##0.00_);_(&quot;$&quot;* \(#,##0.00\);_(&quot;$&quot;* &quot;-&quot;??_);_(@_)">
                  <c:v>225.70194384449243</c:v>
                </c:pt>
                <c:pt idx="3422" formatCode="_(&quot;$&quot;* #,##0.00_);_(&quot;$&quot;* \(#,##0.00\);_(&quot;$&quot;* &quot;-&quot;??_);_(@_)">
                  <c:v>210</c:v>
                </c:pt>
                <c:pt idx="3423" formatCode="_(&quot;$&quot;* #,##0.00_);_(&quot;$&quot;* \(#,##0.00\);_(&quot;$&quot;* &quot;-&quot;??_);_(@_)">
                  <c:v>184.21052631578948</c:v>
                </c:pt>
                <c:pt idx="3424" formatCode="_(&quot;$&quot;* #,##0.00_);_(&quot;$&quot;* \(#,##0.00\);_(&quot;$&quot;* &quot;-&quot;??_);_(@_)">
                  <c:v>163.96002498438477</c:v>
                </c:pt>
                <c:pt idx="3425" formatCode="_(&quot;$&quot;* #,##0.00_);_(&quot;$&quot;* \(#,##0.00\);_(&quot;$&quot;* &quot;-&quot;??_);_(@_)">
                  <c:v>197.65013054830288</c:v>
                </c:pt>
                <c:pt idx="3426" formatCode="_(&quot;$&quot;* #,##0.00_);_(&quot;$&quot;* \(#,##0.00\);_(&quot;$&quot;* &quot;-&quot;??_);_(@_)">
                  <c:v>197.65013054830288</c:v>
                </c:pt>
                <c:pt idx="3427" formatCode="_(&quot;$&quot;* #,##0.00_);_(&quot;$&quot;* \(#,##0.00\);_(&quot;$&quot;* &quot;-&quot;??_);_(@_)">
                  <c:v>178.81241565452092</c:v>
                </c:pt>
                <c:pt idx="3428" formatCode="_(&quot;$&quot;* #,##0.00_);_(&quot;$&quot;* \(#,##0.00\);_(&quot;$&quot;* &quot;-&quot;??_);_(@_)">
                  <c:v>162.61398176291794</c:v>
                </c:pt>
                <c:pt idx="3429" formatCode="_(&quot;$&quot;* #,##0.00_);_(&quot;$&quot;* \(#,##0.00\);_(&quot;$&quot;* &quot;-&quot;??_);_(@_)">
                  <c:v>162.61398176291794</c:v>
                </c:pt>
                <c:pt idx="3430" formatCode="_(&quot;$&quot;* #,##0.00_);_(&quot;$&quot;* \(#,##0.00\);_(&quot;$&quot;* &quot;-&quot;??_);_(@_)">
                  <c:v>162.89592760180994</c:v>
                </c:pt>
                <c:pt idx="3431" formatCode="_(&quot;$&quot;* #,##0.00_);_(&quot;$&quot;* \(#,##0.00\);_(&quot;$&quot;* &quot;-&quot;??_);_(@_)">
                  <c:v>229.88505747126436</c:v>
                </c:pt>
                <c:pt idx="3432" formatCode="_(&quot;$&quot;* #,##0.00_);_(&quot;$&quot;* \(#,##0.00\);_(&quot;$&quot;* &quot;-&quot;??_);_(@_)">
                  <c:v>229.88505747126436</c:v>
                </c:pt>
                <c:pt idx="3433" formatCode="_(&quot;$&quot;* #,##0.00_);_(&quot;$&quot;* \(#,##0.00\);_(&quot;$&quot;* &quot;-&quot;??_);_(@_)">
                  <c:v>203.94350282485877</c:v>
                </c:pt>
                <c:pt idx="3434" formatCode="_(&quot;$&quot;* #,##0.00_);_(&quot;$&quot;* \(#,##0.00\);_(&quot;$&quot;* &quot;-&quot;??_);_(@_)">
                  <c:v>288.2460233297985</c:v>
                </c:pt>
                <c:pt idx="3435" formatCode="_(&quot;$&quot;* #,##0.00_);_(&quot;$&quot;* \(#,##0.00\);_(&quot;$&quot;* &quot;-&quot;??_);_(@_)">
                  <c:v>188.27586206896552</c:v>
                </c:pt>
                <c:pt idx="3436" formatCode="_(&quot;$&quot;* #,##0.00_);_(&quot;$&quot;* \(#,##0.00\);_(&quot;$&quot;* &quot;-&quot;??_);_(@_)">
                  <c:v>188.44827586206895</c:v>
                </c:pt>
                <c:pt idx="3437" formatCode="_(&quot;$&quot;* #,##0.00_);_(&quot;$&quot;* \(#,##0.00\);_(&quot;$&quot;* &quot;-&quot;??_);_(@_)">
                  <c:v>204.57589285714286</c:v>
                </c:pt>
                <c:pt idx="3438" formatCode="_(&quot;$&quot;* #,##0.00_);_(&quot;$&quot;* \(#,##0.00\);_(&quot;$&quot;* &quot;-&quot;??_);_(@_)">
                  <c:v>164.17910447761193</c:v>
                </c:pt>
                <c:pt idx="3439" formatCode="_(&quot;$&quot;* #,##0.00_);_(&quot;$&quot;* \(#,##0.00\);_(&quot;$&quot;* &quot;-&quot;??_);_(@_)">
                  <c:v>196.42857142857142</c:v>
                </c:pt>
                <c:pt idx="3440" formatCode="_(&quot;$&quot;* #,##0.00_);_(&quot;$&quot;* \(#,##0.00\);_(&quot;$&quot;* &quot;-&quot;??_);_(@_)">
                  <c:v>234.97232865048957</c:v>
                </c:pt>
                <c:pt idx="3441" formatCode="_(&quot;$&quot;* #,##0.00_);_(&quot;$&quot;* \(#,##0.00\);_(&quot;$&quot;* &quot;-&quot;??_);_(@_)">
                  <c:v>242.87593160894343</c:v>
                </c:pt>
                <c:pt idx="3442" formatCode="_(&quot;$&quot;* #,##0.00_);_(&quot;$&quot;* \(#,##0.00\);_(&quot;$&quot;* &quot;-&quot;??_);_(@_)">
                  <c:v>233.55676581483033</c:v>
                </c:pt>
                <c:pt idx="3443" formatCode="_(&quot;$&quot;* #,##0.00_);_(&quot;$&quot;* \(#,##0.00\);_(&quot;$&quot;* &quot;-&quot;??_);_(@_)">
                  <c:v>208.13271375464683</c:v>
                </c:pt>
                <c:pt idx="3444" formatCode="_(&quot;$&quot;* #,##0.00_);_(&quot;$&quot;* \(#,##0.00\);_(&quot;$&quot;* &quot;-&quot;??_);_(@_)">
                  <c:v>206.03384841795437</c:v>
                </c:pt>
                <c:pt idx="3445" formatCode="_(&quot;$&quot;* #,##0.00_);_(&quot;$&quot;* \(#,##0.00\);_(&quot;$&quot;* &quot;-&quot;??_);_(@_)">
                  <c:v>204.75319926873857</c:v>
                </c:pt>
                <c:pt idx="3446" formatCode="_(&quot;$&quot;* #,##0.00_);_(&quot;$&quot;* \(#,##0.00\);_(&quot;$&quot;* &quot;-&quot;??_);_(@_)">
                  <c:v>204.60358056265986</c:v>
                </c:pt>
                <c:pt idx="3447" formatCode="_(&quot;$&quot;* #,##0.00_);_(&quot;$&quot;* \(#,##0.00\);_(&quot;$&quot;* &quot;-&quot;??_);_(@_)">
                  <c:v>176.26691847655022</c:v>
                </c:pt>
                <c:pt idx="3448" formatCode="_(&quot;$&quot;* #,##0.00_);_(&quot;$&quot;* \(#,##0.00\);_(&quot;$&quot;* &quot;-&quot;??_);_(@_)">
                  <c:v>232.17247097844114</c:v>
                </c:pt>
                <c:pt idx="3449" formatCode="_(&quot;$&quot;* #,##0.00_);_(&quot;$&quot;* \(#,##0.00\);_(&quot;$&quot;* &quot;-&quot;??_);_(@_)">
                  <c:v>210.68472535741159</c:v>
                </c:pt>
                <c:pt idx="3450" formatCode="_(&quot;$&quot;* #,##0.00_);_(&quot;$&quot;* \(#,##0.00\);_(&quot;$&quot;* &quot;-&quot;??_);_(@_)">
                  <c:v>181.15942028985506</c:v>
                </c:pt>
                <c:pt idx="3451" formatCode="_(&quot;$&quot;* #,##0.00_);_(&quot;$&quot;* \(#,##0.00\);_(&quot;$&quot;* &quot;-&quot;??_);_(@_)">
                  <c:v>191.00743745774173</c:v>
                </c:pt>
                <c:pt idx="3452" formatCode="_(&quot;$&quot;* #,##0.00_);_(&quot;$&quot;* \(#,##0.00\);_(&quot;$&quot;* &quot;-&quot;??_);_(@_)">
                  <c:v>263.77217553688143</c:v>
                </c:pt>
                <c:pt idx="3453" formatCode="_(&quot;$&quot;* #,##0.00_);_(&quot;$&quot;* \(#,##0.00\);_(&quot;$&quot;* &quot;-&quot;??_);_(@_)">
                  <c:v>174.58359037631092</c:v>
                </c:pt>
                <c:pt idx="3454" formatCode="_(&quot;$&quot;* #,##0.00_);_(&quot;$&quot;* \(#,##0.00\);_(&quot;$&quot;* &quot;-&quot;??_);_(@_)">
                  <c:v>174.58359037631092</c:v>
                </c:pt>
                <c:pt idx="3455" formatCode="_(&quot;$&quot;* #,##0.00_);_(&quot;$&quot;* \(#,##0.00\);_(&quot;$&quot;* &quot;-&quot;??_);_(@_)">
                  <c:v>184.08766233766235</c:v>
                </c:pt>
                <c:pt idx="3456" formatCode="_(&quot;$&quot;* #,##0.00_);_(&quot;$&quot;* \(#,##0.00\);_(&quot;$&quot;* &quot;-&quot;??_);_(@_)">
                  <c:v>205.11560693641619</c:v>
                </c:pt>
                <c:pt idx="3457" formatCode="_(&quot;$&quot;* #,##0.00_);_(&quot;$&quot;* \(#,##0.00\);_(&quot;$&quot;* &quot;-&quot;??_);_(@_)">
                  <c:v>284.8</c:v>
                </c:pt>
                <c:pt idx="3458" formatCode="_(&quot;$&quot;* #,##0.00_);_(&quot;$&quot;* \(#,##0.00\);_(&quot;$&quot;* &quot;-&quot;??_);_(@_)">
                  <c:v>334.30232558139534</c:v>
                </c:pt>
                <c:pt idx="3459" formatCode="_(&quot;$&quot;* #,##0.00_);_(&quot;$&quot;* \(#,##0.00\);_(&quot;$&quot;* &quot;-&quot;??_);_(@_)">
                  <c:v>210.62271062271063</c:v>
                </c:pt>
                <c:pt idx="3460" formatCode="_(&quot;$&quot;* #,##0.00_);_(&quot;$&quot;* \(#,##0.00\);_(&quot;$&quot;* &quot;-&quot;??_);_(@_)">
                  <c:v>219.63330786860197</c:v>
                </c:pt>
                <c:pt idx="3461" formatCode="_(&quot;$&quot;* #,##0.00_);_(&quot;$&quot;* \(#,##0.00\);_(&quot;$&quot;* &quot;-&quot;??_);_(@_)">
                  <c:v>195.3125</c:v>
                </c:pt>
                <c:pt idx="3462" formatCode="_(&quot;$&quot;* #,##0.00_);_(&quot;$&quot;* \(#,##0.00\);_(&quot;$&quot;* &quot;-&quot;??_);_(@_)">
                  <c:v>209.57215373459027</c:v>
                </c:pt>
                <c:pt idx="3463" formatCode="_(&quot;$&quot;* #,##0.00_);_(&quot;$&quot;* \(#,##0.00\);_(&quot;$&quot;* &quot;-&quot;??_);_(@_)">
                  <c:v>259.391771019678</c:v>
                </c:pt>
                <c:pt idx="3464" formatCode="_(&quot;$&quot;* #,##0.00_);_(&quot;$&quot;* \(#,##0.00\);_(&quot;$&quot;* &quot;-&quot;??_);_(@_)">
                  <c:v>207.14285714285714</c:v>
                </c:pt>
                <c:pt idx="3465" formatCode="_(&quot;$&quot;* #,##0.00_);_(&quot;$&quot;* \(#,##0.00\);_(&quot;$&quot;* &quot;-&quot;??_);_(@_)">
                  <c:v>182.9652996845426</c:v>
                </c:pt>
                <c:pt idx="3466" formatCode="_(&quot;$&quot;* #,##0.00_);_(&quot;$&quot;* \(#,##0.00\);_(&quot;$&quot;* &quot;-&quot;??_);_(@_)">
                  <c:v>253.02768166089965</c:v>
                </c:pt>
                <c:pt idx="3467" formatCode="_(&quot;$&quot;* #,##0.00_);_(&quot;$&quot;* \(#,##0.00\);_(&quot;$&quot;* &quot;-&quot;??_);_(@_)">
                  <c:v>208.5926449787836</c:v>
                </c:pt>
                <c:pt idx="3468" formatCode="_(&quot;$&quot;* #,##0.00_);_(&quot;$&quot;* \(#,##0.00\);_(&quot;$&quot;* &quot;-&quot;??_);_(@_)">
                  <c:v>183.05926155755506</c:v>
                </c:pt>
                <c:pt idx="3469" formatCode="_(&quot;$&quot;* #,##0.00_);_(&quot;$&quot;* \(#,##0.00\);_(&quot;$&quot;* &quot;-&quot;??_);_(@_)">
                  <c:v>196.98675496688742</c:v>
                </c:pt>
                <c:pt idx="3470" formatCode="_(&quot;$&quot;* #,##0.00_);_(&quot;$&quot;* \(#,##0.00\);_(&quot;$&quot;* &quot;-&quot;??_);_(@_)">
                  <c:v>178.19706498951783</c:v>
                </c:pt>
                <c:pt idx="3471" formatCode="_(&quot;$&quot;* #,##0.00_);_(&quot;$&quot;* \(#,##0.00\);_(&quot;$&quot;* &quot;-&quot;??_);_(@_)">
                  <c:v>220.37037037037038</c:v>
                </c:pt>
                <c:pt idx="3472" formatCode="_(&quot;$&quot;* #,##0.00_);_(&quot;$&quot;* \(#,##0.00\);_(&quot;$&quot;* &quot;-&quot;??_);_(@_)">
                  <c:v>247.26141078838174</c:v>
                </c:pt>
                <c:pt idx="3473" formatCode="_(&quot;$&quot;* #,##0.00_);_(&quot;$&quot;* \(#,##0.00\);_(&quot;$&quot;* &quot;-&quot;??_);_(@_)">
                  <c:v>248.60241969128077</c:v>
                </c:pt>
                <c:pt idx="3474" formatCode="_(&quot;$&quot;* #,##0.00_);_(&quot;$&quot;* \(#,##0.00\);_(&quot;$&quot;* &quot;-&quot;??_);_(@_)">
                  <c:v>186.5625</c:v>
                </c:pt>
                <c:pt idx="3475" formatCode="_(&quot;$&quot;* #,##0.00_);_(&quot;$&quot;* \(#,##0.00\);_(&quot;$&quot;* &quot;-&quot;??_);_(@_)">
                  <c:v>315.05640484976277</c:v>
                </c:pt>
                <c:pt idx="3476" formatCode="_(&quot;$&quot;* #,##0.00_);_(&quot;$&quot;* \(#,##0.00\);_(&quot;$&quot;* &quot;-&quot;??_);_(@_)">
                  <c:v>191.80799999999999</c:v>
                </c:pt>
                <c:pt idx="3477" formatCode="_(&quot;$&quot;* #,##0.00_);_(&quot;$&quot;* \(#,##0.00\);_(&quot;$&quot;* &quot;-&quot;??_);_(@_)">
                  <c:v>191.80799999999999</c:v>
                </c:pt>
                <c:pt idx="3478" formatCode="_(&quot;$&quot;* #,##0.00_);_(&quot;$&quot;* \(#,##0.00\);_(&quot;$&quot;* &quot;-&quot;??_);_(@_)">
                  <c:v>238.00079333597779</c:v>
                </c:pt>
                <c:pt idx="3479" formatCode="_(&quot;$&quot;* #,##0.00_);_(&quot;$&quot;* \(#,##0.00\);_(&quot;$&quot;* &quot;-&quot;??_);_(@_)">
                  <c:v>250</c:v>
                </c:pt>
                <c:pt idx="3480" formatCode="_(&quot;$&quot;* #,##0.00_);_(&quot;$&quot;* \(#,##0.00\);_(&quot;$&quot;* &quot;-&quot;??_);_(@_)">
                  <c:v>186.95920889987639</c:v>
                </c:pt>
                <c:pt idx="3481" formatCode="_(&quot;$&quot;* #,##0.00_);_(&quot;$&quot;* \(#,##0.00\);_(&quot;$&quot;* &quot;-&quot;??_);_(@_)">
                  <c:v>186.09658566594894</c:v>
                </c:pt>
                <c:pt idx="3482" formatCode="_(&quot;$&quot;* #,##0.00_);_(&quot;$&quot;* \(#,##0.00\);_(&quot;$&quot;* &quot;-&quot;??_);_(@_)">
                  <c:v>205.08474576271186</c:v>
                </c:pt>
                <c:pt idx="3483" formatCode="_(&quot;$&quot;* #,##0.00_);_(&quot;$&quot;* \(#,##0.00\);_(&quot;$&quot;* &quot;-&quot;??_);_(@_)">
                  <c:v>219.59579100145137</c:v>
                </c:pt>
                <c:pt idx="3484" formatCode="_(&quot;$&quot;* #,##0.00_);_(&quot;$&quot;* \(#,##0.00\);_(&quot;$&quot;* &quot;-&quot;??_);_(@_)">
                  <c:v>196.74193548387098</c:v>
                </c:pt>
                <c:pt idx="3485" formatCode="_(&quot;$&quot;* #,##0.00_);_(&quot;$&quot;* \(#,##0.00\);_(&quot;$&quot;* &quot;-&quot;??_);_(@_)">
                  <c:v>174.63498425422273</c:v>
                </c:pt>
                <c:pt idx="3486" formatCode="_(&quot;$&quot;* #,##0.00_);_(&quot;$&quot;* \(#,##0.00\);_(&quot;$&quot;* &quot;-&quot;??_);_(@_)">
                  <c:v>204.69798657718121</c:v>
                </c:pt>
                <c:pt idx="3487" formatCode="_(&quot;$&quot;* #,##0.00_);_(&quot;$&quot;* \(#,##0.00\);_(&quot;$&quot;* &quot;-&quot;??_);_(@_)">
                  <c:v>152.08747514910536</c:v>
                </c:pt>
                <c:pt idx="3488" formatCode="_(&quot;$&quot;* #,##0.00_);_(&quot;$&quot;* \(#,##0.00\);_(&quot;$&quot;* &quot;-&quot;??_);_(@_)">
                  <c:v>185.67164179104478</c:v>
                </c:pt>
                <c:pt idx="3489" formatCode="_(&quot;$&quot;* #,##0.00_);_(&quot;$&quot;* \(#,##0.00\);_(&quot;$&quot;* &quot;-&quot;??_);_(@_)">
                  <c:v>312.5</c:v>
                </c:pt>
                <c:pt idx="3490" formatCode="_(&quot;$&quot;* #,##0.00_);_(&quot;$&quot;* \(#,##0.00\);_(&quot;$&quot;* &quot;-&quot;??_);_(@_)">
                  <c:v>209.66666666666666</c:v>
                </c:pt>
                <c:pt idx="3491" formatCode="_(&quot;$&quot;* #,##0.00_);_(&quot;$&quot;* \(#,##0.00\);_(&quot;$&quot;* &quot;-&quot;??_);_(@_)">
                  <c:v>185.26470588235293</c:v>
                </c:pt>
                <c:pt idx="3492" formatCode="_(&quot;$&quot;* #,##0.00_);_(&quot;$&quot;* \(#,##0.00\);_(&quot;$&quot;* &quot;-&quot;??_);_(@_)">
                  <c:v>185.26470588235293</c:v>
                </c:pt>
                <c:pt idx="3493" formatCode="_(&quot;$&quot;* #,##0.00_);_(&quot;$&quot;* \(#,##0.00\);_(&quot;$&quot;* &quot;-&quot;??_);_(@_)">
                  <c:v>251.39664804469274</c:v>
                </c:pt>
                <c:pt idx="3494" formatCode="_(&quot;$&quot;* #,##0.00_);_(&quot;$&quot;* \(#,##0.00\);_(&quot;$&quot;* &quot;-&quot;??_);_(@_)">
                  <c:v>173.94520547945206</c:v>
                </c:pt>
                <c:pt idx="3495" formatCode="_(&quot;$&quot;* #,##0.00_);_(&quot;$&quot;* \(#,##0.00\);_(&quot;$&quot;* &quot;-&quot;??_);_(@_)">
                  <c:v>204.83870967741936</c:v>
                </c:pt>
                <c:pt idx="3496" formatCode="_(&quot;$&quot;* #,##0.00_);_(&quot;$&quot;* \(#,##0.00\);_(&quot;$&quot;* &quot;-&quot;??_);_(@_)">
                  <c:v>224.06492589978828</c:v>
                </c:pt>
                <c:pt idx="3497" formatCode="_(&quot;$&quot;* #,##0.00_);_(&quot;$&quot;* \(#,##0.00\);_(&quot;$&quot;* &quot;-&quot;??_);_(@_)">
                  <c:v>235.18703703703704</c:v>
                </c:pt>
                <c:pt idx="3498" formatCode="_(&quot;$&quot;* #,##0.00_);_(&quot;$&quot;* \(#,##0.00\);_(&quot;$&quot;* &quot;-&quot;??_);_(@_)">
                  <c:v>196.54427645788337</c:v>
                </c:pt>
                <c:pt idx="3499" formatCode="_(&quot;$&quot;* #,##0.00_);_(&quot;$&quot;* \(#,##0.00\);_(&quot;$&quot;* &quot;-&quot;??_);_(@_)">
                  <c:v>188.23529411764707</c:v>
                </c:pt>
                <c:pt idx="3500" formatCode="_(&quot;$&quot;* #,##0.00_);_(&quot;$&quot;* \(#,##0.00\);_(&quot;$&quot;* &quot;-&quot;??_);_(@_)">
                  <c:v>282.52173913043481</c:v>
                </c:pt>
                <c:pt idx="3501" formatCode="_(&quot;$&quot;* #,##0.00_);_(&quot;$&quot;* \(#,##0.00\);_(&quot;$&quot;* &quot;-&quot;??_);_(@_)">
                  <c:v>276.95329087048833</c:v>
                </c:pt>
                <c:pt idx="3502" formatCode="_(&quot;$&quot;* #,##0.00_);_(&quot;$&quot;* \(#,##0.00\);_(&quot;$&quot;* &quot;-&quot;??_);_(@_)">
                  <c:v>200</c:v>
                </c:pt>
                <c:pt idx="3503" formatCode="_(&quot;$&quot;* #,##0.00_);_(&quot;$&quot;* \(#,##0.00\);_(&quot;$&quot;* &quot;-&quot;??_);_(@_)">
                  <c:v>400</c:v>
                </c:pt>
                <c:pt idx="3504" formatCode="_(&quot;$&quot;* #,##0.00_);_(&quot;$&quot;* \(#,##0.00\);_(&quot;$&quot;* &quot;-&quot;??_);_(@_)">
                  <c:v>173.59284587059443</c:v>
                </c:pt>
                <c:pt idx="3505" formatCode="_(&quot;$&quot;* #,##0.00_);_(&quot;$&quot;* \(#,##0.00\);_(&quot;$&quot;* &quot;-&quot;??_);_(@_)">
                  <c:v>205.24382716049382</c:v>
                </c:pt>
                <c:pt idx="3506" formatCode="_(&quot;$&quot;* #,##0.00_);_(&quot;$&quot;* \(#,##0.00\);_(&quot;$&quot;* &quot;-&quot;??_);_(@_)">
                  <c:v>173.08693388859967</c:v>
                </c:pt>
                <c:pt idx="3507" formatCode="_(&quot;$&quot;* #,##0.00_);_(&quot;$&quot;* \(#,##0.00\);_(&quot;$&quot;* &quot;-&quot;??_);_(@_)">
                  <c:v>195.0509461426492</c:v>
                </c:pt>
                <c:pt idx="3508" formatCode="_(&quot;$&quot;* #,##0.00_);_(&quot;$&quot;* \(#,##0.00\);_(&quot;$&quot;* &quot;-&quot;??_);_(@_)">
                  <c:v>249.47851851851851</c:v>
                </c:pt>
                <c:pt idx="3509" formatCode="_(&quot;$&quot;* #,##0.00_);_(&quot;$&quot;* \(#,##0.00\);_(&quot;$&quot;* &quot;-&quot;??_);_(@_)">
                  <c:v>238.17925194071984</c:v>
                </c:pt>
                <c:pt idx="3510" formatCode="_(&quot;$&quot;* #,##0.00_);_(&quot;$&quot;* \(#,##0.00\);_(&quot;$&quot;* &quot;-&quot;??_);_(@_)">
                  <c:v>192.03413940256044</c:v>
                </c:pt>
                <c:pt idx="3511" formatCode="_(&quot;$&quot;* #,##0.00_);_(&quot;$&quot;* \(#,##0.00\);_(&quot;$&quot;* &quot;-&quot;??_);_(@_)">
                  <c:v>277.77777777777777</c:v>
                </c:pt>
                <c:pt idx="3512" formatCode="_(&quot;$&quot;* #,##0.00_);_(&quot;$&quot;* \(#,##0.00\);_(&quot;$&quot;* &quot;-&quot;??_);_(@_)">
                  <c:v>277.77777777777777</c:v>
                </c:pt>
                <c:pt idx="3513" formatCode="_(&quot;$&quot;* #,##0.00_);_(&quot;$&quot;* \(#,##0.00\);_(&quot;$&quot;* &quot;-&quot;??_);_(@_)">
                  <c:v>226.66666666666666</c:v>
                </c:pt>
                <c:pt idx="3514" formatCode="_(&quot;$&quot;* #,##0.00_);_(&quot;$&quot;* \(#,##0.00\);_(&quot;$&quot;* &quot;-&quot;??_);_(@_)">
                  <c:v>229.61730449251249</c:v>
                </c:pt>
                <c:pt idx="3515" formatCode="_(&quot;$&quot;* #,##0.00_);_(&quot;$&quot;* \(#,##0.00\);_(&quot;$&quot;* &quot;-&quot;??_);_(@_)">
                  <c:v>282.71405492730207</c:v>
                </c:pt>
                <c:pt idx="3516" formatCode="_(&quot;$&quot;* #,##0.00_);_(&quot;$&quot;* \(#,##0.00\);_(&quot;$&quot;* &quot;-&quot;??_);_(@_)">
                  <c:v>282.71405492730207</c:v>
                </c:pt>
                <c:pt idx="3517" formatCode="_(&quot;$&quot;* #,##0.00_);_(&quot;$&quot;* \(#,##0.00\);_(&quot;$&quot;* &quot;-&quot;??_);_(@_)">
                  <c:v>271.32974634896232</c:v>
                </c:pt>
                <c:pt idx="3518" formatCode="_(&quot;$&quot;* #,##0.00_);_(&quot;$&quot;* \(#,##0.00\);_(&quot;$&quot;* &quot;-&quot;??_);_(@_)">
                  <c:v>190.78947368421052</c:v>
                </c:pt>
                <c:pt idx="3519" formatCode="_(&quot;$&quot;* #,##0.00_);_(&quot;$&quot;* \(#,##0.00\);_(&quot;$&quot;* &quot;-&quot;??_);_(@_)">
                  <c:v>207.38384955752213</c:v>
                </c:pt>
                <c:pt idx="3520" formatCode="_(&quot;$&quot;* #,##0.00_);_(&quot;$&quot;* \(#,##0.00\);_(&quot;$&quot;* &quot;-&quot;??_);_(@_)">
                  <c:v>203.86550172094255</c:v>
                </c:pt>
                <c:pt idx="3521" formatCode="_(&quot;$&quot;* #,##0.00_);_(&quot;$&quot;* \(#,##0.00\);_(&quot;$&quot;* &quot;-&quot;??_);_(@_)">
                  <c:v>255.60686015831135</c:v>
                </c:pt>
                <c:pt idx="3522" formatCode="_(&quot;$&quot;* #,##0.00_);_(&quot;$&quot;* \(#,##0.00\);_(&quot;$&quot;* &quot;-&quot;??_);_(@_)">
                  <c:v>238.0952380952381</c:v>
                </c:pt>
                <c:pt idx="3523" formatCode="_(&quot;$&quot;* #,##0.00_);_(&quot;$&quot;* \(#,##0.00\);_(&quot;$&quot;* &quot;-&quot;??_);_(@_)">
                  <c:v>185.05338078291814</c:v>
                </c:pt>
                <c:pt idx="3524" formatCode="_(&quot;$&quot;* #,##0.00_);_(&quot;$&quot;* \(#,##0.00\);_(&quot;$&quot;* &quot;-&quot;??_);_(@_)">
                  <c:v>262.25366666666667</c:v>
                </c:pt>
                <c:pt idx="3525" formatCode="_(&quot;$&quot;* #,##0.00_);_(&quot;$&quot;* \(#,##0.00\);_(&quot;$&quot;* &quot;-&quot;??_);_(@_)">
                  <c:v>237.64906303236796</c:v>
                </c:pt>
                <c:pt idx="3526" formatCode="_(&quot;$&quot;* #,##0.00_);_(&quot;$&quot;* \(#,##0.00\);_(&quot;$&quot;* &quot;-&quot;??_);_(@_)">
                  <c:v>202.38095238095238</c:v>
                </c:pt>
                <c:pt idx="3527" formatCode="_(&quot;$&quot;* #,##0.00_);_(&quot;$&quot;* \(#,##0.00\);_(&quot;$&quot;* &quot;-&quot;??_);_(@_)">
                  <c:v>254.50175953079179</c:v>
                </c:pt>
                <c:pt idx="3528" formatCode="_(&quot;$&quot;* #,##0.00_);_(&quot;$&quot;* \(#,##0.00\);_(&quot;$&quot;* &quot;-&quot;??_);_(@_)">
                  <c:v>184.40905280804694</c:v>
                </c:pt>
                <c:pt idx="3529" formatCode="_(&quot;$&quot;* #,##0.00_);_(&quot;$&quot;* \(#,##0.00\);_(&quot;$&quot;* &quot;-&quot;??_);_(@_)">
                  <c:v>232.6783867631851</c:v>
                </c:pt>
                <c:pt idx="3530" formatCode="_(&quot;$&quot;* #,##0.00_);_(&quot;$&quot;* \(#,##0.00\);_(&quot;$&quot;* &quot;-&quot;??_);_(@_)">
                  <c:v>182.70401948842874</c:v>
                </c:pt>
                <c:pt idx="3531" formatCode="_(&quot;$&quot;* #,##0.00_);_(&quot;$&quot;* \(#,##0.00\);_(&quot;$&quot;* &quot;-&quot;??_);_(@_)">
                  <c:v>246.29878869448183</c:v>
                </c:pt>
                <c:pt idx="3532" formatCode="_(&quot;$&quot;* #,##0.00_);_(&quot;$&quot;* \(#,##0.00\);_(&quot;$&quot;* &quot;-&quot;??_);_(@_)">
                  <c:v>170.74080985258445</c:v>
                </c:pt>
                <c:pt idx="3533" formatCode="_(&quot;$&quot;* #,##0.00_);_(&quot;$&quot;* \(#,##0.00\);_(&quot;$&quot;* &quot;-&quot;??_);_(@_)">
                  <c:v>257.00899672846236</c:v>
                </c:pt>
                <c:pt idx="3534" formatCode="_(&quot;$&quot;* #,##0.00_);_(&quot;$&quot;* \(#,##0.00\);_(&quot;$&quot;* &quot;-&quot;??_);_(@_)">
                  <c:v>157.70252324037185</c:v>
                </c:pt>
                <c:pt idx="3535" formatCode="_(&quot;$&quot;* #,##0.00_);_(&quot;$&quot;* \(#,##0.00\);_(&quot;$&quot;* &quot;-&quot;??_);_(@_)">
                  <c:v>323.79924446842955</c:v>
                </c:pt>
                <c:pt idx="3536" formatCode="_(&quot;$&quot;* #,##0.00_);_(&quot;$&quot;* \(#,##0.00\);_(&quot;$&quot;* &quot;-&quot;??_);_(@_)">
                  <c:v>346.45541490857948</c:v>
                </c:pt>
                <c:pt idx="3537" formatCode="_(&quot;$&quot;* #,##0.00_);_(&quot;$&quot;* \(#,##0.00\);_(&quot;$&quot;* &quot;-&quot;??_);_(@_)">
                  <c:v>222.30126267117197</c:v>
                </c:pt>
                <c:pt idx="3538" formatCode="_(&quot;$&quot;* #,##0.00_);_(&quot;$&quot;* \(#,##0.00\);_(&quot;$&quot;* &quot;-&quot;??_);_(@_)">
                  <c:v>255.40865384615384</c:v>
                </c:pt>
                <c:pt idx="3539" formatCode="_(&quot;$&quot;* #,##0.00_);_(&quot;$&quot;* \(#,##0.00\);_(&quot;$&quot;* &quot;-&quot;??_);_(@_)">
                  <c:v>385.89928057553959</c:v>
                </c:pt>
                <c:pt idx="3540" formatCode="_(&quot;$&quot;* #,##0.00_);_(&quot;$&quot;* \(#,##0.00\);_(&quot;$&quot;* &quot;-&quot;??_);_(@_)">
                  <c:v>314.07466012926233</c:v>
                </c:pt>
                <c:pt idx="3541" formatCode="_(&quot;$&quot;* #,##0.00_);_(&quot;$&quot;* \(#,##0.00\);_(&quot;$&quot;* &quot;-&quot;??_);_(@_)">
                  <c:v>353.65853658536588</c:v>
                </c:pt>
                <c:pt idx="3542" formatCode="_(&quot;$&quot;* #,##0.00_);_(&quot;$&quot;* \(#,##0.00\);_(&quot;$&quot;* &quot;-&quot;??_);_(@_)">
                  <c:v>395.03616862060363</c:v>
                </c:pt>
                <c:pt idx="3543" formatCode="_(&quot;$&quot;* #,##0.00_);_(&quot;$&quot;* \(#,##0.00\);_(&quot;$&quot;* &quot;-&quot;??_);_(@_)">
                  <c:v>310.37870668095746</c:v>
                </c:pt>
                <c:pt idx="3544" formatCode="_(&quot;$&quot;* #,##0.00_);_(&quot;$&quot;* \(#,##0.00\);_(&quot;$&quot;* &quot;-&quot;??_);_(@_)">
                  <c:v>484.93838429940666</c:v>
                </c:pt>
              </c:numCache>
            </c:numRef>
          </c:yVal>
          <c:smooth val="0"/>
          <c:extLst>
            <c:ext xmlns:c16="http://schemas.microsoft.com/office/drawing/2014/chart" uri="{C3380CC4-5D6E-409C-BE32-E72D297353CC}">
              <c16:uniqueId val="{00000000-7A6B-44EC-9733-21F4562020E5}"/>
            </c:ext>
          </c:extLst>
        </c:ser>
        <c:dLbls>
          <c:showLegendKey val="0"/>
          <c:showVal val="0"/>
          <c:showCatName val="0"/>
          <c:showSerName val="0"/>
          <c:showPercent val="0"/>
          <c:showBubbleSize val="0"/>
        </c:dLbls>
        <c:axId val="113980936"/>
        <c:axId val="113982984"/>
      </c:scatterChart>
      <c:valAx>
        <c:axId val="113980936"/>
        <c:scaling>
          <c:orientation val="minMax"/>
          <c:max val="7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a:t>Square Feet</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82984"/>
        <c:crosses val="autoZero"/>
        <c:crossBetween val="midCat"/>
      </c:valAx>
      <c:valAx>
        <c:axId val="1139829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809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Sold by County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dLbls>
          <c:showLegendKey val="0"/>
          <c:showVal val="0"/>
          <c:showCatName val="0"/>
          <c:showSerName val="0"/>
          <c:showPercent val="0"/>
          <c:showBubbleSize val="0"/>
          <c:showLeaderLines val="0"/>
        </c:dLbls>
        <c:firstSliceAng val="0"/>
      </c:pieChart>
      <c:spPr>
        <a:noFill/>
        <a:ln>
          <a:noFill/>
        </a:ln>
        <a:effectLst/>
      </c:spPr>
    </c:plotArea>
    <c:legend>
      <c:legendPos val="l"/>
      <c:layout>
        <c:manualLayout>
          <c:xMode val="edge"/>
          <c:yMode val="edge"/>
          <c:x val="0.1245585874799358"/>
          <c:y val="0.43782328142025406"/>
          <c:w val="0.10126633047273585"/>
          <c:h val="0.1562510936132983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Sold by County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County</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A8-4A65-A19A-3A9F09307D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6A8-4A65-A19A-3A9F09307DAF}"/>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FFFFFF"/>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Sold by County'!$A$2:$B$2</c:f>
              <c:strCache>
                <c:ptCount val="2"/>
                <c:pt idx="0">
                  <c:v>Oakland</c:v>
                </c:pt>
                <c:pt idx="1">
                  <c:v>Macomb</c:v>
                </c:pt>
              </c:strCache>
            </c:strRef>
          </c:cat>
          <c:val>
            <c:numRef>
              <c:f>'Total Sold by County'!$A$3:$B$3</c:f>
              <c:numCache>
                <c:formatCode>General</c:formatCode>
                <c:ptCount val="2"/>
                <c:pt idx="0">
                  <c:v>2097</c:v>
                </c:pt>
                <c:pt idx="1">
                  <c:v>1448</c:v>
                </c:pt>
              </c:numCache>
            </c:numRef>
          </c:val>
          <c:extLst>
            <c:ext xmlns:c16="http://schemas.microsoft.com/office/drawing/2014/chart" uri="{C3380CC4-5D6E-409C-BE32-E72D297353CC}">
              <c16:uniqueId val="{00000001-32E9-4D95-9BE7-E694B68B8988}"/>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5-86A8-4A65-A19A-3A9F09307D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86A8-4A65-A19A-3A9F09307DAF}"/>
              </c:ext>
            </c:extLst>
          </c:dPt>
          <c:cat>
            <c:strRef>
              <c:f>'Total Sold by County'!$A$2:$B$2</c:f>
              <c:strCache>
                <c:ptCount val="2"/>
                <c:pt idx="0">
                  <c:v>Oakland</c:v>
                </c:pt>
                <c:pt idx="1">
                  <c:v>Macomb</c:v>
                </c:pt>
              </c:strCache>
            </c:strRef>
          </c:cat>
          <c:val>
            <c:numRef>
              <c:f>'Total Sold by County'!$A$4:$B$4</c:f>
              <c:numCache>
                <c:formatCode>0.0%</c:formatCode>
                <c:ptCount val="2"/>
                <c:pt idx="0">
                  <c:v>0.59153737658674188</c:v>
                </c:pt>
                <c:pt idx="1">
                  <c:v>0.40846262341325812</c:v>
                </c:pt>
              </c:numCache>
            </c:numRef>
          </c:val>
          <c:extLst>
            <c:ext xmlns:c16="http://schemas.microsoft.com/office/drawing/2014/chart" uri="{C3380CC4-5D6E-409C-BE32-E72D297353CC}">
              <c16:uniqueId val="{00000003-32E9-4D95-9BE7-E694B68B898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[Project_4_Home_Sales_In_Macomb_Oakland_Final.xlsm]Total Sold by County!3Bed2BathPivotTable</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Average Price by County for a 3 Bed/2 Bath Family</a:t>
            </a:r>
            <a:r>
              <a:rPr lang="en-US" baseline="0"/>
              <a:t> House</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4">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Sold by County'!$B$29</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4">
                  <a:lumMod val="75000"/>
                </a:schemeClr>
              </a:solidFill>
              <a:round/>
            </a:ln>
            <a:effectLst/>
          </c:spPr>
          <c:invertIfNegative val="0"/>
          <c:cat>
            <c:strRef>
              <c:f>'Total Sold by County'!$A$30:$A$31</c:f>
              <c:strCache>
                <c:ptCount val="2"/>
                <c:pt idx="0">
                  <c:v>Macomb</c:v>
                </c:pt>
                <c:pt idx="1">
                  <c:v>Oakland</c:v>
                </c:pt>
              </c:strCache>
            </c:strRef>
          </c:cat>
          <c:val>
            <c:numRef>
              <c:f>'Total Sold by County'!$B$30:$B$31</c:f>
              <c:numCache>
                <c:formatCode>_([$$-409]* #,##0.00_);_([$$-409]* \(#,##0.00\);_([$$-409]* "-"??_);_(@_)</c:formatCode>
                <c:ptCount val="2"/>
                <c:pt idx="0">
                  <c:v>261418.89603960395</c:v>
                </c:pt>
                <c:pt idx="1">
                  <c:v>302870.90000000002</c:v>
                </c:pt>
              </c:numCache>
            </c:numRef>
          </c:val>
          <c:extLst>
            <c:ext xmlns:c16="http://schemas.microsoft.com/office/drawing/2014/chart" uri="{C3380CC4-5D6E-409C-BE32-E72D297353CC}">
              <c16:uniqueId val="{00000000-809C-4E20-83AC-7ABA8077F542}"/>
            </c:ext>
          </c:extLst>
        </c:ser>
        <c:dLbls>
          <c:showLegendKey val="0"/>
          <c:showVal val="0"/>
          <c:showCatName val="0"/>
          <c:showSerName val="0"/>
          <c:showPercent val="0"/>
          <c:showBubbleSize val="0"/>
        </c:dLbls>
        <c:gapWidth val="100"/>
        <c:overlap val="-24"/>
        <c:axId val="1086090720"/>
        <c:axId val="1082210976"/>
      </c:barChart>
      <c:catAx>
        <c:axId val="1086090720"/>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n-US"/>
                  <a:t>County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082210976"/>
        <c:crosses val="autoZero"/>
        <c:auto val="1"/>
        <c:lblAlgn val="ctr"/>
        <c:lblOffset val="100"/>
        <c:noMultiLvlLbl val="0"/>
      </c:catAx>
      <c:valAx>
        <c:axId val="1082210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n-US"/>
                  <a:t>Average price of house sold</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n-US"/>
            </a:p>
          </c:txPr>
        </c:title>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086090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[Project_4_Home_Sales_In_Macomb_Oakland_Final.xlsm]Min-Max-Avg by County and City!PriceByCityPivotTable</c:name>
    <c:fmtId val="1"/>
  </c:pivotSource>
  <c:chart>
    <c:title>
      <c:tx>
        <c:rich>
          <a:bodyPr rot="0" spcFirstLastPara="1" vertOverflow="ellipsis" vert="horz" wrap="square" anchor="ctr" anchorCtr="1"/>
          <a:lstStyle/>
          <a:p>
            <a:pPr>
              <a:defRPr sz="1400" b="1" i="0" u="none" strike="noStrike" kern="1200" spc="0" baseline="0">
                <a:solidFill>
                  <a:srgbClr val="0E2841"/>
                </a:solidFill>
                <a:latin typeface="Calibri"/>
                <a:ea typeface="Calibri"/>
                <a:cs typeface="Calibri"/>
              </a:defRPr>
            </a:pPr>
            <a:r>
              <a:rPr lang="en-US"/>
              <a:t>Price Ranges by City</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E2841"/>
              </a:solidFill>
              <a:latin typeface="Calibri"/>
              <a:ea typeface="Calibri"/>
              <a:cs typeface="Calibri"/>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'Min-Max-Avg by County and City'!$F$3</c:f>
              <c:strCache>
                <c:ptCount val="1"/>
                <c:pt idx="0">
                  <c:v>Min of Price</c:v>
                </c:pt>
              </c:strCache>
            </c:strRef>
          </c:tx>
          <c:spPr>
            <a:solidFill>
              <a:schemeClr val="accent1"/>
            </a:solidFill>
            <a:ln>
              <a:noFill/>
            </a:ln>
            <a:effectLst/>
          </c:spPr>
          <c:invertIfNegative val="0"/>
          <c:cat>
            <c:strRef>
              <c:f>'Min-Max-Avg by County and City'!$F$4</c:f>
              <c:strCache>
                <c:ptCount val="1"/>
                <c:pt idx="0">
                  <c:v>Total</c:v>
                </c:pt>
              </c:strCache>
            </c:strRef>
          </c:cat>
          <c:val>
            <c:numRef>
              <c:f>'Min-Max-Avg by County and City'!$F$4</c:f>
              <c:numCache>
                <c:formatCode>_([$$-409]* #,##0.00_);_([$$-409]* \(#,##0.00\);_([$$-409]* "-"??_);_(@_)</c:formatCode>
                <c:ptCount val="1"/>
                <c:pt idx="0">
                  <c:v>259000</c:v>
                </c:pt>
              </c:numCache>
            </c:numRef>
          </c:val>
          <c:extLst>
            <c:ext xmlns:c16="http://schemas.microsoft.com/office/drawing/2014/chart" uri="{C3380CC4-5D6E-409C-BE32-E72D297353CC}">
              <c16:uniqueId val="{00000001-ABEE-4497-97DC-4B6CAA5EE2FF}"/>
            </c:ext>
          </c:extLst>
        </c:ser>
        <c:ser>
          <c:idx val="1"/>
          <c:order val="1"/>
          <c:tx>
            <c:strRef>
              <c:f>'Min-Max-Avg by County and City'!$G$3</c:f>
              <c:strCache>
                <c:ptCount val="1"/>
                <c:pt idx="0">
                  <c:v>Max of Price</c:v>
                </c:pt>
              </c:strCache>
            </c:strRef>
          </c:tx>
          <c:spPr>
            <a:solidFill>
              <a:schemeClr val="accent2"/>
            </a:solidFill>
            <a:ln>
              <a:noFill/>
            </a:ln>
            <a:effectLst/>
          </c:spPr>
          <c:invertIfNegative val="0"/>
          <c:cat>
            <c:strRef>
              <c:f>'Min-Max-Avg by County and City'!$F$4</c:f>
              <c:strCache>
                <c:ptCount val="1"/>
                <c:pt idx="0">
                  <c:v>Total</c:v>
                </c:pt>
              </c:strCache>
            </c:strRef>
          </c:cat>
          <c:val>
            <c:numRef>
              <c:f>'Min-Max-Avg by County and City'!$G$4</c:f>
              <c:numCache>
                <c:formatCode>_([$$-409]* #,##0.00_);_([$$-409]* \(#,##0.00\);_([$$-409]* "-"??_);_(@_)</c:formatCode>
                <c:ptCount val="1"/>
                <c:pt idx="0">
                  <c:v>3250000</c:v>
                </c:pt>
              </c:numCache>
            </c:numRef>
          </c:val>
          <c:extLst>
            <c:ext xmlns:c16="http://schemas.microsoft.com/office/drawing/2014/chart" uri="{C3380CC4-5D6E-409C-BE32-E72D297353CC}">
              <c16:uniqueId val="{00000003-ABEE-4497-97DC-4B6CAA5EE2FF}"/>
            </c:ext>
          </c:extLst>
        </c:ser>
        <c:ser>
          <c:idx val="2"/>
          <c:order val="2"/>
          <c:tx>
            <c:strRef>
              <c:f>'Min-Max-Avg by County and City'!$H$3</c:f>
              <c:strCache>
                <c:ptCount val="1"/>
                <c:pt idx="0">
                  <c:v>Average of Price</c:v>
                </c:pt>
              </c:strCache>
            </c:strRef>
          </c:tx>
          <c:spPr>
            <a:solidFill>
              <a:schemeClr val="accent3"/>
            </a:solidFill>
            <a:ln>
              <a:noFill/>
            </a:ln>
            <a:effectLst/>
          </c:spPr>
          <c:invertIfNegative val="0"/>
          <c:cat>
            <c:strRef>
              <c:f>'Min-Max-Avg by County and City'!$F$4</c:f>
              <c:strCache>
                <c:ptCount val="1"/>
                <c:pt idx="0">
                  <c:v>Total</c:v>
                </c:pt>
              </c:strCache>
            </c:strRef>
          </c:cat>
          <c:val>
            <c:numRef>
              <c:f>'Min-Max-Avg by County and City'!$H$4</c:f>
              <c:numCache>
                <c:formatCode>_("$"* #,##0.00_);_("$"* \(#,##0.00\);_("$"* "-"??_);_(@_)</c:formatCode>
                <c:ptCount val="1"/>
                <c:pt idx="0">
                  <c:v>1010921.5384615385</c:v>
                </c:pt>
              </c:numCache>
            </c:numRef>
          </c:val>
          <c:extLst>
            <c:ext xmlns:c16="http://schemas.microsoft.com/office/drawing/2014/chart" uri="{C3380CC4-5D6E-409C-BE32-E72D297353CC}">
              <c16:uniqueId val="{00000005-ABEE-4497-97DC-4B6CAA5EE2FF}"/>
            </c:ext>
          </c:extLst>
        </c:ser>
        <c:dLbls>
          <c:showLegendKey val="0"/>
          <c:showVal val="0"/>
          <c:showCatName val="0"/>
          <c:showSerName val="0"/>
          <c:showPercent val="0"/>
          <c:showBubbleSize val="0"/>
        </c:dLbls>
        <c:gapWidth val="219"/>
        <c:overlap val="-27"/>
        <c:axId val="121284104"/>
        <c:axId val="121289224"/>
      </c:barChart>
      <c:catAx>
        <c:axId val="121284104"/>
        <c:scaling>
          <c:orientation val="minMax"/>
        </c:scaling>
        <c:delete val="1"/>
        <c:axPos val="b"/>
        <c:numFmt formatCode="General" sourceLinked="1"/>
        <c:majorTickMark val="none"/>
        <c:minorTickMark val="none"/>
        <c:tickLblPos val="nextTo"/>
        <c:crossAx val="121289224"/>
        <c:crosses val="autoZero"/>
        <c:auto val="1"/>
        <c:lblAlgn val="ctr"/>
        <c:lblOffset val="100"/>
        <c:noMultiLvlLbl val="0"/>
      </c:catAx>
      <c:valAx>
        <c:axId val="121289224"/>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284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657225</xdr:colOff>
      <xdr:row>29</xdr:row>
      <xdr:rowOff>171450</xdr:rowOff>
    </xdr:to>
    <xdr:graphicFrame macro="">
      <xdr:nvGraphicFramePr>
        <xdr:cNvPr id="2" name="minMaxAvgCityChart" descr="Chart type: Line. 'Min of Price', 'Max of Price', 'Average of Price' by 'City'&#10;&#10;Description automatically generated">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28</xdr:col>
      <xdr:colOff>657225</xdr:colOff>
      <xdr:row>57</xdr:row>
      <xdr:rowOff>180975</xdr:rowOff>
    </xdr:to>
    <xdr:graphicFrame macro="">
      <xdr:nvGraphicFramePr>
        <xdr:cNvPr id="3" name="avgDaysOnMarketChart">
          <a:extLst>
            <a:ext uri="{FF2B5EF4-FFF2-40B4-BE49-F238E27FC236}">
              <a16:creationId xmlns:a16="http://schemas.microsoft.com/office/drawing/2014/main" id="{00000000-0008-0000-0200-000003000000}"/>
            </a:ext>
            <a:ext uri="{147F2762-F138-4A5C-976F-8EAC2B608ADB}">
              <a16:predDERef xmlns:a16="http://schemas.microsoft.com/office/drawing/2014/main" pred="{2EE165B4-CB02-4C95-9CEA-7A6ECA77ED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61</xdr:row>
      <xdr:rowOff>0</xdr:rowOff>
    </xdr:from>
    <xdr:to>
      <xdr:col>28</xdr:col>
      <xdr:colOff>647700</xdr:colOff>
      <xdr:row>83</xdr:row>
      <xdr:rowOff>161925</xdr:rowOff>
    </xdr:to>
    <xdr:graphicFrame macro="">
      <xdr:nvGraphicFramePr>
        <xdr:cNvPr id="4" name="avgPPSFChart">
          <a:extLst>
            <a:ext uri="{FF2B5EF4-FFF2-40B4-BE49-F238E27FC236}">
              <a16:creationId xmlns:a16="http://schemas.microsoft.com/office/drawing/2014/main" id="{00000000-0008-0000-0200-000004000000}"/>
            </a:ext>
            <a:ext uri="{147F2762-F138-4A5C-976F-8EAC2B608ADB}">
              <a16:predDERef xmlns:a16="http://schemas.microsoft.com/office/drawing/2014/main" pred="{EFD94E6B-E635-4189-A886-8DA00280C8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xdr:colOff>
      <xdr:row>7</xdr:row>
      <xdr:rowOff>9525</xdr:rowOff>
    </xdr:from>
    <xdr:to>
      <xdr:col>4</xdr:col>
      <xdr:colOff>666750</xdr:colOff>
      <xdr:row>20</xdr:row>
      <xdr:rowOff>152400</xdr:rowOff>
    </xdr:to>
    <xdr:graphicFrame macro="">
      <xdr:nvGraphicFramePr>
        <xdr:cNvPr id="3" name="Chart 2">
          <a:extLst>
            <a:ext uri="{FF2B5EF4-FFF2-40B4-BE49-F238E27FC236}">
              <a16:creationId xmlns:a16="http://schemas.microsoft.com/office/drawing/2014/main" id="{36130AA3-3BB3-690D-C728-DD2E5F85FE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23811</xdr:colOff>
      <xdr:row>7</xdr:row>
      <xdr:rowOff>9525</xdr:rowOff>
    </xdr:from>
    <xdr:to>
      <xdr:col>11</xdr:col>
      <xdr:colOff>1800224</xdr:colOff>
      <xdr:row>20</xdr:row>
      <xdr:rowOff>152400</xdr:rowOff>
    </xdr:to>
    <xdr:graphicFrame macro="">
      <xdr:nvGraphicFramePr>
        <xdr:cNvPr id="4" name="Chart 3">
          <a:extLst>
            <a:ext uri="{FF2B5EF4-FFF2-40B4-BE49-F238E27FC236}">
              <a16:creationId xmlns:a16="http://schemas.microsoft.com/office/drawing/2014/main" id="{3500C876-836B-3001-0612-B437711C1D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0</xdr:row>
      <xdr:rowOff>161925</xdr:rowOff>
    </xdr:from>
    <xdr:to>
      <xdr:col>25</xdr:col>
      <xdr:colOff>657225</xdr:colOff>
      <xdr:row>30</xdr:row>
      <xdr:rowOff>9525</xdr:rowOff>
    </xdr:to>
    <xdr:graphicFrame macro="">
      <xdr:nvGraphicFramePr>
        <xdr:cNvPr id="2" name="pPSFScatterChart">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657225</xdr:colOff>
      <xdr:row>0</xdr:row>
      <xdr:rowOff>0</xdr:rowOff>
    </xdr:from>
    <xdr:to>
      <xdr:col>11</xdr:col>
      <xdr:colOff>419100</xdr:colOff>
      <xdr:row>13</xdr:row>
      <xdr:rowOff>38100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666750</xdr:colOff>
      <xdr:row>0</xdr:row>
      <xdr:rowOff>0</xdr:rowOff>
    </xdr:from>
    <xdr:to>
      <xdr:col>11</xdr:col>
      <xdr:colOff>400050</xdr:colOff>
      <xdr:row>16</xdr:row>
      <xdr:rowOff>85725</xdr:rowOff>
    </xdr:to>
    <xdr:graphicFrame macro="">
      <xdr:nvGraphicFramePr>
        <xdr:cNvPr id="3" name="soldByCountyChart">
          <a:extLst>
            <a:ext uri="{FF2B5EF4-FFF2-40B4-BE49-F238E27FC236}">
              <a16:creationId xmlns:a16="http://schemas.microsoft.com/office/drawing/2014/main" id="{00000000-0008-0000-0400-000003000000}"/>
            </a:ext>
            <a:ext uri="{147F2762-F138-4A5C-976F-8EAC2B608ADB}">
              <a16:predDERef xmlns:a16="http://schemas.microsoft.com/office/drawing/2014/main" pred="{8B5C9975-E0EA-1BD6-FC77-8B85257A5D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4762</xdr:colOff>
      <xdr:row>19</xdr:row>
      <xdr:rowOff>200024</xdr:rowOff>
    </xdr:from>
    <xdr:to>
      <xdr:col>14</xdr:col>
      <xdr:colOff>523875</xdr:colOff>
      <xdr:row>40</xdr:row>
      <xdr:rowOff>161924</xdr:rowOff>
    </xdr:to>
    <xdr:graphicFrame macro="">
      <xdr:nvGraphicFramePr>
        <xdr:cNvPr id="4" name="avgPriceFamilyPivotChart">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19050</xdr:colOff>
      <xdr:row>0</xdr:row>
      <xdr:rowOff>19050</xdr:rowOff>
    </xdr:from>
    <xdr:to>
      <xdr:col>20</xdr:col>
      <xdr:colOff>676275</xdr:colOff>
      <xdr:row>24</xdr:row>
      <xdr:rowOff>190500</xdr:rowOff>
    </xdr:to>
    <mc:AlternateContent xmlns:mc="http://schemas.openxmlformats.org/markup-compatibility/2006" xmlns:a14="http://schemas.microsoft.com/office/drawing/2010/main">
      <mc:Choice Requires="a14">
        <xdr:graphicFrame macro="">
          <xdr:nvGraphicFramePr>
            <xdr:cNvPr id="2" name="citySplice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citySplicer"/>
            </a:graphicData>
          </a:graphic>
        </xdr:graphicFrame>
      </mc:Choice>
      <mc:Fallback xmlns="">
        <xdr:sp macro="" textlink="">
          <xdr:nvSpPr>
            <xdr:cNvPr id="0" name=""/>
            <xdr:cNvSpPr>
              <a:spLocks noTextEdit="1"/>
            </xdr:cNvSpPr>
          </xdr:nvSpPr>
          <xdr:spPr>
            <a:xfrm>
              <a:off x="12487275" y="19050"/>
              <a:ext cx="6829425" cy="4972050"/>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mc:AlternateContent xmlns:mc="http://schemas.openxmlformats.org/markup-compatibility/2006">
    <mc:Choice xmlns:a14="http://schemas.microsoft.com/office/drawing/2010/main" Requires="a14">
      <xdr:twoCellAnchor editAs="oneCell">
        <xdr:from>
          <xdr:col>21</xdr:col>
          <xdr:colOff>9525</xdr:colOff>
          <xdr:row>7</xdr:row>
          <xdr:rowOff>9525</xdr:rowOff>
        </xdr:from>
        <xdr:to>
          <xdr:col>22</xdr:col>
          <xdr:colOff>28575</xdr:colOff>
          <xdr:row>8</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Narrow"/>
                </a:rPr>
                <a:t>Goal Seek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xdr:colOff>
      <xdr:row>23</xdr:row>
      <xdr:rowOff>19050</xdr:rowOff>
    </xdr:from>
    <xdr:to>
      <xdr:col>1</xdr:col>
      <xdr:colOff>152400</xdr:colOff>
      <xdr:row>28</xdr:row>
      <xdr:rowOff>28575</xdr:rowOff>
    </xdr:to>
    <mc:AlternateContent xmlns:mc="http://schemas.openxmlformats.org/markup-compatibility/2006" xmlns:a14="http://schemas.microsoft.com/office/drawing/2010/main">
      <mc:Choice Requires="a14">
        <xdr:graphicFrame macro="">
          <xdr:nvGraphicFramePr>
            <xdr:cNvPr id="2" name="countySplicer">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countySplicer"/>
            </a:graphicData>
          </a:graphic>
        </xdr:graphicFrame>
      </mc:Choice>
      <mc:Fallback xmlns="">
        <xdr:sp macro="" textlink="">
          <xdr:nvSpPr>
            <xdr:cNvPr id="0" name=""/>
            <xdr:cNvSpPr>
              <a:spLocks noTextEdit="1"/>
            </xdr:cNvSpPr>
          </xdr:nvSpPr>
          <xdr:spPr>
            <a:xfrm>
              <a:off x="19050" y="4619625"/>
              <a:ext cx="1828800" cy="1009650"/>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twoCellAnchor editAs="oneCell">
    <xdr:from>
      <xdr:col>5</xdr:col>
      <xdr:colOff>0</xdr:colOff>
      <xdr:row>5</xdr:row>
      <xdr:rowOff>19050</xdr:rowOff>
    </xdr:from>
    <xdr:to>
      <xdr:col>12</xdr:col>
      <xdr:colOff>666750</xdr:colOff>
      <xdr:row>21</xdr:row>
      <xdr:rowOff>9525</xdr:rowOff>
    </xdr:to>
    <mc:AlternateContent xmlns:mc="http://schemas.openxmlformats.org/markup-compatibility/2006" xmlns:a14="http://schemas.microsoft.com/office/drawing/2010/main">
      <mc:Choice Requires="a14">
        <xdr:graphicFrame macro="">
          <xdr:nvGraphicFramePr>
            <xdr:cNvPr id="5" name="citySplicer2">
              <a:extLst>
                <a:ext uri="{FF2B5EF4-FFF2-40B4-BE49-F238E27FC236}">
                  <a16:creationId xmlns:a16="http://schemas.microsoft.com/office/drawing/2014/main" id="{00000000-0008-0000-0600-000005000000}"/>
                </a:ext>
                <a:ext uri="{147F2762-F138-4A5C-976F-8EAC2B608ADB}">
                  <a16:predDERef xmlns:a16="http://schemas.microsoft.com/office/drawing/2014/main" pred="{24F8E24B-393C-7905-858F-28D1A4691013}"/>
                </a:ext>
              </a:extLst>
            </xdr:cNvPr>
            <xdr:cNvGraphicFramePr/>
          </xdr:nvGraphicFramePr>
          <xdr:xfrm>
            <a:off x="0" y="0"/>
            <a:ext cx="0" cy="0"/>
          </xdr:xfrm>
          <a:graphic>
            <a:graphicData uri="http://schemas.microsoft.com/office/drawing/2010/slicer">
              <sle:slicer xmlns:sle="http://schemas.microsoft.com/office/drawing/2010/slicer" name="citySplicer2"/>
            </a:graphicData>
          </a:graphic>
        </xdr:graphicFrame>
      </mc:Choice>
      <mc:Fallback xmlns="">
        <xdr:sp macro="" textlink="">
          <xdr:nvSpPr>
            <xdr:cNvPr id="0" name=""/>
            <xdr:cNvSpPr>
              <a:spLocks noTextEdit="1"/>
            </xdr:cNvSpPr>
          </xdr:nvSpPr>
          <xdr:spPr>
            <a:xfrm>
              <a:off x="5581650" y="1019175"/>
              <a:ext cx="7324725" cy="3190875"/>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twoCellAnchor>
    <xdr:from>
      <xdr:col>5</xdr:col>
      <xdr:colOff>0</xdr:colOff>
      <xdr:row>22</xdr:row>
      <xdr:rowOff>0</xdr:rowOff>
    </xdr:from>
    <xdr:to>
      <xdr:col>12</xdr:col>
      <xdr:colOff>895350</xdr:colOff>
      <xdr:row>43</xdr:row>
      <xdr:rowOff>190500</xdr:rowOff>
    </xdr:to>
    <xdr:graphicFrame macro="">
      <xdr:nvGraphicFramePr>
        <xdr:cNvPr id="6" name="pricingByCityPivotChart">
          <a:extLst>
            <a:ext uri="{FF2B5EF4-FFF2-40B4-BE49-F238E27FC236}">
              <a16:creationId xmlns:a16="http://schemas.microsoft.com/office/drawing/2014/main" id="{00000000-0008-0000-0600-000006000000}"/>
            </a:ext>
            <a:ext uri="{147F2762-F138-4A5C-976F-8EAC2B608ADB}">
              <a16:predDERef xmlns:a16="http://schemas.microsoft.com/office/drawing/2014/main" pred="{83FFBCAE-CA11-9A0B-E887-8F53B97F64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Zytkowski, Tyler" id="{324678E1-24EF-4F02-9681-2FCBC2795C34}" userId="S::zytkowskit898@macomb.edu::37079be5-5da6-4897-b724-a06fcfc6af36"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389.931249652778" createdVersion="8" refreshedVersion="8" minRefreshableVersion="3" recordCount="3545" xr:uid="{A799BF21-56E5-4C3A-B888-8820B2734FB9}">
  <cacheSource type="worksheet">
    <worksheetSource name="Table5"/>
  </cacheSource>
  <cacheFields count="10">
    <cacheField name="Address" numFmtId="0">
      <sharedItems containsNonDate="0"/>
    </cacheField>
    <cacheField name="City" numFmtId="0">
      <sharedItems containsNonDate="0" containsBlank="1" count="87">
        <s v="Waterford Twp"/>
        <s v="Pontiac"/>
        <s v="Novi"/>
        <s v="Rochester Hills"/>
        <s v="Village Of Clarkston"/>
        <s v="Auburn Hills"/>
        <s v="Ferndale"/>
        <s v="Hazel Park"/>
        <s v="Madison Heights"/>
        <s v="Holly Twp"/>
        <s v="White Lake Twp"/>
        <s v="Farmington Hills"/>
        <s v="Southfield"/>
        <s v="Orion Twp"/>
        <s v="Commerce Twp"/>
        <s v="Oak Park"/>
        <s v="South Lyon"/>
        <s v="Highland Twp"/>
        <s v="Royal Oak"/>
        <s v="Royal Oak Twp"/>
        <s v="Brandon Twp"/>
        <s v="Keego Harbor"/>
        <s v="Troy"/>
        <s v="Holly Vlg"/>
        <s v="West Bloomfield Twp"/>
        <s v="Berkley"/>
        <s v="Holly"/>
        <s v="Groveland Twp"/>
        <s v="Springfield Twp"/>
        <s v="Independence Twp"/>
        <s v="Clawson"/>
        <s v="Oxford Vlg"/>
        <s v="Wolverine Lake Vlg"/>
        <s v="Walled Lake"/>
        <s v="Sylvan Lake"/>
        <s v="Oakland Twp"/>
        <s v="Lake Orion Vlg"/>
        <s v="Lyon Twp"/>
        <s v="Farmington"/>
        <s v="Milford Vlg"/>
        <s v="Birmingham"/>
        <s v="Beverly Hills Vlg"/>
        <s v="Pleasant Ridge"/>
        <s v="Oxford Twp"/>
        <s v="Lathrup Village"/>
        <s v="Rose Twp"/>
        <s v="Rochester"/>
        <s v="Wixom"/>
        <s v="Bloomfield Twp"/>
        <s v="Milford Twp"/>
        <s v="Huntington Woods"/>
        <s v="Ortonville Vlg"/>
        <s v="Northville"/>
        <s v="Franklin Vlg"/>
        <s v="Bloomfield Hills"/>
        <s v="Addison Twp"/>
        <s v="Orchard Lake Village"/>
        <s v="Lake Orion"/>
        <s v="Beverly Hills"/>
        <s v="Macomb Twp"/>
        <s v="Roseville"/>
        <s v="Warren"/>
        <s v="Mt. Clemens"/>
        <s v="Eastpointe"/>
        <s v="Clinton Twp"/>
        <s v="Lenox Twp"/>
        <s v="Sterling Heights"/>
        <s v="St. Clair Shores"/>
        <s v="Center Line"/>
        <s v="Chesterfield Twp"/>
        <s v="Armada Twp"/>
        <s v="New Haven Vlg"/>
        <s v="Shelby Twp"/>
        <s v="Memphis"/>
        <s v="Richmond"/>
        <s v="Harrison Twp"/>
        <s v="Fraser"/>
        <s v="Utica"/>
        <s v="Washington Twp"/>
        <s v="Ray Twp"/>
        <s v="Romeo Vlg"/>
        <s v="Armada Vlg"/>
        <s v="City of Macomb"/>
        <s v="New Baltimore"/>
        <s v="Richmond Twp"/>
        <s v="Bruce Twp"/>
        <m u="1"/>
      </sharedItems>
    </cacheField>
    <cacheField name="County" numFmtId="0">
      <sharedItems containsNonDate="0" count="2">
        <s v="Oakland"/>
        <s v="Macomb"/>
      </sharedItems>
    </cacheField>
    <cacheField name="Price" numFmtId="165">
      <sharedItems containsSemiMixedTypes="0" containsString="0" containsNumber="1" containsInteger="1" minValue="10000" maxValue="5000000" count="1129">
        <n v="249900"/>
        <n v="10000"/>
        <n v="12000"/>
        <n v="21000"/>
        <n v="29000"/>
        <n v="38000"/>
        <n v="40000"/>
        <n v="41000"/>
        <n v="45000"/>
        <n v="47000"/>
        <n v="50500"/>
        <n v="54000"/>
        <n v="55000"/>
        <n v="57000"/>
        <n v="58000"/>
        <n v="60000"/>
        <n v="61200"/>
        <n v="65000"/>
        <n v="67500"/>
        <n v="68000"/>
        <n v="70000"/>
        <n v="71000"/>
        <n v="72000"/>
        <n v="74000"/>
        <n v="74160"/>
        <n v="75000"/>
        <n v="76000"/>
        <n v="80000"/>
        <n v="80500"/>
        <n v="81000"/>
        <n v="82000"/>
        <n v="83000"/>
        <n v="85000"/>
        <n v="89000"/>
        <n v="89300"/>
        <n v="90000"/>
        <n v="92000"/>
        <n v="92790"/>
        <n v="93000"/>
        <n v="94000"/>
        <n v="94900"/>
        <n v="95000"/>
        <n v="95500"/>
        <n v="96500"/>
        <n v="97500"/>
        <n v="99900"/>
        <n v="100000"/>
        <n v="100500"/>
        <n v="103000"/>
        <n v="104900"/>
        <n v="105000"/>
        <n v="107000"/>
        <n v="110000"/>
        <n v="111000"/>
        <n v="113000"/>
        <n v="115000"/>
        <n v="118000"/>
        <n v="120000"/>
        <n v="122500"/>
        <n v="123123"/>
        <n v="124900"/>
        <n v="125000"/>
        <n v="126000"/>
        <n v="127500"/>
        <n v="128000"/>
        <n v="129000"/>
        <n v="129900"/>
        <n v="130000"/>
        <n v="132500"/>
        <n v="134999"/>
        <n v="135000"/>
        <n v="137000"/>
        <n v="137500"/>
        <n v="138000"/>
        <n v="138500"/>
        <n v="140000"/>
        <n v="141000"/>
        <n v="142000"/>
        <n v="143900"/>
        <n v="144000"/>
        <n v="144500"/>
        <n v="145000"/>
        <n v="146000"/>
        <n v="147000"/>
        <n v="148000"/>
        <n v="148250"/>
        <n v="149000"/>
        <n v="149900"/>
        <n v="150000"/>
        <n v="151000"/>
        <n v="152000"/>
        <n v="152500"/>
        <n v="153000"/>
        <n v="154000"/>
        <n v="154500"/>
        <n v="154900"/>
        <n v="155000"/>
        <n v="156000"/>
        <n v="157500"/>
        <n v="158000"/>
        <n v="159500"/>
        <n v="160000"/>
        <n v="161000"/>
        <n v="162000"/>
        <n v="163000"/>
        <n v="163500"/>
        <n v="164900"/>
        <n v="165000"/>
        <n v="167000"/>
        <n v="167500"/>
        <n v="169000"/>
        <n v="169400"/>
        <n v="169900"/>
        <n v="169999"/>
        <n v="170000"/>
        <n v="171000"/>
        <n v="171500"/>
        <n v="172000"/>
        <n v="172500"/>
        <n v="174000"/>
        <n v="174999"/>
        <n v="175000"/>
        <n v="176000"/>
        <n v="177000"/>
        <n v="177500"/>
        <n v="178000"/>
        <n v="179000"/>
        <n v="179900"/>
        <n v="180000"/>
        <n v="182500"/>
        <n v="183000"/>
        <n v="184900"/>
        <n v="185000"/>
        <n v="186000"/>
        <n v="186200"/>
        <n v="187000"/>
        <n v="187500"/>
        <n v="188500"/>
        <n v="188775"/>
        <n v="189000"/>
        <n v="190000"/>
        <n v="190725"/>
        <n v="191000"/>
        <n v="191500"/>
        <n v="192000"/>
        <n v="192500"/>
        <n v="193000"/>
        <n v="194000"/>
        <n v="195000"/>
        <n v="195500"/>
        <n v="196000"/>
        <n v="197000"/>
        <n v="197500"/>
        <n v="198000"/>
        <n v="198500"/>
        <n v="199000"/>
        <n v="199500"/>
        <n v="199700"/>
        <n v="199900"/>
        <n v="200000"/>
        <n v="201000"/>
        <n v="202000"/>
        <n v="203000"/>
        <n v="203500"/>
        <n v="203800"/>
        <n v="204000"/>
        <n v="204400"/>
        <n v="205000"/>
        <n v="206000"/>
        <n v="207000"/>
        <n v="207500"/>
        <n v="208000"/>
        <n v="208500"/>
        <n v="209000"/>
        <n v="209500"/>
        <n v="210000"/>
        <n v="210500"/>
        <n v="211000"/>
        <n v="212000"/>
        <n v="212500"/>
        <n v="213000"/>
        <n v="214100"/>
        <n v="214900"/>
        <n v="215000"/>
        <n v="216000"/>
        <n v="216325"/>
        <n v="216400"/>
        <n v="216500"/>
        <n v="217500"/>
        <n v="218000"/>
        <n v="219900"/>
        <n v="220000"/>
        <n v="220500"/>
        <n v="221000"/>
        <n v="222000"/>
        <n v="222500"/>
        <n v="223500"/>
        <n v="224000"/>
        <n v="224400"/>
        <n v="225000"/>
        <n v="226000"/>
        <n v="226400"/>
        <n v="227000"/>
        <n v="227500"/>
        <n v="227700"/>
        <n v="227800"/>
        <n v="228000"/>
        <n v="230000"/>
        <n v="231000"/>
        <n v="231500"/>
        <n v="231750"/>
        <n v="232000"/>
        <n v="232500"/>
        <n v="233000"/>
        <n v="234900"/>
        <n v="235000"/>
        <n v="236000"/>
        <n v="237000"/>
        <n v="237500"/>
        <n v="238000"/>
        <n v="239000"/>
        <n v="239900"/>
        <n v="240000"/>
        <n v="242000"/>
        <n v="242500"/>
        <n v="243000"/>
        <n v="244000"/>
        <n v="244200"/>
        <n v="244900"/>
        <n v="245000"/>
        <n v="246000"/>
        <n v="246001"/>
        <n v="246423"/>
        <n v="246500"/>
        <n v="246600"/>
        <n v="246900"/>
        <n v="247000"/>
        <n v="247500"/>
        <n v="248000"/>
        <n v="249000"/>
        <n v="250000"/>
        <n v="250044"/>
        <n v="251895"/>
        <n v="252000"/>
        <n v="253000"/>
        <n v="254000"/>
        <n v="254500"/>
        <n v="255000"/>
        <n v="256000"/>
        <n v="256499"/>
        <n v="256500"/>
        <n v="257000"/>
        <n v="257500"/>
        <n v="258600"/>
        <n v="259000"/>
        <n v="259900"/>
        <n v="259999"/>
        <n v="260000"/>
        <n v="260500"/>
        <n v="261000"/>
        <n v="262000"/>
        <n v="262500"/>
        <n v="262900"/>
        <n v="263000"/>
        <n v="264000"/>
        <n v="264710"/>
        <n v="265000"/>
        <n v="267500"/>
        <n v="268000"/>
        <n v="269000"/>
        <n v="269900"/>
        <n v="269990"/>
        <n v="270000"/>
        <n v="270619"/>
        <n v="271000"/>
        <n v="271500"/>
        <n v="272000"/>
        <n v="273500"/>
        <n v="274000"/>
        <n v="274900"/>
        <n v="275000"/>
        <n v="275990"/>
        <n v="278000"/>
        <n v="278500"/>
        <n v="279000"/>
        <n v="280000"/>
        <n v="281000"/>
        <n v="282000"/>
        <n v="282250"/>
        <n v="282500"/>
        <n v="283000"/>
        <n v="284000"/>
        <n v="285000"/>
        <n v="286200"/>
        <n v="287000"/>
        <n v="287450"/>
        <n v="287990"/>
        <n v="288000"/>
        <n v="288900"/>
        <n v="289000"/>
        <n v="289900"/>
        <n v="290000"/>
        <n v="291000"/>
        <n v="291500"/>
        <n v="292000"/>
        <n v="292500"/>
        <n v="293000"/>
        <n v="293846"/>
        <n v="294900"/>
        <n v="295000"/>
        <n v="296990"/>
        <n v="297000"/>
        <n v="297500"/>
        <n v="298000"/>
        <n v="298500"/>
        <n v="299000"/>
        <n v="299655"/>
        <n v="299900"/>
        <n v="300000"/>
        <n v="301000"/>
        <n v="302000"/>
        <n v="303000"/>
        <n v="304000"/>
        <n v="304500"/>
        <n v="305000"/>
        <n v="306000"/>
        <n v="306500"/>
        <n v="307000"/>
        <n v="307500"/>
        <n v="308000"/>
        <n v="308300"/>
        <n v="308500"/>
        <n v="309000"/>
        <n v="310000"/>
        <n v="311000"/>
        <n v="311500"/>
        <n v="312000"/>
        <n v="312500"/>
        <n v="313000"/>
        <n v="313775"/>
        <n v="314900"/>
        <n v="315000"/>
        <n v="316000"/>
        <n v="316100"/>
        <n v="316500"/>
        <n v="317000"/>
        <n v="317500"/>
        <n v="318000"/>
        <n v="319000"/>
        <n v="319900"/>
        <n v="320000"/>
        <n v="322000"/>
        <n v="322400"/>
        <n v="322600"/>
        <n v="323000"/>
        <n v="323200"/>
        <n v="323500"/>
        <n v="324500"/>
        <n v="324900"/>
        <n v="325000"/>
        <n v="327000"/>
        <n v="328000"/>
        <n v="329000"/>
        <n v="330000"/>
        <n v="331000"/>
        <n v="332500"/>
        <n v="334000"/>
        <n v="335000"/>
        <n v="336000"/>
        <n v="337500"/>
        <n v="338000"/>
        <n v="339000"/>
        <n v="339700"/>
        <n v="339900"/>
        <n v="340000"/>
        <n v="341000"/>
        <n v="341300"/>
        <n v="343000"/>
        <n v="345000"/>
        <n v="346000"/>
        <n v="346500"/>
        <n v="347000"/>
        <n v="348000"/>
        <n v="349000"/>
        <n v="349500"/>
        <n v="349900"/>
        <n v="350000"/>
        <n v="351000"/>
        <n v="352000"/>
        <n v="352500"/>
        <n v="353500"/>
        <n v="355000"/>
        <n v="355500"/>
        <n v="356500"/>
        <n v="357000"/>
        <n v="358000"/>
        <n v="360000"/>
        <n v="361000"/>
        <n v="362000"/>
        <n v="362500"/>
        <n v="364900"/>
        <n v="365000"/>
        <n v="367000"/>
        <n v="367500"/>
        <n v="368000"/>
        <n v="369000"/>
        <n v="369022"/>
        <n v="370000"/>
        <n v="372000"/>
        <n v="372300"/>
        <n v="373000"/>
        <n v="373250"/>
        <n v="374000"/>
        <n v="374900"/>
        <n v="375000"/>
        <n v="375620"/>
        <n v="377000"/>
        <n v="377025"/>
        <n v="377371"/>
        <n v="378000"/>
        <n v="379000"/>
        <n v="379900"/>
        <n v="380000"/>
        <n v="381000"/>
        <n v="382000"/>
        <n v="383000"/>
        <n v="385000"/>
        <n v="386000"/>
        <n v="386500"/>
        <n v="387500"/>
        <n v="388000"/>
        <n v="389000"/>
        <n v="389250"/>
        <n v="390000"/>
        <n v="392500"/>
        <n v="395000"/>
        <n v="396000"/>
        <n v="399000"/>
        <n v="399900"/>
        <n v="400000"/>
        <n v="400009"/>
        <n v="401000"/>
        <n v="402000"/>
        <n v="402500"/>
        <n v="403500"/>
        <n v="404000"/>
        <n v="405000"/>
        <n v="406000"/>
        <n v="407000"/>
        <n v="408500"/>
        <n v="409000"/>
        <n v="410000"/>
        <n v="411000"/>
        <n v="411841"/>
        <n v="412000"/>
        <n v="412500"/>
        <n v="415000"/>
        <n v="415581"/>
        <n v="416000"/>
        <n v="417000"/>
        <n v="417500"/>
        <n v="419000"/>
        <n v="419900"/>
        <n v="420000"/>
        <n v="421000"/>
        <n v="422290"/>
        <n v="425000"/>
        <n v="425900"/>
        <n v="428000"/>
        <n v="429900"/>
        <n v="430000"/>
        <n v="431000"/>
        <n v="432000"/>
        <n v="432500"/>
        <n v="433570"/>
        <n v="434900"/>
        <n v="435000"/>
        <n v="436000"/>
        <n v="437500"/>
        <n v="439000"/>
        <n v="439900"/>
        <n v="440000"/>
        <n v="441500"/>
        <n v="443105"/>
        <n v="443500"/>
        <n v="445000"/>
        <n v="446480"/>
        <n v="446500"/>
        <n v="447000"/>
        <n v="447800"/>
        <n v="448400"/>
        <n v="450000"/>
        <n v="450500"/>
        <n v="452000"/>
        <n v="452500"/>
        <n v="453000"/>
        <n v="455000"/>
        <n v="456000"/>
        <n v="457000"/>
        <n v="458000"/>
        <n v="459000"/>
        <n v="460000"/>
        <n v="460500"/>
        <n v="461000"/>
        <n v="462000"/>
        <n v="462500"/>
        <n v="463500"/>
        <n v="465000"/>
        <n v="466000"/>
        <n v="466500"/>
        <n v="467000"/>
        <n v="467500"/>
        <n v="468000"/>
        <n v="468500"/>
        <n v="469000"/>
        <n v="469125"/>
        <n v="469900"/>
        <n v="470000"/>
        <n v="470500"/>
        <n v="471791"/>
        <n v="472000"/>
        <n v="473000"/>
        <n v="474000"/>
        <n v="475000"/>
        <n v="477000"/>
        <n v="478500"/>
        <n v="479000"/>
        <n v="479500"/>
        <n v="479900"/>
        <n v="480000"/>
        <n v="481500"/>
        <n v="482000"/>
        <n v="483500"/>
        <n v="484400"/>
        <n v="485000"/>
        <n v="486000"/>
        <n v="486999"/>
        <n v="487000"/>
        <n v="487500"/>
        <n v="489900"/>
        <n v="490000"/>
        <n v="492000"/>
        <n v="493000"/>
        <n v="495000"/>
        <n v="495500"/>
        <n v="496500"/>
        <n v="498000"/>
        <n v="499000"/>
        <n v="499900"/>
        <n v="500000"/>
        <n v="500500"/>
        <n v="501936"/>
        <n v="502000"/>
        <n v="504000"/>
        <n v="505000"/>
        <n v="505500"/>
        <n v="506000"/>
        <n v="507500"/>
        <n v="508000"/>
        <n v="510000"/>
        <n v="512000"/>
        <n v="512500"/>
        <n v="513000"/>
        <n v="515000"/>
        <n v="515015"/>
        <n v="517000"/>
        <n v="517500"/>
        <n v="520000"/>
        <n v="522000"/>
        <n v="522500"/>
        <n v="524900"/>
        <n v="525000"/>
        <n v="525033"/>
        <n v="525580"/>
        <n v="527500"/>
        <n v="528000"/>
        <n v="528650"/>
        <n v="529000"/>
        <n v="529900"/>
        <n v="530000"/>
        <n v="531500"/>
        <n v="533000"/>
        <n v="534000"/>
        <n v="534080"/>
        <n v="535000"/>
        <n v="536000"/>
        <n v="537000"/>
        <n v="540000"/>
        <n v="541500"/>
        <n v="543000"/>
        <n v="544000"/>
        <n v="545000"/>
        <n v="545500"/>
        <n v="547900"/>
        <n v="549000"/>
        <n v="550000"/>
        <n v="552000"/>
        <n v="552925"/>
        <n v="554000"/>
        <n v="554042"/>
        <n v="555000"/>
        <n v="555165"/>
        <n v="559000"/>
        <n v="560000"/>
        <n v="562000"/>
        <n v="562500"/>
        <n v="563000"/>
        <n v="563925"/>
        <n v="564740"/>
        <n v="565000"/>
        <n v="567000"/>
        <n v="568000"/>
        <n v="570000"/>
        <n v="572000"/>
        <n v="572100"/>
        <n v="573000"/>
        <n v="574900"/>
        <n v="575000"/>
        <n v="577000"/>
        <n v="577500"/>
        <n v="578000"/>
        <n v="578300"/>
        <n v="579900"/>
        <n v="581615"/>
        <n v="585000"/>
        <n v="586000"/>
        <n v="589900"/>
        <n v="590000"/>
        <n v="592000"/>
        <n v="594066"/>
        <n v="594090"/>
        <n v="595000"/>
        <n v="595101"/>
        <n v="595417"/>
        <n v="596076"/>
        <n v="597736"/>
        <n v="599000"/>
        <n v="599900"/>
        <n v="600000"/>
        <n v="600201"/>
        <n v="602000"/>
        <n v="604335"/>
        <n v="608000"/>
        <n v="610000"/>
        <n v="611000"/>
        <n v="611490"/>
        <n v="611500"/>
        <n v="613371"/>
        <n v="614500"/>
        <n v="615000"/>
        <n v="616800"/>
        <n v="617000"/>
        <n v="617387"/>
        <n v="620000"/>
        <n v="621000"/>
        <n v="622500"/>
        <n v="623000"/>
        <n v="624900"/>
        <n v="625000"/>
        <n v="625995"/>
        <n v="626000"/>
        <n v="626500"/>
        <n v="628195"/>
        <n v="629000"/>
        <n v="629900"/>
        <n v="630000"/>
        <n v="630500"/>
        <n v="632000"/>
        <n v="634900"/>
        <n v="635000"/>
        <n v="635500"/>
        <n v="636952"/>
        <n v="637000"/>
        <n v="639000"/>
        <n v="639900"/>
        <n v="640000"/>
        <n v="640893"/>
        <n v="641000"/>
        <n v="643000"/>
        <n v="645000"/>
        <n v="645750"/>
        <n v="649000"/>
        <n v="649990"/>
        <n v="650000"/>
        <n v="650500"/>
        <n v="653990"/>
        <n v="654500"/>
        <n v="655000"/>
        <n v="656000"/>
        <n v="658790"/>
        <n v="659000"/>
        <n v="660000"/>
        <n v="661000"/>
        <n v="661100"/>
        <n v="663000"/>
        <n v="665000"/>
        <n v="665755"/>
        <n v="668000"/>
        <n v="670000"/>
        <n v="672000"/>
        <n v="673000"/>
        <n v="675000"/>
        <n v="679000"/>
        <n v="679900"/>
        <n v="680000"/>
        <n v="685000"/>
        <n v="690000"/>
        <n v="691500"/>
        <n v="695000"/>
        <n v="700000"/>
        <n v="702500"/>
        <n v="705000"/>
        <n v="709990"/>
        <n v="710000"/>
        <n v="712000"/>
        <n v="713000"/>
        <n v="715000"/>
        <n v="718000"/>
        <n v="721000"/>
        <n v="722000"/>
        <n v="724900"/>
        <n v="725000"/>
        <n v="730000"/>
        <n v="732000"/>
        <n v="735000"/>
        <n v="736950"/>
        <n v="737000"/>
        <n v="739900"/>
        <n v="739990"/>
        <n v="740000"/>
        <n v="749000"/>
        <n v="750000"/>
        <n v="751000"/>
        <n v="754200"/>
        <n v="755000"/>
        <n v="760000"/>
        <n v="765000"/>
        <n v="770000"/>
        <n v="775000"/>
        <n v="776000"/>
        <n v="780000"/>
        <n v="784000"/>
        <n v="785000"/>
        <n v="787000"/>
        <n v="795000"/>
        <n v="799900"/>
        <n v="800000"/>
        <n v="804932"/>
        <n v="805000"/>
        <n v="807500"/>
        <n v="810000"/>
        <n v="815000"/>
        <n v="815750"/>
        <n v="818073"/>
        <n v="820000"/>
        <n v="825000"/>
        <n v="830000"/>
        <n v="849000"/>
        <n v="850000"/>
        <n v="860000"/>
        <n v="865000"/>
        <n v="867000"/>
        <n v="869165"/>
        <n v="869900"/>
        <n v="870000"/>
        <n v="875000"/>
        <n v="880000"/>
        <n v="888900"/>
        <n v="890000"/>
        <n v="891888"/>
        <n v="895000"/>
        <n v="900000"/>
        <n v="905000"/>
        <n v="915000"/>
        <n v="920000"/>
        <n v="922000"/>
        <n v="925000"/>
        <n v="930000"/>
        <n v="935000"/>
        <n v="939900"/>
        <n v="940000"/>
        <n v="945000"/>
        <n v="950000"/>
        <n v="955000"/>
        <n v="956000"/>
        <n v="961288"/>
        <n v="962000"/>
        <n v="965000"/>
        <n v="970000"/>
        <n v="973000"/>
        <n v="979999"/>
        <n v="981000"/>
        <n v="982934"/>
        <n v="985000"/>
        <n v="990000"/>
        <n v="992000"/>
        <n v="999000"/>
        <n v="1000000"/>
        <n v="1006000"/>
        <n v="1010000"/>
        <n v="1025000"/>
        <n v="1031000"/>
        <n v="1062500"/>
        <n v="1071000"/>
        <n v="1075000"/>
        <n v="1078900"/>
        <n v="1088000"/>
        <n v="1090000"/>
        <n v="1100000"/>
        <n v="1130000"/>
        <n v="1145000"/>
        <n v="1150000"/>
        <n v="1160000"/>
        <n v="1169000"/>
        <n v="1175000"/>
        <n v="1177000"/>
        <n v="1200000"/>
        <n v="1242500"/>
        <n v="1245004"/>
        <n v="1255060"/>
        <n v="1259000"/>
        <n v="1275000"/>
        <n v="1287500"/>
        <n v="1300000"/>
        <n v="1319959"/>
        <n v="1330000"/>
        <n v="1350000"/>
        <n v="1355000"/>
        <n v="1380000"/>
        <n v="1400000"/>
        <n v="1425000"/>
        <n v="1450000"/>
        <n v="1500000"/>
        <n v="1525000"/>
        <n v="1550000"/>
        <n v="1592000"/>
        <n v="1594000"/>
        <n v="1595000"/>
        <n v="1600000"/>
        <n v="1625000"/>
        <n v="1650000"/>
        <n v="1660000"/>
        <n v="1700000"/>
        <n v="1725000"/>
        <n v="1775000"/>
        <n v="1825000"/>
        <n v="1950000"/>
        <n v="1971300"/>
        <n v="1993472"/>
        <n v="2202555"/>
        <n v="2400000"/>
        <n v="2450000"/>
        <n v="2542500"/>
        <n v="2550000"/>
        <n v="2650000"/>
        <n v="2698000"/>
        <n v="2795000"/>
        <n v="2950000"/>
        <n v="3000000"/>
        <n v="3125000"/>
        <n v="3250000"/>
        <n v="3400000"/>
        <n v="3500000"/>
        <n v="3700000"/>
        <n v="4500000"/>
        <n v="5000000"/>
        <n v="17000"/>
        <n v="20000"/>
        <n v="35000"/>
        <n v="41500"/>
        <n v="49000"/>
        <n v="50000"/>
        <n v="52000"/>
        <n v="55500"/>
        <n v="60500"/>
        <n v="61000"/>
        <n v="62000"/>
        <n v="63000"/>
        <n v="64000"/>
        <n v="67750"/>
        <n v="68168"/>
        <n v="69000"/>
        <n v="69500"/>
        <n v="73750"/>
        <n v="74900"/>
        <n v="75200"/>
        <n v="77600"/>
        <n v="78000"/>
        <n v="82500"/>
        <n v="83750"/>
        <n v="84000"/>
        <n v="86000"/>
        <n v="86500"/>
        <n v="87000"/>
        <n v="87500"/>
        <n v="88000"/>
        <n v="88616"/>
        <n v="91000"/>
        <n v="91400"/>
        <n v="93500"/>
        <n v="96000"/>
        <n v="97000"/>
        <n v="99000"/>
        <n v="101000"/>
        <n v="101200"/>
        <n v="102000"/>
        <n v="106500"/>
        <n v="107950"/>
        <n v="108000"/>
        <n v="109000"/>
        <n v="112000"/>
        <n v="112500"/>
        <n v="115500"/>
        <n v="117000"/>
        <n v="117500"/>
        <n v="118500"/>
        <n v="119900"/>
        <n v="120500"/>
        <n v="121000"/>
        <n v="121500"/>
        <n v="122000"/>
        <n v="123000"/>
        <n v="123501"/>
        <n v="124000"/>
        <n v="126500"/>
        <n v="127000"/>
        <n v="131000"/>
        <n v="132000"/>
        <n v="133000"/>
        <n v="134000"/>
        <n v="134800"/>
        <n v="136000"/>
        <n v="139500"/>
        <n v="141500"/>
        <n v="142500"/>
        <n v="143000"/>
        <n v="143500"/>
        <n v="144900"/>
        <n v="145921"/>
        <n v="147500"/>
        <n v="149896"/>
        <n v="151100"/>
        <n v="152100"/>
        <n v="152900"/>
        <n v="155500"/>
        <n v="157000"/>
        <n v="157100"/>
        <n v="157400"/>
        <n v="157900"/>
        <n v="158300"/>
        <n v="158800"/>
        <n v="159000"/>
        <n v="159900"/>
        <n v="160500"/>
        <n v="160875"/>
        <n v="162500"/>
        <n v="164000"/>
        <n v="164500"/>
        <n v="166000"/>
        <n v="168000"/>
        <n v="169750"/>
        <n v="173000"/>
        <n v="175050"/>
        <n v="175500"/>
        <n v="179899"/>
        <n v="182000"/>
        <n v="182900"/>
        <n v="184000"/>
        <n v="184500"/>
        <n v="188000"/>
        <n v="189900"/>
        <n v="194500"/>
        <n v="198200"/>
        <n v="199999"/>
        <n v="204900"/>
        <n v="205400"/>
        <n v="211500"/>
        <n v="213400"/>
        <n v="214000"/>
        <n v="216600"/>
        <n v="217000"/>
        <n v="219000"/>
        <n v="220001"/>
        <n v="222200"/>
        <n v="223000"/>
        <n v="224500"/>
        <n v="224900"/>
        <n v="225500"/>
        <n v="229500"/>
        <n v="229900"/>
        <n v="236500"/>
        <n v="237150"/>
        <n v="238500"/>
        <n v="244400"/>
        <n v="249550"/>
        <n v="251500"/>
        <n v="258000"/>
        <n v="258500"/>
        <n v="261500"/>
        <n v="264250"/>
        <n v="264750"/>
        <n v="267000"/>
        <n v="268500"/>
        <n v="269500"/>
        <n v="272500"/>
        <n v="273000"/>
        <n v="276000"/>
        <n v="276400"/>
        <n v="277000"/>
        <n v="277500"/>
        <n v="279900"/>
        <n v="280125"/>
        <n v="281500"/>
        <n v="283500"/>
        <n v="286000"/>
        <n v="288500"/>
        <n v="292800"/>
        <n v="294000"/>
        <n v="294500"/>
        <n v="295500"/>
        <n v="296000"/>
        <n v="296500"/>
        <n v="298900"/>
        <n v="305100"/>
        <n v="309900"/>
        <n v="310500"/>
        <n v="313500"/>
        <n v="318500"/>
        <n v="321000"/>
        <n v="324000"/>
        <n v="324795"/>
        <n v="326000"/>
        <n v="331500"/>
        <n v="332000"/>
        <n v="333000"/>
        <n v="333500"/>
        <n v="344000"/>
        <n v="350840"/>
        <n v="352100"/>
        <n v="359000"/>
        <n v="359900"/>
        <n v="363000"/>
        <n v="364400"/>
        <n v="365100"/>
        <n v="365900"/>
        <n v="369900"/>
        <n v="371800"/>
        <n v="377500"/>
        <n v="380500"/>
        <n v="391000"/>
        <n v="391888"/>
        <n v="392000"/>
        <n v="394000"/>
        <n v="394500"/>
        <n v="397000"/>
        <n v="398000"/>
        <n v="402900"/>
        <n v="408100"/>
        <n v="410100"/>
        <n v="412430"/>
        <n v="413625"/>
        <n v="415900"/>
        <n v="418421"/>
        <n v="420125"/>
        <n v="422000"/>
        <n v="434000"/>
        <n v="437000"/>
        <n v="439725"/>
        <n v="440560"/>
        <n v="443415"/>
        <n v="444900"/>
        <n v="446275"/>
        <n v="449797"/>
        <n v="449900"/>
        <n v="454900"/>
        <n v="456325"/>
        <n v="459900"/>
        <n v="461143"/>
        <n v="462697"/>
        <n v="463000"/>
        <n v="473500"/>
        <n v="473565"/>
        <n v="476019"/>
        <n v="477500"/>
        <n v="478000"/>
        <n v="487475"/>
        <n v="487900"/>
        <n v="492060"/>
        <n v="541470"/>
        <n v="543632"/>
        <n v="546000"/>
        <n v="546500"/>
        <n v="549900"/>
        <n v="551950"/>
        <n v="557500"/>
        <n v="559877"/>
        <n v="566000"/>
        <n v="566990"/>
        <n v="567760"/>
        <n v="569600"/>
        <n v="580000"/>
        <n v="594900"/>
        <n v="595900"/>
        <n v="597000"/>
        <n v="597662"/>
        <n v="599400"/>
        <n v="605000"/>
        <n v="605206"/>
        <n v="609900"/>
        <n v="612000"/>
        <n v="622000"/>
        <n v="635005"/>
        <n v="649800"/>
        <n v="652225"/>
        <n v="664990"/>
        <n v="673592"/>
        <n v="706000"/>
        <n v="749900"/>
        <n v="786761"/>
        <n v="837000"/>
        <n v="867851"/>
        <n v="942709"/>
        <n v="1231649"/>
        <n v="1250000"/>
        <n v="1341000"/>
        <n v="1409253"/>
        <n v="1583700"/>
        <n v="1737500"/>
        <n v="2125000"/>
      </sharedItems>
    </cacheField>
    <cacheField name="Days on Market" numFmtId="0">
      <sharedItems containsSemiMixedTypes="0" containsString="0" containsNumber="1" containsInteger="1" minValue="0" maxValue="901"/>
    </cacheField>
    <cacheField name="Beds Total" numFmtId="0">
      <sharedItems containsSemiMixedTypes="0" containsString="0" containsNumber="1" containsInteger="1" minValue="0" maxValue="9" count="10">
        <n v="4"/>
        <n v="2"/>
        <n v="3"/>
        <n v="5"/>
        <n v="8"/>
        <n v="1"/>
        <n v="6"/>
        <n v="0"/>
        <n v="9"/>
        <n v="7"/>
      </sharedItems>
    </cacheField>
    <cacheField name="Baths" numFmtId="0">
      <sharedItems containsSemiMixedTypes="0" containsString="0" containsNumber="1" minValue="0" maxValue="11.3" count="30">
        <n v="4.0999999999999996"/>
        <n v="1"/>
        <n v="2"/>
        <n v="1.1000000000000001"/>
        <n v="3.1"/>
        <n v="2.1"/>
        <n v="0"/>
        <n v="0.3"/>
        <n v="2.2000000000000002"/>
        <n v="1.2"/>
        <n v="3"/>
        <n v="1.3"/>
        <n v="4"/>
        <n v="0.1"/>
        <n v="3.2"/>
        <n v="4.3"/>
        <n v="4.2"/>
        <n v="5.0999999999999996"/>
        <n v="3.3"/>
        <n v="0.2"/>
        <n v="6.1"/>
        <n v="5"/>
        <n v="3.4"/>
        <n v="7.1"/>
        <n v="2.4"/>
        <n v="5.3"/>
        <n v="5.2"/>
        <n v="6.2"/>
        <n v="6.3"/>
        <n v="11.3"/>
      </sharedItems>
    </cacheField>
    <cacheField name="Sq Ft" numFmtId="0">
      <sharedItems containsSemiMixedTypes="0" containsString="0" containsNumber="1" containsInteger="1" minValue="262" maxValue="9800"/>
    </cacheField>
    <cacheField name="Price per Sq Ft" numFmtId="0">
      <sharedItems containsSemiMixedTypes="0" containsString="0" containsNumber="1" minValue="9.8684210526315788" maxValue="731.8840579710145"/>
    </cacheField>
    <cacheField name="Price per Sq Ft Category" numFmtId="0">
      <sharedItems containsNonDate="0"/>
    </cacheField>
  </cacheFields>
  <extLst>
    <ext xmlns:x14="http://schemas.microsoft.com/office/spreadsheetml/2009/9/main" uri="{725AE2AE-9491-48be-B2B4-4EB974FC3084}">
      <x14:pivotCacheDefinition pivotCacheId="16522523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45">
  <r>
    <s v="6868 Essex Court"/>
    <x v="0"/>
    <x v="0"/>
    <x v="0"/>
    <n v="16"/>
    <x v="0"/>
    <x v="0"/>
    <n v="1826"/>
    <n v="136.8565169769989"/>
    <s v="Low"/>
  </r>
  <r>
    <s v="233 S EDITH Street"/>
    <x v="1"/>
    <x v="0"/>
    <x v="1"/>
    <n v="21"/>
    <x v="1"/>
    <x v="1"/>
    <n v="758"/>
    <n v="13.192612137203167"/>
    <s v="Low"/>
  </r>
  <r>
    <s v="42125  La Roi "/>
    <x v="2"/>
    <x v="0"/>
    <x v="2"/>
    <n v="77"/>
    <x v="2"/>
    <x v="2"/>
    <n v="1216"/>
    <n v="9.8684210526315788"/>
    <s v="Low"/>
  </r>
  <r>
    <s v="63 Mirabeau"/>
    <x v="3"/>
    <x v="0"/>
    <x v="3"/>
    <n v="83"/>
    <x v="1"/>
    <x v="2"/>
    <n v="1100"/>
    <n v="19.09090909090909"/>
    <s v="Low"/>
  </r>
  <r>
    <s v="68 Mirabeau"/>
    <x v="3"/>
    <x v="0"/>
    <x v="4"/>
    <n v="88"/>
    <x v="1"/>
    <x v="2"/>
    <n v="1100"/>
    <n v="26.363636363636363"/>
    <s v="Low"/>
  </r>
  <r>
    <s v="3710 Elm Court"/>
    <x v="4"/>
    <x v="0"/>
    <x v="5"/>
    <n v="126"/>
    <x v="2"/>
    <x v="2"/>
    <n v="1352"/>
    <n v="28.106508875739646"/>
    <s v="Low"/>
  </r>
  <r>
    <s v="157 W HOWARD Street"/>
    <x v="1"/>
    <x v="0"/>
    <x v="6"/>
    <n v="14"/>
    <x v="0"/>
    <x v="2"/>
    <n v="1424"/>
    <n v="28.089887640449437"/>
    <s v="Low"/>
  </r>
  <r>
    <s v="56 DWIGHT Avenue"/>
    <x v="1"/>
    <x v="0"/>
    <x v="7"/>
    <n v="11"/>
    <x v="0"/>
    <x v="1"/>
    <n v="1161"/>
    <n v="35.314384151593451"/>
    <s v="Low"/>
  </r>
  <r>
    <s v="2700 Shimmons Road"/>
    <x v="5"/>
    <x v="0"/>
    <x v="8"/>
    <n v="111"/>
    <x v="2"/>
    <x v="2"/>
    <n v="1152"/>
    <n v="39.0625"/>
    <s v="Low"/>
  </r>
  <r>
    <s v="24 MARY DAY Avenue"/>
    <x v="1"/>
    <x v="0"/>
    <x v="9"/>
    <n v="10"/>
    <x v="0"/>
    <x v="3"/>
    <n v="1143"/>
    <n v="41.119860017497814"/>
    <s v="Low"/>
  </r>
  <r>
    <s v="256 W KENNETT Road"/>
    <x v="1"/>
    <x v="0"/>
    <x v="10"/>
    <n v="23"/>
    <x v="1"/>
    <x v="1"/>
    <n v="958"/>
    <n v="52.71398747390397"/>
    <s v="Low"/>
  </r>
  <r>
    <s v="621 ARDMORE Drive"/>
    <x v="6"/>
    <x v="0"/>
    <x v="11"/>
    <n v="1"/>
    <x v="1"/>
    <x v="1"/>
    <n v="773"/>
    <n v="69.857697283311779"/>
    <s v="Low"/>
  </r>
  <r>
    <s v="577 ARTHUR Avenue"/>
    <x v="1"/>
    <x v="0"/>
    <x v="12"/>
    <n v="29"/>
    <x v="2"/>
    <x v="1"/>
    <n v="1524"/>
    <n v="36.089238845144358"/>
    <s v="Low"/>
  </r>
  <r>
    <s v="500 CALIFORNIA Avenue"/>
    <x v="1"/>
    <x v="0"/>
    <x v="13"/>
    <n v="1"/>
    <x v="2"/>
    <x v="1"/>
    <n v="858"/>
    <n v="66.43356643356644"/>
    <s v="Low"/>
  </r>
  <r>
    <s v="94 N MERRIMAC Street"/>
    <x v="1"/>
    <x v="0"/>
    <x v="13"/>
    <n v="46"/>
    <x v="1"/>
    <x v="1"/>
    <n v="771"/>
    <n v="73.929961089494157"/>
    <s v="Low"/>
  </r>
  <r>
    <s v="38 EARLMOOR Boulevard"/>
    <x v="1"/>
    <x v="0"/>
    <x v="13"/>
    <n v="167"/>
    <x v="2"/>
    <x v="2"/>
    <n v="1516"/>
    <n v="37.598944591029024"/>
    <s v="Low"/>
  </r>
  <r>
    <s v="188 UNIVERSITY Drive"/>
    <x v="1"/>
    <x v="0"/>
    <x v="14"/>
    <n v="91"/>
    <x v="3"/>
    <x v="2"/>
    <n v="1759"/>
    <n v="32.97328027288232"/>
    <s v="Low"/>
  </r>
  <r>
    <s v="23084 HOOVER Avenue"/>
    <x v="7"/>
    <x v="0"/>
    <x v="15"/>
    <n v="35"/>
    <x v="1"/>
    <x v="1"/>
    <n v="673"/>
    <n v="89.153046062407128"/>
    <s v="Low"/>
  </r>
  <r>
    <s v="96 W Fairmount"/>
    <x v="1"/>
    <x v="0"/>
    <x v="16"/>
    <n v="26"/>
    <x v="1"/>
    <x v="1"/>
    <n v="862"/>
    <n v="70.997679814385151"/>
    <s v="Low"/>
  </r>
  <r>
    <s v="23147 TAWAS Avenue"/>
    <x v="7"/>
    <x v="0"/>
    <x v="17"/>
    <n v="7"/>
    <x v="1"/>
    <x v="1"/>
    <n v="769"/>
    <n v="84.525357607282189"/>
    <s v="Low"/>
  </r>
  <r>
    <s v="346 E Bernhard Avenue"/>
    <x v="7"/>
    <x v="0"/>
    <x v="18"/>
    <n v="27"/>
    <x v="1"/>
    <x v="1"/>
    <n v="643"/>
    <n v="104.97667185069984"/>
    <s v="Low"/>
  </r>
  <r>
    <s v="269 N CASS Avenue"/>
    <x v="1"/>
    <x v="0"/>
    <x v="19"/>
    <n v="78"/>
    <x v="3"/>
    <x v="2"/>
    <n v="1612"/>
    <n v="42.183622828784117"/>
    <s v="Low"/>
  </r>
  <r>
    <s v="27104 OSMUN Street"/>
    <x v="8"/>
    <x v="0"/>
    <x v="20"/>
    <n v="7"/>
    <x v="1"/>
    <x v="1"/>
    <n v="848"/>
    <n v="82.547169811320757"/>
    <s v="Low"/>
  </r>
  <r>
    <s v="498 OMAR Street"/>
    <x v="1"/>
    <x v="0"/>
    <x v="20"/>
    <n v="84"/>
    <x v="1"/>
    <x v="1"/>
    <n v="1030"/>
    <n v="67.961165048543691"/>
    <s v="Low"/>
  </r>
  <r>
    <s v="57 PARK Place"/>
    <x v="1"/>
    <x v="0"/>
    <x v="21"/>
    <n v="2"/>
    <x v="4"/>
    <x v="2"/>
    <n v="1860"/>
    <n v="38.172043010752688"/>
    <s v="Low"/>
  </r>
  <r>
    <s v="49 LEWIS Street"/>
    <x v="1"/>
    <x v="0"/>
    <x v="22"/>
    <n v="15"/>
    <x v="1"/>
    <x v="3"/>
    <n v="887"/>
    <n v="81.172491544532136"/>
    <s v="Low"/>
  </r>
  <r>
    <s v="512 Midway Avenue"/>
    <x v="1"/>
    <x v="0"/>
    <x v="23"/>
    <n v="3"/>
    <x v="1"/>
    <x v="1"/>
    <n v="930"/>
    <n v="79.569892473118273"/>
    <s v="Low"/>
  </r>
  <r>
    <s v="57 VINEWOOD Court"/>
    <x v="1"/>
    <x v="0"/>
    <x v="24"/>
    <n v="86"/>
    <x v="2"/>
    <x v="1"/>
    <n v="1128"/>
    <n v="65.744680851063833"/>
    <s v="Low"/>
  </r>
  <r>
    <s v="725 CORTWRIGHT Street"/>
    <x v="1"/>
    <x v="0"/>
    <x v="25"/>
    <n v="6"/>
    <x v="2"/>
    <x v="1"/>
    <n v="739"/>
    <n v="101.48849797023004"/>
    <s v="Low"/>
  </r>
  <r>
    <s v="405 Broadway Street"/>
    <x v="1"/>
    <x v="0"/>
    <x v="26"/>
    <n v="8"/>
    <x v="1"/>
    <x v="1"/>
    <n v="912"/>
    <n v="83.333333333333329"/>
    <s v="Low"/>
  </r>
  <r>
    <s v="1435 E BERNHARD Avenue"/>
    <x v="7"/>
    <x v="0"/>
    <x v="27"/>
    <n v="4"/>
    <x v="1"/>
    <x v="1"/>
    <n v="707"/>
    <n v="113.15417256011315"/>
    <s v="Low"/>
  </r>
  <r>
    <s v="1125 VOORHEIS Street"/>
    <x v="1"/>
    <x v="0"/>
    <x v="27"/>
    <n v="20"/>
    <x v="2"/>
    <x v="1"/>
    <n v="1003"/>
    <n v="79.760717846460622"/>
    <s v="Low"/>
  </r>
  <r>
    <s v="454 W MADGE Avenue"/>
    <x v="7"/>
    <x v="0"/>
    <x v="27"/>
    <n v="0"/>
    <x v="2"/>
    <x v="1"/>
    <n v="964"/>
    <n v="82.987551867219921"/>
    <s v="Low"/>
  </r>
  <r>
    <s v="16257 DERBY Circle"/>
    <x v="9"/>
    <x v="0"/>
    <x v="27"/>
    <n v="173"/>
    <x v="2"/>
    <x v="2"/>
    <n v="1904"/>
    <n v="42.016806722689076"/>
    <s v="Low"/>
  </r>
  <r>
    <s v="3446 DUFFIELD Street"/>
    <x v="10"/>
    <x v="0"/>
    <x v="28"/>
    <n v="26"/>
    <x v="0"/>
    <x v="2"/>
    <n v="1337"/>
    <n v="60.209424083769633"/>
    <s v="Low"/>
  </r>
  <r>
    <s v="30 E SHEFFIELD Avenue"/>
    <x v="1"/>
    <x v="0"/>
    <x v="29"/>
    <n v="135"/>
    <x v="1"/>
    <x v="1"/>
    <n v="739"/>
    <n v="109.60757780784844"/>
    <s v="Low"/>
  </r>
  <r>
    <s v="68 HENRY CLAY Avenue"/>
    <x v="1"/>
    <x v="0"/>
    <x v="30"/>
    <n v="27"/>
    <x v="0"/>
    <x v="2"/>
    <n v="2331"/>
    <n v="35.178035178035181"/>
    <s v="Low"/>
  </r>
  <r>
    <s v="829 BAY Street"/>
    <x v="1"/>
    <x v="0"/>
    <x v="31"/>
    <n v="6"/>
    <x v="0"/>
    <x v="3"/>
    <n v="1215"/>
    <n v="68.312757201646093"/>
    <s v="Low"/>
  </r>
  <r>
    <s v="1621 E MEYERS Avenue"/>
    <x v="7"/>
    <x v="0"/>
    <x v="32"/>
    <n v="114"/>
    <x v="1"/>
    <x v="1"/>
    <n v="685"/>
    <n v="124.08759124087591"/>
    <s v="Low"/>
  </r>
  <r>
    <s v="674 E MANSFIELD Avenue"/>
    <x v="1"/>
    <x v="0"/>
    <x v="33"/>
    <n v="48"/>
    <x v="1"/>
    <x v="1"/>
    <n v="1085"/>
    <n v="82.027649769585253"/>
    <s v="Low"/>
  </r>
  <r>
    <s v="26803 WOLVERINE Street"/>
    <x v="8"/>
    <x v="0"/>
    <x v="34"/>
    <n v="62"/>
    <x v="5"/>
    <x v="1"/>
    <n v="792"/>
    <n v="112.75252525252525"/>
    <s v="Low"/>
  </r>
  <r>
    <s v="1064 MYRTLE Avenue"/>
    <x v="0"/>
    <x v="0"/>
    <x v="35"/>
    <n v="24"/>
    <x v="2"/>
    <x v="1"/>
    <n v="880"/>
    <n v="102.27272727272727"/>
    <s v="Low"/>
  </r>
  <r>
    <s v="132 E Howard Street"/>
    <x v="1"/>
    <x v="0"/>
    <x v="35"/>
    <n v="231"/>
    <x v="6"/>
    <x v="4"/>
    <n v="1600"/>
    <n v="56.25"/>
    <s v="Low"/>
  </r>
  <r>
    <s v="396 HIGHLAND Avenue"/>
    <x v="1"/>
    <x v="0"/>
    <x v="35"/>
    <n v="35"/>
    <x v="1"/>
    <x v="1"/>
    <n v="731"/>
    <n v="123.11901504787961"/>
    <s v="Low"/>
  </r>
  <r>
    <s v="96 N Roselawn Street"/>
    <x v="1"/>
    <x v="0"/>
    <x v="35"/>
    <n v="76"/>
    <x v="2"/>
    <x v="1"/>
    <n v="1009"/>
    <n v="89.197224975222994"/>
    <s v="Low"/>
  </r>
  <r>
    <s v="986 BERWICK Boulevard"/>
    <x v="1"/>
    <x v="0"/>
    <x v="36"/>
    <n v="2"/>
    <x v="2"/>
    <x v="1"/>
    <n v="948"/>
    <n v="97.046413502109701"/>
    <s v="Low"/>
  </r>
  <r>
    <s v="39 PORTAGE Street"/>
    <x v="1"/>
    <x v="0"/>
    <x v="37"/>
    <n v="14"/>
    <x v="1"/>
    <x v="1"/>
    <n v="988"/>
    <n v="93.917004048582996"/>
    <s v="Low"/>
  </r>
  <r>
    <s v="21024 Ontaga Street"/>
    <x v="11"/>
    <x v="0"/>
    <x v="38"/>
    <n v="3"/>
    <x v="2"/>
    <x v="5"/>
    <n v="1484"/>
    <n v="62.668463611859835"/>
    <s v="Low"/>
  </r>
  <r>
    <s v="664 SCOTTWOOD Street"/>
    <x v="1"/>
    <x v="0"/>
    <x v="38"/>
    <n v="93"/>
    <x v="2"/>
    <x v="2"/>
    <n v="995"/>
    <n v="93.467336683417088"/>
    <s v="Low"/>
  </r>
  <r>
    <s v="21335 Negaunee"/>
    <x v="12"/>
    <x v="0"/>
    <x v="39"/>
    <n v="9"/>
    <x v="2"/>
    <x v="1"/>
    <n v="852"/>
    <n v="110.32863849765258"/>
    <s v="Low"/>
  </r>
  <r>
    <s v="521 HARPER Street"/>
    <x v="1"/>
    <x v="0"/>
    <x v="40"/>
    <n v="18"/>
    <x v="1"/>
    <x v="1"/>
    <n v="1057"/>
    <n v="89.782403027436146"/>
    <s v="Low"/>
  </r>
  <r>
    <s v="124 KEMP Street"/>
    <x v="1"/>
    <x v="0"/>
    <x v="41"/>
    <n v="5"/>
    <x v="2"/>
    <x v="2"/>
    <n v="1284"/>
    <n v="73.987538940809969"/>
    <s v="Low"/>
  </r>
  <r>
    <s v="1069 BROWN Road"/>
    <x v="13"/>
    <x v="0"/>
    <x v="41"/>
    <n v="4"/>
    <x v="1"/>
    <x v="1"/>
    <n v="870"/>
    <n v="109.19540229885058"/>
    <s v="Low"/>
  </r>
  <r>
    <s v="887 Woodland"/>
    <x v="1"/>
    <x v="0"/>
    <x v="41"/>
    <n v="34"/>
    <x v="1"/>
    <x v="1"/>
    <n v="786"/>
    <n v="120.86513994910942"/>
    <s v="Low"/>
  </r>
  <r>
    <s v="8236 Dickert Street"/>
    <x v="14"/>
    <x v="0"/>
    <x v="42"/>
    <n v="49"/>
    <x v="7"/>
    <x v="6"/>
    <n v="468"/>
    <n v="204.05982905982907"/>
    <s v="Medium"/>
  </r>
  <r>
    <s v="469 S JESSIE Street"/>
    <x v="1"/>
    <x v="0"/>
    <x v="43"/>
    <n v="17"/>
    <x v="2"/>
    <x v="1"/>
    <n v="1007"/>
    <n v="95.8291956305859"/>
    <s v="Low"/>
  </r>
  <r>
    <s v="14041 W 10 MILE Road"/>
    <x v="15"/>
    <x v="0"/>
    <x v="44"/>
    <n v="4"/>
    <x v="2"/>
    <x v="1"/>
    <n v="1109"/>
    <n v="87.917042380523"/>
    <s v="Low"/>
  </r>
  <r>
    <s v="10741 CORNING Street"/>
    <x v="15"/>
    <x v="0"/>
    <x v="45"/>
    <n v="2"/>
    <x v="2"/>
    <x v="1"/>
    <n v="828"/>
    <n v="120.65217391304348"/>
    <s v="Low"/>
  </r>
  <r>
    <s v="146 W TENNYSON Avenue"/>
    <x v="1"/>
    <x v="0"/>
    <x v="45"/>
    <n v="58"/>
    <x v="2"/>
    <x v="1"/>
    <n v="930"/>
    <n v="107.41935483870968"/>
    <s v="Low"/>
  </r>
  <r>
    <s v="511 E PIKE Street"/>
    <x v="1"/>
    <x v="0"/>
    <x v="46"/>
    <n v="4"/>
    <x v="1"/>
    <x v="1"/>
    <n v="943"/>
    <n v="106.04453870625663"/>
    <s v="Low"/>
  </r>
  <r>
    <s v="103 Calvert Avenue"/>
    <x v="0"/>
    <x v="0"/>
    <x v="46"/>
    <n v="20"/>
    <x v="5"/>
    <x v="1"/>
    <n v="543"/>
    <n v="184.16206261510129"/>
    <s v="Low"/>
  </r>
  <r>
    <s v="982 Dewey Street"/>
    <x v="1"/>
    <x v="0"/>
    <x v="46"/>
    <n v="132"/>
    <x v="2"/>
    <x v="1"/>
    <n v="915"/>
    <n v="109.2896174863388"/>
    <s v="Low"/>
  </r>
  <r>
    <s v="197 Crystal lake Drive"/>
    <x v="1"/>
    <x v="0"/>
    <x v="47"/>
    <n v="42"/>
    <x v="2"/>
    <x v="1"/>
    <n v="1477"/>
    <n v="68.043331076506433"/>
    <s v="Low"/>
  </r>
  <r>
    <s v="576 MONTANA Avenue"/>
    <x v="1"/>
    <x v="0"/>
    <x v="48"/>
    <n v="4"/>
    <x v="1"/>
    <x v="1"/>
    <n v="723"/>
    <n v="142.46196403872753"/>
    <s v="Low"/>
  </r>
  <r>
    <s v="1552 E GRANET Avenue"/>
    <x v="7"/>
    <x v="0"/>
    <x v="49"/>
    <n v="280"/>
    <x v="1"/>
    <x v="1"/>
    <n v="700"/>
    <n v="149.85714285714286"/>
    <s v="Low"/>
  </r>
  <r>
    <s v="440 E Lake Street"/>
    <x v="16"/>
    <x v="0"/>
    <x v="50"/>
    <n v="21"/>
    <x v="0"/>
    <x v="2"/>
    <n v="1675"/>
    <n v="62.686567164179102"/>
    <s v="Low"/>
  </r>
  <r>
    <s v="351 E Evelyn"/>
    <x v="7"/>
    <x v="0"/>
    <x v="50"/>
    <n v="8"/>
    <x v="1"/>
    <x v="1"/>
    <n v="786"/>
    <n v="133.58778625954199"/>
    <s v="Low"/>
  </r>
  <r>
    <s v="20200 WESTHAMPTON Avenue"/>
    <x v="12"/>
    <x v="0"/>
    <x v="50"/>
    <n v="51"/>
    <x v="1"/>
    <x v="1"/>
    <n v="895"/>
    <n v="117.31843575418995"/>
    <s v="Low"/>
  </r>
  <r>
    <s v="421 4th Avenue"/>
    <x v="1"/>
    <x v="0"/>
    <x v="51"/>
    <n v="3"/>
    <x v="2"/>
    <x v="2"/>
    <n v="1310"/>
    <n v="81.679389312977094"/>
    <s v="Low"/>
  </r>
  <r>
    <s v="113 E RUTGERS Avenue"/>
    <x v="1"/>
    <x v="0"/>
    <x v="52"/>
    <n v="32"/>
    <x v="1"/>
    <x v="1"/>
    <n v="791"/>
    <n v="139.06447534766119"/>
    <s v="Low"/>
  </r>
  <r>
    <s v="456 Nevada Avenue"/>
    <x v="1"/>
    <x v="0"/>
    <x v="52"/>
    <n v="69"/>
    <x v="1"/>
    <x v="1"/>
    <n v="727"/>
    <n v="151.30674002751033"/>
    <s v="Low"/>
  </r>
  <r>
    <s v="226 N JOHNSON Street"/>
    <x v="1"/>
    <x v="0"/>
    <x v="52"/>
    <n v="83"/>
    <x v="2"/>
    <x v="2"/>
    <n v="1039"/>
    <n v="105.87102983638114"/>
    <s v="Low"/>
  </r>
  <r>
    <s v="46 E SHEFFIELD Avenue"/>
    <x v="1"/>
    <x v="0"/>
    <x v="52"/>
    <n v="20"/>
    <x v="1"/>
    <x v="1"/>
    <n v="846"/>
    <n v="130.02364066193854"/>
    <s v="Low"/>
  </r>
  <r>
    <s v="90 VIRGINIA Street"/>
    <x v="1"/>
    <x v="0"/>
    <x v="52"/>
    <n v="139"/>
    <x v="0"/>
    <x v="2"/>
    <n v="1851"/>
    <n v="59.427336574824416"/>
    <s v="Low"/>
  </r>
  <r>
    <s v="654 E MANSFIELD Avenue"/>
    <x v="1"/>
    <x v="0"/>
    <x v="53"/>
    <n v="11"/>
    <x v="2"/>
    <x v="1"/>
    <n v="842"/>
    <n v="131.82897862232778"/>
    <s v="Low"/>
  </r>
  <r>
    <s v="19871 Albany Avenue"/>
    <x v="12"/>
    <x v="0"/>
    <x v="54"/>
    <n v="7"/>
    <x v="2"/>
    <x v="2"/>
    <n v="262"/>
    <n v="431.29770992366412"/>
    <s v="High"/>
  </r>
  <r>
    <s v="22104 BERG Road"/>
    <x v="12"/>
    <x v="0"/>
    <x v="55"/>
    <n v="12"/>
    <x v="2"/>
    <x v="1"/>
    <n v="1472"/>
    <n v="78.125"/>
    <s v="Low"/>
  </r>
  <r>
    <s v="82 CADILLAC Street"/>
    <x v="1"/>
    <x v="0"/>
    <x v="55"/>
    <n v="14"/>
    <x v="0"/>
    <x v="1"/>
    <n v="1275"/>
    <n v="90.196078431372555"/>
    <s v="Low"/>
  </r>
  <r>
    <s v="23066 Vance Avenue"/>
    <x v="7"/>
    <x v="0"/>
    <x v="55"/>
    <n v="33"/>
    <x v="1"/>
    <x v="1"/>
    <n v="716"/>
    <n v="160.61452513966481"/>
    <s v="Low"/>
  </r>
  <r>
    <s v="2543 Harrison"/>
    <x v="3"/>
    <x v="0"/>
    <x v="55"/>
    <n v="20"/>
    <x v="1"/>
    <x v="1"/>
    <n v="650"/>
    <n v="176.92307692307693"/>
    <s v="Low"/>
  </r>
  <r>
    <s v="160 OGEMAW Road"/>
    <x v="1"/>
    <x v="0"/>
    <x v="55"/>
    <n v="87"/>
    <x v="2"/>
    <x v="1"/>
    <n v="1120"/>
    <n v="102.67857142857143"/>
    <s v="Low"/>
  </r>
  <r>
    <s v="21428 CALEDONIA Avenue"/>
    <x v="7"/>
    <x v="0"/>
    <x v="56"/>
    <n v="41"/>
    <x v="1"/>
    <x v="1"/>
    <n v="900"/>
    <n v="131.11111111111111"/>
    <s v="Low"/>
  </r>
  <r>
    <s v="142 W BRICKLEY Avenue"/>
    <x v="7"/>
    <x v="0"/>
    <x v="57"/>
    <n v="7"/>
    <x v="3"/>
    <x v="2"/>
    <n v="1494"/>
    <n v="80.321285140562253"/>
    <s v="Low"/>
  </r>
  <r>
    <s v="27304 GROVELAND Street"/>
    <x v="8"/>
    <x v="0"/>
    <x v="57"/>
    <n v="13"/>
    <x v="1"/>
    <x v="1"/>
    <n v="630"/>
    <n v="190.47619047619048"/>
    <s v="Low"/>
  </r>
  <r>
    <s v="26451 LORENZ Street"/>
    <x v="8"/>
    <x v="0"/>
    <x v="57"/>
    <n v="67"/>
    <x v="1"/>
    <x v="1"/>
    <n v="864"/>
    <n v="138.88888888888889"/>
    <s v="Low"/>
  </r>
  <r>
    <s v="155 EARLMOOR Boulevard"/>
    <x v="1"/>
    <x v="0"/>
    <x v="57"/>
    <n v="77"/>
    <x v="2"/>
    <x v="1"/>
    <n v="1024"/>
    <n v="117.1875"/>
    <s v="Low"/>
  </r>
  <r>
    <s v="22041 JEROME Street"/>
    <x v="15"/>
    <x v="0"/>
    <x v="57"/>
    <n v="97"/>
    <x v="1"/>
    <x v="1"/>
    <n v="1372"/>
    <n v="87.463556851311949"/>
    <s v="Low"/>
  </r>
  <r>
    <s v="68 Omar Street"/>
    <x v="1"/>
    <x v="0"/>
    <x v="57"/>
    <n v="90"/>
    <x v="2"/>
    <x v="3"/>
    <n v="1000"/>
    <n v="120"/>
    <s v="Low"/>
  </r>
  <r>
    <s v="4021 N DUCK LAKE Road"/>
    <x v="17"/>
    <x v="0"/>
    <x v="57"/>
    <n v="103"/>
    <x v="3"/>
    <x v="2"/>
    <n v="2026"/>
    <n v="59.230009871668315"/>
    <s v="Low"/>
  </r>
  <r>
    <s v="21601 Poinciana Street"/>
    <x v="12"/>
    <x v="0"/>
    <x v="58"/>
    <n v="23"/>
    <x v="7"/>
    <x v="6"/>
    <n v="1200"/>
    <n v="102.08333333333333"/>
    <s v="Low"/>
  </r>
  <r>
    <s v="734 PARKWOOD Avenue"/>
    <x v="1"/>
    <x v="0"/>
    <x v="59"/>
    <n v="16"/>
    <x v="2"/>
    <x v="2"/>
    <n v="1438"/>
    <n v="85.621001390820581"/>
    <s v="Low"/>
  </r>
  <r>
    <s v="307 3RD Avenue"/>
    <x v="1"/>
    <x v="0"/>
    <x v="60"/>
    <n v="28"/>
    <x v="2"/>
    <x v="1"/>
    <n v="924"/>
    <n v="135.17316017316017"/>
    <s v="Low"/>
  </r>
  <r>
    <s v="902 MELROSE Street"/>
    <x v="1"/>
    <x v="0"/>
    <x v="61"/>
    <n v="8"/>
    <x v="1"/>
    <x v="3"/>
    <n v="1200"/>
    <n v="104.16666666666667"/>
    <s v="Low"/>
  </r>
  <r>
    <s v="21000 MADA Avenue"/>
    <x v="12"/>
    <x v="0"/>
    <x v="61"/>
    <n v="82"/>
    <x v="1"/>
    <x v="1"/>
    <n v="1224"/>
    <n v="102.12418300653594"/>
    <s v="Low"/>
  </r>
  <r>
    <s v="1117 Cherrylawn  Drive"/>
    <x v="1"/>
    <x v="0"/>
    <x v="61"/>
    <n v="44"/>
    <x v="1"/>
    <x v="1"/>
    <n v="845"/>
    <n v="147.92899408284023"/>
    <s v="Low"/>
  </r>
  <r>
    <s v="30829 FAIRFAX Street"/>
    <x v="12"/>
    <x v="0"/>
    <x v="61"/>
    <n v="3"/>
    <x v="2"/>
    <x v="1"/>
    <n v="1122"/>
    <n v="111.40819964349376"/>
    <s v="Low"/>
  </r>
  <r>
    <s v="2890 CENTRAL Boulevard"/>
    <x v="17"/>
    <x v="0"/>
    <x v="61"/>
    <n v="50"/>
    <x v="1"/>
    <x v="1"/>
    <n v="1018"/>
    <n v="122.78978388998036"/>
    <s v="Low"/>
  </r>
  <r>
    <s v="13 OSCEOLA Drive"/>
    <x v="1"/>
    <x v="0"/>
    <x v="61"/>
    <n v="210"/>
    <x v="0"/>
    <x v="2"/>
    <n v="2078"/>
    <n v="60.153994225216557"/>
    <s v="Low"/>
  </r>
  <r>
    <s v="277 Nebraska Avenue"/>
    <x v="1"/>
    <x v="0"/>
    <x v="62"/>
    <n v="9"/>
    <x v="2"/>
    <x v="1"/>
    <n v="1004"/>
    <n v="125.4980079681275"/>
    <s v="Low"/>
  </r>
  <r>
    <s v="1754 E MADGE"/>
    <x v="7"/>
    <x v="0"/>
    <x v="62"/>
    <n v="10"/>
    <x v="2"/>
    <x v="1"/>
    <n v="952"/>
    <n v="132.35294117647058"/>
    <s v="Low"/>
  </r>
  <r>
    <s v="54 W PRINCETON Avenue"/>
    <x v="1"/>
    <x v="0"/>
    <x v="63"/>
    <n v="3"/>
    <x v="1"/>
    <x v="2"/>
    <n v="874"/>
    <n v="145.88100686498856"/>
    <s v="Low"/>
  </r>
  <r>
    <s v="1221 E 13 MILE Road"/>
    <x v="18"/>
    <x v="0"/>
    <x v="63"/>
    <n v="124"/>
    <x v="1"/>
    <x v="1"/>
    <n v="861"/>
    <n v="148.08362369337979"/>
    <s v="Low"/>
  </r>
  <r>
    <s v="27058 PALMER Boulevard"/>
    <x v="8"/>
    <x v="0"/>
    <x v="64"/>
    <n v="104"/>
    <x v="1"/>
    <x v="1"/>
    <n v="725"/>
    <n v="176.55172413793105"/>
    <s v="Low"/>
  </r>
  <r>
    <s v="279 MARTIN LUTHER KING JR Boulevard S"/>
    <x v="1"/>
    <x v="0"/>
    <x v="65"/>
    <n v="15"/>
    <x v="1"/>
    <x v="1"/>
    <n v="1100"/>
    <n v="117.27272727272727"/>
    <s v="Low"/>
  </r>
  <r>
    <s v="3280 WATKINS LAKE Road"/>
    <x v="0"/>
    <x v="0"/>
    <x v="66"/>
    <n v="4"/>
    <x v="1"/>
    <x v="3"/>
    <n v="1100"/>
    <n v="118.09090909090909"/>
    <s v="Low"/>
  </r>
  <r>
    <s v="381 N SAGINAW Street"/>
    <x v="1"/>
    <x v="0"/>
    <x v="67"/>
    <n v="1"/>
    <x v="3"/>
    <x v="2"/>
    <n v="2730"/>
    <n v="47.61904761904762"/>
    <s v="Low"/>
  </r>
  <r>
    <s v="10200 ALBANY Street"/>
    <x v="15"/>
    <x v="0"/>
    <x v="67"/>
    <n v="59"/>
    <x v="2"/>
    <x v="1"/>
    <n v="960"/>
    <n v="135.41666666666666"/>
    <s v="Low"/>
  </r>
  <r>
    <s v="3814 Tienken"/>
    <x v="5"/>
    <x v="0"/>
    <x v="67"/>
    <n v="5"/>
    <x v="1"/>
    <x v="1"/>
    <n v="836"/>
    <n v="155.50239234449759"/>
    <s v="Low"/>
  </r>
  <r>
    <s v="4020 Elmhurst"/>
    <x v="18"/>
    <x v="0"/>
    <x v="67"/>
    <n v="3"/>
    <x v="1"/>
    <x v="1"/>
    <n v="798"/>
    <n v="162.90726817042608"/>
    <s v="Low"/>
  </r>
  <r>
    <s v="21111 Indian Street"/>
    <x v="12"/>
    <x v="0"/>
    <x v="67"/>
    <n v="4"/>
    <x v="2"/>
    <x v="1"/>
    <n v="896"/>
    <n v="145.08928571428572"/>
    <s v="Low"/>
  </r>
  <r>
    <s v="27028 BARRINGTON Street"/>
    <x v="8"/>
    <x v="0"/>
    <x v="67"/>
    <n v="45"/>
    <x v="1"/>
    <x v="1"/>
    <n v="840"/>
    <n v="154.76190476190476"/>
    <s v="Low"/>
  </r>
  <r>
    <s v="10050 TROY Street"/>
    <x v="15"/>
    <x v="0"/>
    <x v="67"/>
    <n v="45"/>
    <x v="1"/>
    <x v="1"/>
    <n v="828"/>
    <n v="157.00483091787439"/>
    <s v="Low"/>
  </r>
  <r>
    <s v="2255 Novara Avenue"/>
    <x v="0"/>
    <x v="0"/>
    <x v="67"/>
    <n v="57"/>
    <x v="1"/>
    <x v="1"/>
    <n v="1097"/>
    <n v="118.50501367365543"/>
    <s v="Low"/>
  </r>
  <r>
    <s v="1755 E PEARL Avenue"/>
    <x v="7"/>
    <x v="0"/>
    <x v="67"/>
    <n v="249"/>
    <x v="2"/>
    <x v="1"/>
    <n v="1010"/>
    <n v="128.71287128712871"/>
    <s v="Low"/>
  </r>
  <r>
    <s v="1751 Woodward Heights"/>
    <x v="6"/>
    <x v="0"/>
    <x v="67"/>
    <n v="82"/>
    <x v="2"/>
    <x v="1"/>
    <n v="889"/>
    <n v="146.23172103487065"/>
    <s v="Low"/>
  </r>
  <r>
    <s v="365 S MARSHALL Street"/>
    <x v="1"/>
    <x v="0"/>
    <x v="67"/>
    <n v="4"/>
    <x v="2"/>
    <x v="3"/>
    <n v="1220"/>
    <n v="106.55737704918033"/>
    <s v="Low"/>
  </r>
  <r>
    <s v="1657 LEROY Street"/>
    <x v="6"/>
    <x v="0"/>
    <x v="68"/>
    <n v="18"/>
    <x v="1"/>
    <x v="1"/>
    <n v="1049"/>
    <n v="126.31077216396568"/>
    <s v="Low"/>
  </r>
  <r>
    <s v="4146 LOTUS Drive"/>
    <x v="0"/>
    <x v="0"/>
    <x v="69"/>
    <n v="24"/>
    <x v="1"/>
    <x v="1"/>
    <n v="802"/>
    <n v="168.32793017456359"/>
    <s v="Low"/>
  </r>
  <r>
    <s v="92 N Telegraph Road"/>
    <x v="1"/>
    <x v="0"/>
    <x v="70"/>
    <n v="3"/>
    <x v="2"/>
    <x v="1"/>
    <n v="1418"/>
    <n v="95.20451339915374"/>
    <s v="Low"/>
  </r>
  <r>
    <s v="23034 HAZELWOOD Avenue"/>
    <x v="7"/>
    <x v="0"/>
    <x v="70"/>
    <n v="1"/>
    <x v="1"/>
    <x v="1"/>
    <n v="780"/>
    <n v="173.07692307692307"/>
    <s v="Low"/>
  </r>
  <r>
    <s v="166 W LONGFELLOW Avenue"/>
    <x v="1"/>
    <x v="0"/>
    <x v="70"/>
    <n v="20"/>
    <x v="2"/>
    <x v="1"/>
    <n v="845"/>
    <n v="159.76331360946745"/>
    <s v="Low"/>
  </r>
  <r>
    <s v="449 W Goulson"/>
    <x v="7"/>
    <x v="0"/>
    <x v="70"/>
    <n v="33"/>
    <x v="2"/>
    <x v="1"/>
    <n v="890"/>
    <n v="151.68539325842696"/>
    <s v="Low"/>
  </r>
  <r>
    <s v="20853 GARDEN Lane"/>
    <x v="19"/>
    <x v="0"/>
    <x v="70"/>
    <n v="21"/>
    <x v="2"/>
    <x v="1"/>
    <n v="951"/>
    <n v="141.9558359621451"/>
    <s v="Low"/>
  </r>
  <r>
    <s v="1744 PATTERSON Street"/>
    <x v="20"/>
    <x v="0"/>
    <x v="70"/>
    <n v="91"/>
    <x v="5"/>
    <x v="1"/>
    <n v="940"/>
    <n v="143.61702127659575"/>
    <s v="Low"/>
  </r>
  <r>
    <s v="64 Whitfield"/>
    <x v="1"/>
    <x v="0"/>
    <x v="71"/>
    <n v="47"/>
    <x v="2"/>
    <x v="1"/>
    <n v="1062"/>
    <n v="129.00188323917138"/>
    <s v="Low"/>
  </r>
  <r>
    <s v="1645 E Goulson Avenue"/>
    <x v="7"/>
    <x v="0"/>
    <x v="72"/>
    <n v="19"/>
    <x v="2"/>
    <x v="1"/>
    <n v="983"/>
    <n v="139.87792472024415"/>
    <s v="Low"/>
  </r>
  <r>
    <s v="26616 HAMPDEN Street"/>
    <x v="8"/>
    <x v="0"/>
    <x v="72"/>
    <n v="8"/>
    <x v="1"/>
    <x v="1"/>
    <n v="574"/>
    <n v="239.54703832752614"/>
    <s v="Medium"/>
  </r>
  <r>
    <s v="5763 Graves Street"/>
    <x v="0"/>
    <x v="0"/>
    <x v="73"/>
    <n v="5"/>
    <x v="1"/>
    <x v="1"/>
    <n v="1125"/>
    <n v="122.66666666666667"/>
    <s v="Low"/>
  </r>
  <r>
    <s v="2128 ROMEO Street"/>
    <x v="6"/>
    <x v="0"/>
    <x v="73"/>
    <n v="8"/>
    <x v="1"/>
    <x v="1"/>
    <n v="585"/>
    <n v="235.89743589743588"/>
    <s v="Medium"/>
  </r>
  <r>
    <s v="970 E ROBERT Avenue"/>
    <x v="7"/>
    <x v="0"/>
    <x v="73"/>
    <n v="8"/>
    <x v="1"/>
    <x v="1"/>
    <n v="701"/>
    <n v="196.86162624821682"/>
    <s v="Low"/>
  </r>
  <r>
    <s v="377 W Elza"/>
    <x v="7"/>
    <x v="0"/>
    <x v="74"/>
    <n v="7"/>
    <x v="2"/>
    <x v="3"/>
    <n v="1232"/>
    <n v="112.41883116883118"/>
    <s v="Low"/>
  </r>
  <r>
    <s v="21105 MIDWAY Avenue"/>
    <x v="12"/>
    <x v="0"/>
    <x v="75"/>
    <n v="5"/>
    <x v="2"/>
    <x v="1"/>
    <n v="1116"/>
    <n v="125.44802867383513"/>
    <s v="Low"/>
  </r>
  <r>
    <s v="645 CENTER Ridge"/>
    <x v="16"/>
    <x v="0"/>
    <x v="75"/>
    <n v="0"/>
    <x v="2"/>
    <x v="2"/>
    <n v="992"/>
    <n v="141.12903225806451"/>
    <s v="Low"/>
  </r>
  <r>
    <s v="511 E KALAMA Avenue"/>
    <x v="8"/>
    <x v="0"/>
    <x v="75"/>
    <n v="13"/>
    <x v="1"/>
    <x v="1"/>
    <n v="1019"/>
    <n v="137.38959764474976"/>
    <s v="Low"/>
  </r>
  <r>
    <s v="22031 JEROME Street"/>
    <x v="15"/>
    <x v="0"/>
    <x v="75"/>
    <n v="0"/>
    <x v="2"/>
    <x v="1"/>
    <n v="1089"/>
    <n v="128.55831037649219"/>
    <s v="Low"/>
  </r>
  <r>
    <s v="200 STARR Avenue"/>
    <x v="1"/>
    <x v="0"/>
    <x v="75"/>
    <n v="6"/>
    <x v="1"/>
    <x v="3"/>
    <n v="936"/>
    <n v="149.57264957264957"/>
    <s v="Low"/>
  </r>
  <r>
    <s v="765 STANLEY Avenue"/>
    <x v="1"/>
    <x v="0"/>
    <x v="75"/>
    <n v="74"/>
    <x v="2"/>
    <x v="1"/>
    <n v="994"/>
    <n v="140.8450704225352"/>
    <s v="Low"/>
  </r>
  <r>
    <s v="60 MARK Avenue"/>
    <x v="1"/>
    <x v="0"/>
    <x v="75"/>
    <n v="10"/>
    <x v="7"/>
    <x v="7"/>
    <n v="1362"/>
    <n v="102.79001468428781"/>
    <s v="Low"/>
  </r>
  <r>
    <s v="75 Mathews Street"/>
    <x v="1"/>
    <x v="0"/>
    <x v="75"/>
    <n v="109"/>
    <x v="2"/>
    <x v="2"/>
    <n v="1969"/>
    <n v="71.102082275266639"/>
    <s v="Low"/>
  </r>
  <r>
    <s v="18618 W 9 MILE Road"/>
    <x v="12"/>
    <x v="0"/>
    <x v="75"/>
    <n v="33"/>
    <x v="2"/>
    <x v="3"/>
    <n v="1848"/>
    <n v="75.757575757575751"/>
    <s v="Low"/>
  </r>
  <r>
    <s v="25 MARY DAY Avenue"/>
    <x v="1"/>
    <x v="0"/>
    <x v="75"/>
    <n v="48"/>
    <x v="0"/>
    <x v="1"/>
    <n v="1503"/>
    <n v="93.147039254823682"/>
    <s v="Low"/>
  </r>
  <r>
    <s v="546 E WOODRUFF Avenue"/>
    <x v="7"/>
    <x v="0"/>
    <x v="75"/>
    <n v="108"/>
    <x v="2"/>
    <x v="1"/>
    <n v="924"/>
    <n v="151.5151515151515"/>
    <s v="Low"/>
  </r>
  <r>
    <s v="819 E Harwood"/>
    <x v="8"/>
    <x v="0"/>
    <x v="76"/>
    <n v="27"/>
    <x v="0"/>
    <x v="1"/>
    <n v="1175"/>
    <n v="120"/>
    <s v="Low"/>
  </r>
  <r>
    <s v="14211 NORTHEND Avenue"/>
    <x v="15"/>
    <x v="0"/>
    <x v="76"/>
    <n v="23"/>
    <x v="2"/>
    <x v="2"/>
    <n v="1362"/>
    <n v="103.52422907488987"/>
    <s v="Low"/>
  </r>
  <r>
    <s v="10201 SARATOGA Street"/>
    <x v="15"/>
    <x v="0"/>
    <x v="77"/>
    <n v="8"/>
    <x v="1"/>
    <x v="1"/>
    <n v="828"/>
    <n v="171.49758454106279"/>
    <s v="Low"/>
  </r>
  <r>
    <s v="27320 Osmun"/>
    <x v="8"/>
    <x v="0"/>
    <x v="78"/>
    <n v="8"/>
    <x v="1"/>
    <x v="1"/>
    <n v="750"/>
    <n v="191.86666666666667"/>
    <s v="Low"/>
  </r>
  <r>
    <s v="1111 AIRPORT Road"/>
    <x v="0"/>
    <x v="0"/>
    <x v="79"/>
    <n v="2"/>
    <x v="1"/>
    <x v="2"/>
    <n v="1179"/>
    <n v="122.13740458015268"/>
    <s v="Low"/>
  </r>
  <r>
    <s v="26147 BARRINGTON Street"/>
    <x v="8"/>
    <x v="0"/>
    <x v="80"/>
    <n v="6"/>
    <x v="1"/>
    <x v="1"/>
    <n v="707"/>
    <n v="204.38472418670437"/>
    <s v="Medium"/>
  </r>
  <r>
    <s v="2276 MONTROYAL Avenue"/>
    <x v="0"/>
    <x v="0"/>
    <x v="81"/>
    <n v="7"/>
    <x v="1"/>
    <x v="1"/>
    <n v="795"/>
    <n v="182.38993710691824"/>
    <s v="Low"/>
  </r>
  <r>
    <s v="70 W Meyers"/>
    <x v="7"/>
    <x v="0"/>
    <x v="81"/>
    <n v="25"/>
    <x v="0"/>
    <x v="1"/>
    <n v="1085"/>
    <n v="133.64055299539172"/>
    <s v="Low"/>
  </r>
  <r>
    <s v="20433 WESTOVER Avenue"/>
    <x v="12"/>
    <x v="0"/>
    <x v="81"/>
    <n v="24"/>
    <x v="2"/>
    <x v="1"/>
    <n v="1008"/>
    <n v="143.84920634920636"/>
    <s v="Low"/>
  </r>
  <r>
    <s v="72 W Milton"/>
    <x v="7"/>
    <x v="0"/>
    <x v="81"/>
    <n v="18"/>
    <x v="2"/>
    <x v="1"/>
    <n v="977"/>
    <n v="148.41351074718526"/>
    <s v="Low"/>
  </r>
  <r>
    <s v="91 THORPE Street"/>
    <x v="1"/>
    <x v="0"/>
    <x v="81"/>
    <n v="17"/>
    <x v="2"/>
    <x v="2"/>
    <n v="1430"/>
    <n v="101.3986013986014"/>
    <s v="Low"/>
  </r>
  <r>
    <s v="1107 E HUDSON Avenue"/>
    <x v="8"/>
    <x v="0"/>
    <x v="82"/>
    <n v="12"/>
    <x v="2"/>
    <x v="1"/>
    <n v="1258"/>
    <n v="116.05723370429253"/>
    <s v="Low"/>
  </r>
  <r>
    <s v="1540 Joslyn"/>
    <x v="1"/>
    <x v="0"/>
    <x v="83"/>
    <n v="131"/>
    <x v="1"/>
    <x v="1"/>
    <n v="860"/>
    <n v="170.93023255813952"/>
    <s v="Low"/>
  </r>
  <r>
    <s v="53 E Goulson Avenue"/>
    <x v="7"/>
    <x v="0"/>
    <x v="83"/>
    <n v="15"/>
    <x v="1"/>
    <x v="1"/>
    <n v="1039"/>
    <n v="141.48219441770934"/>
    <s v="Low"/>
  </r>
  <r>
    <s v="1064 Argyle Avenue"/>
    <x v="1"/>
    <x v="0"/>
    <x v="84"/>
    <n v="3"/>
    <x v="2"/>
    <x v="3"/>
    <n v="1022"/>
    <n v="144.81409001956948"/>
    <s v="Low"/>
  </r>
  <r>
    <s v="23122 CROSSLEY Avenue"/>
    <x v="7"/>
    <x v="0"/>
    <x v="84"/>
    <n v="27"/>
    <x v="2"/>
    <x v="1"/>
    <n v="965"/>
    <n v="153.3678756476684"/>
    <s v="Low"/>
  </r>
  <r>
    <s v="1970 BEECHMONT Street"/>
    <x v="21"/>
    <x v="0"/>
    <x v="85"/>
    <n v="16"/>
    <x v="1"/>
    <x v="1"/>
    <n v="627"/>
    <n v="236.4433811802233"/>
    <s v="Medium"/>
  </r>
  <r>
    <s v="953 EMWILL Street"/>
    <x v="6"/>
    <x v="0"/>
    <x v="86"/>
    <n v="2"/>
    <x v="1"/>
    <x v="2"/>
    <n v="802"/>
    <n v="185.78553615960101"/>
    <s v="Low"/>
  </r>
  <r>
    <s v="11 Lexington Place"/>
    <x v="1"/>
    <x v="0"/>
    <x v="87"/>
    <n v="19"/>
    <x v="2"/>
    <x v="1"/>
    <n v="1252"/>
    <n v="119.72843450479233"/>
    <s v="Low"/>
  </r>
  <r>
    <s v="2317 DALLAS Avenue"/>
    <x v="18"/>
    <x v="0"/>
    <x v="88"/>
    <n v="4"/>
    <x v="1"/>
    <x v="1"/>
    <n v="905"/>
    <n v="165.74585635359117"/>
    <s v="Low"/>
  </r>
  <r>
    <s v="54 W MAXLOW Avenue"/>
    <x v="7"/>
    <x v="0"/>
    <x v="88"/>
    <n v="13"/>
    <x v="1"/>
    <x v="1"/>
    <n v="800"/>
    <n v="187.5"/>
    <s v="Low"/>
  </r>
  <r>
    <s v="104  W Hayes Avenue"/>
    <x v="7"/>
    <x v="0"/>
    <x v="88"/>
    <n v="65"/>
    <x v="2"/>
    <x v="2"/>
    <n v="1400"/>
    <n v="107.14285714285714"/>
    <s v="Low"/>
  </r>
  <r>
    <s v="51 W GRANET Avenue"/>
    <x v="7"/>
    <x v="0"/>
    <x v="88"/>
    <n v="134"/>
    <x v="2"/>
    <x v="1"/>
    <n v="1001"/>
    <n v="149.85014985014985"/>
    <s v="Low"/>
  </r>
  <r>
    <s v="1585 VALLEY Drive"/>
    <x v="17"/>
    <x v="0"/>
    <x v="88"/>
    <n v="7"/>
    <x v="1"/>
    <x v="1"/>
    <n v="966"/>
    <n v="155.27950310559007"/>
    <s v="Low"/>
  </r>
  <r>
    <s v="92 AUGUSTA Avenue"/>
    <x v="1"/>
    <x v="0"/>
    <x v="88"/>
    <n v="7"/>
    <x v="0"/>
    <x v="2"/>
    <n v="1505"/>
    <n v="99.667774086378742"/>
    <s v="Low"/>
  </r>
  <r>
    <s v="1380 Paul"/>
    <x v="13"/>
    <x v="0"/>
    <x v="88"/>
    <n v="45"/>
    <x v="2"/>
    <x v="1"/>
    <n v="942"/>
    <n v="159.23566878980893"/>
    <s v="Low"/>
  </r>
  <r>
    <s v="6130  Tucker  Road"/>
    <x v="9"/>
    <x v="0"/>
    <x v="88"/>
    <n v="8"/>
    <x v="3"/>
    <x v="2"/>
    <n v="2213"/>
    <n v="67.781292363307728"/>
    <s v="Low"/>
  </r>
  <r>
    <s v="152 DWIGHT Avenue"/>
    <x v="1"/>
    <x v="0"/>
    <x v="89"/>
    <n v="6"/>
    <x v="2"/>
    <x v="1"/>
    <n v="1172"/>
    <n v="128.83959044368601"/>
    <s v="Low"/>
  </r>
  <r>
    <s v="5426 FLEET Avenue"/>
    <x v="0"/>
    <x v="0"/>
    <x v="90"/>
    <n v="23"/>
    <x v="2"/>
    <x v="2"/>
    <n v="1839"/>
    <n v="82.65361609570418"/>
    <s v="Low"/>
  </r>
  <r>
    <s v="940 Marvell"/>
    <x v="0"/>
    <x v="0"/>
    <x v="91"/>
    <n v="10"/>
    <x v="2"/>
    <x v="1"/>
    <n v="1200"/>
    <n v="127.08333333333333"/>
    <s v="Low"/>
  </r>
  <r>
    <s v="95 W HUDSON Avenue"/>
    <x v="8"/>
    <x v="0"/>
    <x v="92"/>
    <n v="83"/>
    <x v="1"/>
    <x v="1"/>
    <n v="724"/>
    <n v="211.32596685082873"/>
    <s v="Medium"/>
  </r>
  <r>
    <s v="71 W Mapledale"/>
    <x v="7"/>
    <x v="0"/>
    <x v="93"/>
    <n v="25"/>
    <x v="1"/>
    <x v="1"/>
    <n v="647"/>
    <n v="238.02163833075736"/>
    <s v="Medium"/>
  </r>
  <r>
    <s v="30456 Palmer Boulevard"/>
    <x v="8"/>
    <x v="0"/>
    <x v="94"/>
    <n v="5"/>
    <x v="1"/>
    <x v="1"/>
    <n v="696"/>
    <n v="221.98275862068965"/>
    <s v="Medium"/>
  </r>
  <r>
    <s v="2997 E WALTON Boulevard"/>
    <x v="5"/>
    <x v="0"/>
    <x v="95"/>
    <n v="2"/>
    <x v="1"/>
    <x v="1"/>
    <n v="844"/>
    <n v="183.53080568720378"/>
    <s v="Low"/>
  </r>
  <r>
    <s v="345 3RD Avenue"/>
    <x v="1"/>
    <x v="0"/>
    <x v="96"/>
    <n v="9"/>
    <x v="2"/>
    <x v="3"/>
    <n v="939"/>
    <n v="165.06922257720979"/>
    <s v="Low"/>
  </r>
  <r>
    <s v="131 W MEYERS Avenue"/>
    <x v="7"/>
    <x v="0"/>
    <x v="96"/>
    <n v="84"/>
    <x v="1"/>
    <x v="1"/>
    <n v="900"/>
    <n v="172.22222222222223"/>
    <s v="Low"/>
  </r>
  <r>
    <s v="2720 Iowa"/>
    <x v="22"/>
    <x v="0"/>
    <x v="96"/>
    <n v="10"/>
    <x v="5"/>
    <x v="1"/>
    <n v="852"/>
    <n v="181.92488262910797"/>
    <s v="Low"/>
  </r>
  <r>
    <s v="24291 PARKLAWN Street"/>
    <x v="15"/>
    <x v="0"/>
    <x v="96"/>
    <n v="141"/>
    <x v="2"/>
    <x v="1"/>
    <n v="998"/>
    <n v="155.31062124248496"/>
    <s v="Low"/>
  </r>
  <r>
    <s v="840 E BARRETT Avenue"/>
    <x v="8"/>
    <x v="0"/>
    <x v="96"/>
    <n v="17"/>
    <x v="1"/>
    <x v="1"/>
    <n v="696"/>
    <n v="222.70114942528735"/>
    <s v="Medium"/>
  </r>
  <r>
    <s v="2881 AUBURN Road"/>
    <x v="5"/>
    <x v="0"/>
    <x v="96"/>
    <n v="7"/>
    <x v="1"/>
    <x v="1"/>
    <n v="888"/>
    <n v="174.54954954954954"/>
    <s v="Low"/>
  </r>
  <r>
    <s v="877 E DALLAS Avenue"/>
    <x v="8"/>
    <x v="0"/>
    <x v="96"/>
    <n v="52"/>
    <x v="2"/>
    <x v="2"/>
    <n v="1052"/>
    <n v="147.3384030418251"/>
    <s v="Low"/>
  </r>
  <r>
    <s v="14230 NORTHEND Avenue"/>
    <x v="15"/>
    <x v="0"/>
    <x v="96"/>
    <n v="53"/>
    <x v="2"/>
    <x v="3"/>
    <n v="1650"/>
    <n v="93.939393939393938"/>
    <s v="Low"/>
  </r>
  <r>
    <s v="86 E RUTGERS Avenue"/>
    <x v="1"/>
    <x v="0"/>
    <x v="97"/>
    <n v="47"/>
    <x v="1"/>
    <x v="1"/>
    <n v="886"/>
    <n v="176.07223476297969"/>
    <s v="Low"/>
  </r>
  <r>
    <s v="21611 Cloverlawn Street"/>
    <x v="15"/>
    <x v="0"/>
    <x v="98"/>
    <n v="14"/>
    <x v="2"/>
    <x v="3"/>
    <n v="1386"/>
    <n v="113.63636363636364"/>
    <s v="Low"/>
  </r>
  <r>
    <s v="771 W Marshall Street"/>
    <x v="6"/>
    <x v="0"/>
    <x v="99"/>
    <n v="13"/>
    <x v="1"/>
    <x v="1"/>
    <n v="896"/>
    <n v="176.33928571428572"/>
    <s v="Low"/>
  </r>
  <r>
    <s v="871 SPENCE Street"/>
    <x v="1"/>
    <x v="0"/>
    <x v="99"/>
    <n v="38"/>
    <x v="2"/>
    <x v="1"/>
    <n v="1150"/>
    <n v="137.39130434782609"/>
    <s v="Low"/>
  </r>
  <r>
    <s v="27036 ALDEN Street"/>
    <x v="8"/>
    <x v="0"/>
    <x v="100"/>
    <n v="38"/>
    <x v="1"/>
    <x v="1"/>
    <n v="768"/>
    <n v="207.68229166666666"/>
    <s v="Medium"/>
  </r>
  <r>
    <s v="10630 TROY Street"/>
    <x v="15"/>
    <x v="0"/>
    <x v="101"/>
    <n v="6"/>
    <x v="1"/>
    <x v="1"/>
    <n v="1218"/>
    <n v="131.36288998357963"/>
    <s v="Low"/>
  </r>
  <r>
    <s v="345 W WOODRUFF Avenue"/>
    <x v="7"/>
    <x v="0"/>
    <x v="101"/>
    <n v="10"/>
    <x v="1"/>
    <x v="1"/>
    <n v="701"/>
    <n v="228.24536376604851"/>
    <s v="Medium"/>
  </r>
  <r>
    <s v="21234 SAINT FRANCIS Street"/>
    <x v="11"/>
    <x v="0"/>
    <x v="101"/>
    <n v="14"/>
    <x v="1"/>
    <x v="3"/>
    <n v="936"/>
    <n v="170.94017094017093"/>
    <s v="Low"/>
  </r>
  <r>
    <s v="437 Linda Vista Drive"/>
    <x v="1"/>
    <x v="0"/>
    <x v="101"/>
    <n v="10"/>
    <x v="3"/>
    <x v="8"/>
    <n v="1720"/>
    <n v="93.023255813953483"/>
    <s v="Low"/>
  </r>
  <r>
    <s v="1092 SCOTT LAKE Road"/>
    <x v="0"/>
    <x v="0"/>
    <x v="101"/>
    <n v="29"/>
    <x v="2"/>
    <x v="1"/>
    <n v="816"/>
    <n v="196.07843137254903"/>
    <s v="Low"/>
  </r>
  <r>
    <s v="414 LAKEVIEW Street"/>
    <x v="23"/>
    <x v="0"/>
    <x v="101"/>
    <n v="58"/>
    <x v="1"/>
    <x v="1"/>
    <n v="1037"/>
    <n v="154.29122468659594"/>
    <s v="Low"/>
  </r>
  <r>
    <s v="32 STEPHENS Court"/>
    <x v="1"/>
    <x v="0"/>
    <x v="102"/>
    <n v="10"/>
    <x v="2"/>
    <x v="2"/>
    <n v="1366"/>
    <n v="117.8623718887262"/>
    <s v="Low"/>
  </r>
  <r>
    <s v="45 E CORNELL Avenue"/>
    <x v="1"/>
    <x v="0"/>
    <x v="103"/>
    <n v="44"/>
    <x v="0"/>
    <x v="2"/>
    <n v="1748"/>
    <n v="92.677345537757432"/>
    <s v="Low"/>
  </r>
  <r>
    <s v="21661 CLOVERLAWN Street"/>
    <x v="15"/>
    <x v="0"/>
    <x v="104"/>
    <n v="24"/>
    <x v="2"/>
    <x v="9"/>
    <n v="1395"/>
    <n v="116.84587813620071"/>
    <s v="Low"/>
  </r>
  <r>
    <s v="23347 Easterling Avenue"/>
    <x v="7"/>
    <x v="0"/>
    <x v="105"/>
    <n v="11"/>
    <x v="1"/>
    <x v="1"/>
    <n v="886"/>
    <n v="184.53724604966141"/>
    <s v="Low"/>
  </r>
  <r>
    <s v="4611 HATCHERY Road"/>
    <x v="0"/>
    <x v="0"/>
    <x v="106"/>
    <n v="5"/>
    <x v="2"/>
    <x v="5"/>
    <n v="1337"/>
    <n v="123.33582647718774"/>
    <s v="Low"/>
  </r>
  <r>
    <s v="5100 LAKEBORN Drive"/>
    <x v="10"/>
    <x v="0"/>
    <x v="106"/>
    <n v="39"/>
    <x v="2"/>
    <x v="1"/>
    <n v="1056"/>
    <n v="156.15530303030303"/>
    <s v="Low"/>
  </r>
  <r>
    <s v="2440 Jones Road"/>
    <x v="0"/>
    <x v="0"/>
    <x v="107"/>
    <n v="2"/>
    <x v="2"/>
    <x v="3"/>
    <n v="1134"/>
    <n v="145.50264550264549"/>
    <s v="Low"/>
  </r>
  <r>
    <s v="2828 HONEYWELL LAKE Road"/>
    <x v="17"/>
    <x v="0"/>
    <x v="107"/>
    <n v="0"/>
    <x v="1"/>
    <x v="3"/>
    <n v="1136"/>
    <n v="145.24647887323943"/>
    <s v="Low"/>
  </r>
  <r>
    <s v="107 NEWBERRY Street"/>
    <x v="1"/>
    <x v="0"/>
    <x v="107"/>
    <n v="2"/>
    <x v="2"/>
    <x v="1"/>
    <n v="1390"/>
    <n v="118.70503597122303"/>
    <s v="Low"/>
  </r>
  <r>
    <s v="21820  Church street"/>
    <x v="15"/>
    <x v="0"/>
    <x v="107"/>
    <n v="9"/>
    <x v="2"/>
    <x v="9"/>
    <n v="1238"/>
    <n v="133.27948303715669"/>
    <s v="Low"/>
  </r>
  <r>
    <s v="40 ORCHARD Avenue"/>
    <x v="7"/>
    <x v="0"/>
    <x v="107"/>
    <n v="27"/>
    <x v="1"/>
    <x v="1"/>
    <n v="950"/>
    <n v="173.68421052631578"/>
    <s v="Low"/>
  </r>
  <r>
    <s v="688 E ANNABELLE Avenue"/>
    <x v="7"/>
    <x v="0"/>
    <x v="107"/>
    <n v="11"/>
    <x v="2"/>
    <x v="2"/>
    <n v="927"/>
    <n v="177.99352750809061"/>
    <s v="Low"/>
  </r>
  <r>
    <s v="3087 LINCOLNVIEW Street"/>
    <x v="5"/>
    <x v="0"/>
    <x v="107"/>
    <n v="13"/>
    <x v="2"/>
    <x v="2"/>
    <n v="1274"/>
    <n v="129.51334379905808"/>
    <s v="Low"/>
  </r>
  <r>
    <s v="8610 SARATOGA Street"/>
    <x v="15"/>
    <x v="0"/>
    <x v="107"/>
    <n v="10"/>
    <x v="7"/>
    <x v="6"/>
    <n v="900"/>
    <n v="183.33333333333334"/>
    <s v="Low"/>
  </r>
  <r>
    <s v="2694 CHRYSLER Avenue"/>
    <x v="0"/>
    <x v="0"/>
    <x v="107"/>
    <n v="21"/>
    <x v="2"/>
    <x v="2"/>
    <n v="1350"/>
    <n v="122.22222222222223"/>
    <s v="Low"/>
  </r>
  <r>
    <s v="24341 Parklawn Street"/>
    <x v="15"/>
    <x v="0"/>
    <x v="107"/>
    <n v="28"/>
    <x v="2"/>
    <x v="1"/>
    <n v="1000"/>
    <n v="165"/>
    <s v="Low"/>
  </r>
  <r>
    <s v="27136 SHAGBARK Drive"/>
    <x v="12"/>
    <x v="0"/>
    <x v="107"/>
    <n v="24"/>
    <x v="1"/>
    <x v="2"/>
    <n v="1070"/>
    <n v="154.20560747663552"/>
    <s v="Low"/>
  </r>
  <r>
    <s v="3296 Crooks Road"/>
    <x v="3"/>
    <x v="0"/>
    <x v="107"/>
    <n v="67"/>
    <x v="1"/>
    <x v="3"/>
    <n v="910"/>
    <n v="181.31868131868131"/>
    <s v="Low"/>
  </r>
  <r>
    <s v="8610 SARATOGA Street"/>
    <x v="15"/>
    <x v="0"/>
    <x v="107"/>
    <n v="43"/>
    <x v="2"/>
    <x v="1"/>
    <n v="960"/>
    <n v="171.875"/>
    <s v="Low"/>
  </r>
  <r>
    <s v="582 E TENNYSON Avenue"/>
    <x v="1"/>
    <x v="0"/>
    <x v="107"/>
    <n v="101"/>
    <x v="2"/>
    <x v="9"/>
    <n v="1495"/>
    <n v="110.36789297658864"/>
    <s v="Low"/>
  </r>
  <r>
    <s v="480 Granada Drive"/>
    <x v="1"/>
    <x v="0"/>
    <x v="108"/>
    <n v="55"/>
    <x v="2"/>
    <x v="1"/>
    <n v="1053"/>
    <n v="158.59449192782526"/>
    <s v="Low"/>
  </r>
  <r>
    <s v="21812 COLGATE Street"/>
    <x v="11"/>
    <x v="0"/>
    <x v="108"/>
    <n v="24"/>
    <x v="2"/>
    <x v="1"/>
    <n v="1218"/>
    <n v="137.11001642036126"/>
    <s v="Low"/>
  </r>
  <r>
    <s v="21701 PARKLAWN Street"/>
    <x v="15"/>
    <x v="0"/>
    <x v="109"/>
    <n v="46"/>
    <x v="2"/>
    <x v="3"/>
    <n v="1320"/>
    <n v="126.89393939393939"/>
    <s v="Low"/>
  </r>
  <r>
    <s v="19610 HILTON Drive"/>
    <x v="12"/>
    <x v="0"/>
    <x v="110"/>
    <n v="5"/>
    <x v="2"/>
    <x v="2"/>
    <n v="1566"/>
    <n v="107.91826309067689"/>
    <s v="Low"/>
  </r>
  <r>
    <s v="5275 SHERWOOD Road"/>
    <x v="20"/>
    <x v="0"/>
    <x v="111"/>
    <n v="12"/>
    <x v="1"/>
    <x v="1"/>
    <n v="1040"/>
    <n v="162.88461538461539"/>
    <s v="Low"/>
  </r>
  <r>
    <s v="131 DRAPER Avenue"/>
    <x v="0"/>
    <x v="0"/>
    <x v="112"/>
    <n v="10"/>
    <x v="2"/>
    <x v="1"/>
    <n v="879"/>
    <n v="193.28782707622298"/>
    <s v="Low"/>
  </r>
  <r>
    <s v="751 CRESCENT LAKE Road"/>
    <x v="0"/>
    <x v="0"/>
    <x v="112"/>
    <n v="11"/>
    <x v="1"/>
    <x v="3"/>
    <n v="1017"/>
    <n v="167.05998033431661"/>
    <s v="Low"/>
  </r>
  <r>
    <s v="27105 BRUSH Street"/>
    <x v="8"/>
    <x v="0"/>
    <x v="113"/>
    <n v="14"/>
    <x v="2"/>
    <x v="1"/>
    <n v="1144"/>
    <n v="148.60052447552448"/>
    <s v="Low"/>
  </r>
  <r>
    <s v="1110 Tecumseh"/>
    <x v="0"/>
    <x v="0"/>
    <x v="114"/>
    <n v="54"/>
    <x v="2"/>
    <x v="1"/>
    <n v="1090"/>
    <n v="155.96330275229357"/>
    <s v="Low"/>
  </r>
  <r>
    <s v="23154 BATTELLE Avenue"/>
    <x v="7"/>
    <x v="0"/>
    <x v="114"/>
    <n v="7"/>
    <x v="2"/>
    <x v="1"/>
    <n v="1100"/>
    <n v="154.54545454545453"/>
    <s v="Low"/>
  </r>
  <r>
    <s v="251 SPENCER Street"/>
    <x v="6"/>
    <x v="0"/>
    <x v="114"/>
    <n v="36"/>
    <x v="1"/>
    <x v="1"/>
    <n v="1150"/>
    <n v="147.82608695652175"/>
    <s v="Low"/>
  </r>
  <r>
    <s v="2434  McDowell  Street"/>
    <x v="6"/>
    <x v="0"/>
    <x v="114"/>
    <n v="106"/>
    <x v="2"/>
    <x v="2"/>
    <n v="1201"/>
    <n v="141.54870940882597"/>
    <s v="Low"/>
  </r>
  <r>
    <s v="3186 WOODLAWN Street"/>
    <x v="14"/>
    <x v="0"/>
    <x v="114"/>
    <n v="62"/>
    <x v="2"/>
    <x v="1"/>
    <n v="764"/>
    <n v="222.5130890052356"/>
    <s v="Medium"/>
  </r>
  <r>
    <s v="324 Spencer Street"/>
    <x v="6"/>
    <x v="0"/>
    <x v="114"/>
    <n v="52"/>
    <x v="2"/>
    <x v="1"/>
    <n v="1170"/>
    <n v="145.29914529914529"/>
    <s v="Low"/>
  </r>
  <r>
    <s v="15120 NORTHFIELD Boulevard"/>
    <x v="15"/>
    <x v="0"/>
    <x v="115"/>
    <n v="3"/>
    <x v="2"/>
    <x v="3"/>
    <n v="1104"/>
    <n v="154.89130434782609"/>
    <s v="Low"/>
  </r>
  <r>
    <s v="89 OSCEOLA Drive"/>
    <x v="1"/>
    <x v="0"/>
    <x v="115"/>
    <n v="4"/>
    <x v="0"/>
    <x v="2"/>
    <n v="1320"/>
    <n v="129.54545454545453"/>
    <s v="Low"/>
  </r>
  <r>
    <s v="26036 Alger"/>
    <x v="8"/>
    <x v="0"/>
    <x v="116"/>
    <n v="5"/>
    <x v="1"/>
    <x v="1"/>
    <n v="853"/>
    <n v="201.05509964830011"/>
    <s v="Medium"/>
  </r>
  <r>
    <s v="3218 GRAYSON Street"/>
    <x v="6"/>
    <x v="0"/>
    <x v="117"/>
    <n v="125"/>
    <x v="1"/>
    <x v="1"/>
    <n v="751"/>
    <n v="229.02796271637817"/>
    <s v="Medium"/>
  </r>
  <r>
    <s v="2370 ROLANDALE Road E"/>
    <x v="24"/>
    <x v="0"/>
    <x v="117"/>
    <n v="4"/>
    <x v="1"/>
    <x v="1"/>
    <n v="912"/>
    <n v="188.59649122807016"/>
    <s v="Low"/>
  </r>
  <r>
    <s v="550 E MUIR Avenue"/>
    <x v="7"/>
    <x v="0"/>
    <x v="118"/>
    <n v="9"/>
    <x v="1"/>
    <x v="1"/>
    <n v="932"/>
    <n v="185.08583690987123"/>
    <s v="Low"/>
  </r>
  <r>
    <s v="23424 VASSAR Avenue"/>
    <x v="7"/>
    <x v="0"/>
    <x v="119"/>
    <n v="27"/>
    <x v="2"/>
    <x v="1"/>
    <n v="1020"/>
    <n v="170.58823529411765"/>
    <s v="Low"/>
  </r>
  <r>
    <s v="9045 MILLWARD Avenue"/>
    <x v="10"/>
    <x v="0"/>
    <x v="119"/>
    <n v="44"/>
    <x v="5"/>
    <x v="1"/>
    <n v="896"/>
    <n v="194.19642857142858"/>
    <s v="Low"/>
  </r>
  <r>
    <s v="62 E Rowland"/>
    <x v="8"/>
    <x v="0"/>
    <x v="119"/>
    <n v="83"/>
    <x v="2"/>
    <x v="1"/>
    <n v="1021"/>
    <n v="170.4211557296768"/>
    <s v="Low"/>
  </r>
  <r>
    <s v="27120 Brettonwoods Street"/>
    <x v="8"/>
    <x v="0"/>
    <x v="120"/>
    <n v="2"/>
    <x v="0"/>
    <x v="2"/>
    <n v="1068"/>
    <n v="163.8567415730337"/>
    <s v="Low"/>
  </r>
  <r>
    <s v="6339 Dellwood Drive"/>
    <x v="0"/>
    <x v="0"/>
    <x v="121"/>
    <n v="3"/>
    <x v="0"/>
    <x v="2"/>
    <n v="1866"/>
    <n v="93.783494105037519"/>
    <s v="Low"/>
  </r>
  <r>
    <s v="19941 DORSET Street"/>
    <x v="12"/>
    <x v="0"/>
    <x v="121"/>
    <n v="0"/>
    <x v="2"/>
    <x v="3"/>
    <n v="1308"/>
    <n v="133.79204892966362"/>
    <s v="Low"/>
  </r>
  <r>
    <s v="25626 DUNBAR Street"/>
    <x v="12"/>
    <x v="0"/>
    <x v="121"/>
    <n v="13"/>
    <x v="2"/>
    <x v="3"/>
    <n v="1494"/>
    <n v="117.13520749665328"/>
    <s v="Low"/>
  </r>
  <r>
    <s v="4914 LAKE GROVE Drive N"/>
    <x v="10"/>
    <x v="0"/>
    <x v="121"/>
    <n v="5"/>
    <x v="2"/>
    <x v="1"/>
    <n v="900"/>
    <n v="194.44444444444446"/>
    <s v="Low"/>
  </r>
  <r>
    <s v="282 Hershey Boulevard"/>
    <x v="0"/>
    <x v="0"/>
    <x v="121"/>
    <n v="8"/>
    <x v="0"/>
    <x v="3"/>
    <n v="1762"/>
    <n v="99.318955732122589"/>
    <s v="Low"/>
  </r>
  <r>
    <s v="23029 STAUBER Avenue"/>
    <x v="7"/>
    <x v="0"/>
    <x v="121"/>
    <n v="7"/>
    <x v="2"/>
    <x v="1"/>
    <n v="879"/>
    <n v="199.08987485779295"/>
    <s v="Low"/>
  </r>
  <r>
    <s v="18 S SHIRLEY Street"/>
    <x v="1"/>
    <x v="0"/>
    <x v="121"/>
    <n v="17"/>
    <x v="0"/>
    <x v="2"/>
    <n v="1992"/>
    <n v="87.851405622489963"/>
    <s v="Low"/>
  </r>
  <r>
    <s v="3689 BUCKINGHAM Avenue"/>
    <x v="25"/>
    <x v="0"/>
    <x v="121"/>
    <n v="13"/>
    <x v="1"/>
    <x v="1"/>
    <n v="1217"/>
    <n v="143.79622021364011"/>
    <s v="Low"/>
  </r>
  <r>
    <s v="6621 S Doyon"/>
    <x v="0"/>
    <x v="0"/>
    <x v="121"/>
    <n v="19"/>
    <x v="2"/>
    <x v="1"/>
    <n v="960"/>
    <n v="182.29166666666666"/>
    <s v="Low"/>
  </r>
  <r>
    <s v="6621 DOYON Drive S"/>
    <x v="0"/>
    <x v="0"/>
    <x v="121"/>
    <n v="7"/>
    <x v="2"/>
    <x v="1"/>
    <n v="960"/>
    <n v="182.29166666666666"/>
    <s v="Low"/>
  </r>
  <r>
    <s v="28641 DENISE Street"/>
    <x v="8"/>
    <x v="0"/>
    <x v="121"/>
    <n v="4"/>
    <x v="2"/>
    <x v="1"/>
    <n v="1056"/>
    <n v="165.71969696969697"/>
    <s v="Low"/>
  </r>
  <r>
    <s v="21900 EASTWOOD Street"/>
    <x v="15"/>
    <x v="0"/>
    <x v="121"/>
    <n v="8"/>
    <x v="2"/>
    <x v="1"/>
    <n v="912"/>
    <n v="191.88596491228071"/>
    <s v="Low"/>
  </r>
  <r>
    <s v="571 Andresen Court"/>
    <x v="7"/>
    <x v="0"/>
    <x v="121"/>
    <n v="13"/>
    <x v="0"/>
    <x v="2"/>
    <n v="1686"/>
    <n v="103.79596678529063"/>
    <s v="Low"/>
  </r>
  <r>
    <s v="10280 Troy"/>
    <x v="15"/>
    <x v="0"/>
    <x v="121"/>
    <n v="54"/>
    <x v="2"/>
    <x v="1"/>
    <n v="988"/>
    <n v="177.12550607287449"/>
    <s v="Low"/>
  </r>
  <r>
    <s v="21355 Woodside"/>
    <x v="19"/>
    <x v="0"/>
    <x v="121"/>
    <n v="106"/>
    <x v="0"/>
    <x v="2"/>
    <n v="1554"/>
    <n v="112.61261261261261"/>
    <s v="Low"/>
  </r>
  <r>
    <s v="23830 ROANOKE Avenue"/>
    <x v="15"/>
    <x v="0"/>
    <x v="122"/>
    <n v="3"/>
    <x v="1"/>
    <x v="1"/>
    <n v="967"/>
    <n v="182.00620475698034"/>
    <s v="Low"/>
  </r>
  <r>
    <s v="280 DICK Avenue"/>
    <x v="1"/>
    <x v="0"/>
    <x v="122"/>
    <n v="17"/>
    <x v="2"/>
    <x v="2"/>
    <n v="901"/>
    <n v="195.33851276359601"/>
    <s v="Low"/>
  </r>
  <r>
    <s v="2260 BRICKLEY Street"/>
    <x v="6"/>
    <x v="0"/>
    <x v="123"/>
    <n v="0"/>
    <x v="2"/>
    <x v="1"/>
    <n v="920"/>
    <n v="192.39130434782609"/>
    <s v="Low"/>
  </r>
  <r>
    <s v="310 Sherwood"/>
    <x v="26"/>
    <x v="0"/>
    <x v="123"/>
    <n v="49"/>
    <x v="2"/>
    <x v="1"/>
    <n v="1097"/>
    <n v="161.34913400182316"/>
    <s v="Low"/>
  </r>
  <r>
    <s v="20805 BETHLAWN Boulevard"/>
    <x v="19"/>
    <x v="0"/>
    <x v="123"/>
    <n v="86"/>
    <x v="2"/>
    <x v="2"/>
    <n v="1083"/>
    <n v="163.43490304709141"/>
    <s v="Low"/>
  </r>
  <r>
    <s v="5481 E HOLLY Road"/>
    <x v="9"/>
    <x v="0"/>
    <x v="124"/>
    <n v="4"/>
    <x v="2"/>
    <x v="3"/>
    <n v="1537"/>
    <n v="115.4847104749512"/>
    <s v="Low"/>
  </r>
  <r>
    <s v="8354 BUCKELL LAKE Road"/>
    <x v="27"/>
    <x v="0"/>
    <x v="125"/>
    <n v="5"/>
    <x v="0"/>
    <x v="3"/>
    <n v="1776"/>
    <n v="100.22522522522523"/>
    <s v="Low"/>
  </r>
  <r>
    <s v="30 W Harwood"/>
    <x v="8"/>
    <x v="0"/>
    <x v="125"/>
    <n v="93"/>
    <x v="1"/>
    <x v="1"/>
    <n v="1116"/>
    <n v="159.49820788530465"/>
    <s v="Low"/>
  </r>
  <r>
    <s v="21217 ONTAGA Street"/>
    <x v="11"/>
    <x v="0"/>
    <x v="126"/>
    <n v="20"/>
    <x v="1"/>
    <x v="1"/>
    <n v="750"/>
    <n v="238.66666666666666"/>
    <s v="Medium"/>
  </r>
  <r>
    <s v="23850 JEROME Street"/>
    <x v="15"/>
    <x v="0"/>
    <x v="127"/>
    <n v="78"/>
    <x v="2"/>
    <x v="1"/>
    <n v="1078"/>
    <n v="166.88311688311688"/>
    <s v="Low"/>
  </r>
  <r>
    <s v="30027 FINK Avenue"/>
    <x v="11"/>
    <x v="0"/>
    <x v="128"/>
    <n v="4"/>
    <x v="2"/>
    <x v="3"/>
    <n v="1034"/>
    <n v="174.08123791102514"/>
    <s v="Low"/>
  </r>
  <r>
    <s v="27344 GROVELAND Street"/>
    <x v="8"/>
    <x v="0"/>
    <x v="128"/>
    <n v="2"/>
    <x v="2"/>
    <x v="1"/>
    <n v="1056"/>
    <n v="170.45454545454547"/>
    <s v="Low"/>
  </r>
  <r>
    <s v="22500 CARLETON Avenue"/>
    <x v="12"/>
    <x v="0"/>
    <x v="128"/>
    <n v="198"/>
    <x v="2"/>
    <x v="2"/>
    <n v="1608"/>
    <n v="111.94029850746269"/>
    <s v="Low"/>
  </r>
  <r>
    <s v="1465 LANGFIELD Avenue"/>
    <x v="10"/>
    <x v="0"/>
    <x v="128"/>
    <n v="6"/>
    <x v="1"/>
    <x v="1"/>
    <n v="858"/>
    <n v="209.79020979020979"/>
    <s v="Medium"/>
  </r>
  <r>
    <s v="1762 E Hayes"/>
    <x v="7"/>
    <x v="0"/>
    <x v="128"/>
    <n v="2"/>
    <x v="1"/>
    <x v="1"/>
    <n v="725"/>
    <n v="248.27586206896552"/>
    <s v="Medium"/>
  </r>
  <r>
    <s v="26620 Osmun"/>
    <x v="8"/>
    <x v="0"/>
    <x v="128"/>
    <n v="27"/>
    <x v="2"/>
    <x v="3"/>
    <n v="1134"/>
    <n v="158.73015873015873"/>
    <s v="Low"/>
  </r>
  <r>
    <s v="422 HARDEN Street"/>
    <x v="23"/>
    <x v="0"/>
    <x v="128"/>
    <n v="16"/>
    <x v="2"/>
    <x v="1"/>
    <n v="1333"/>
    <n v="135.0337584396099"/>
    <s v="Low"/>
  </r>
  <r>
    <s v="5185 GRANGE HALL Road"/>
    <x v="27"/>
    <x v="0"/>
    <x v="128"/>
    <n v="126"/>
    <x v="2"/>
    <x v="1"/>
    <n v="1830"/>
    <n v="98.360655737704917"/>
    <s v="Low"/>
  </r>
  <r>
    <s v="19160 HILTON Drive"/>
    <x v="12"/>
    <x v="0"/>
    <x v="129"/>
    <n v="14"/>
    <x v="2"/>
    <x v="1"/>
    <n v="1120"/>
    <n v="162.94642857142858"/>
    <s v="Low"/>
  </r>
  <r>
    <s v="480 University Street"/>
    <x v="6"/>
    <x v="0"/>
    <x v="130"/>
    <n v="1"/>
    <x v="2"/>
    <x v="1"/>
    <n v="881"/>
    <n v="207.71850170261067"/>
    <s v="Medium"/>
  </r>
  <r>
    <s v="634 W HARWOOD Avenue"/>
    <x v="8"/>
    <x v="0"/>
    <x v="130"/>
    <n v="11"/>
    <x v="2"/>
    <x v="1"/>
    <n v="950"/>
    <n v="192.63157894736841"/>
    <s v="Low"/>
  </r>
  <r>
    <s v="620 W DALLAS Avenue"/>
    <x v="8"/>
    <x v="0"/>
    <x v="130"/>
    <n v="9"/>
    <x v="1"/>
    <x v="1"/>
    <n v="800"/>
    <n v="228.75"/>
    <s v="Medium"/>
  </r>
  <r>
    <s v="3341 Frembes Road"/>
    <x v="0"/>
    <x v="0"/>
    <x v="131"/>
    <n v="27"/>
    <x v="1"/>
    <x v="1"/>
    <n v="1000"/>
    <n v="184.9"/>
    <s v="Low"/>
  </r>
  <r>
    <s v="2286 DAVISTA Drive"/>
    <x v="17"/>
    <x v="0"/>
    <x v="132"/>
    <n v="9"/>
    <x v="1"/>
    <x v="1"/>
    <n v="834"/>
    <n v="221.82254196642685"/>
    <s v="Medium"/>
  </r>
  <r>
    <s v="23789 Crossley"/>
    <x v="7"/>
    <x v="0"/>
    <x v="132"/>
    <n v="3"/>
    <x v="2"/>
    <x v="1"/>
    <n v="1021"/>
    <n v="181.19490695396669"/>
    <s v="Low"/>
  </r>
  <r>
    <s v="9238 EAGLE HILL Drive"/>
    <x v="28"/>
    <x v="0"/>
    <x v="132"/>
    <n v="10"/>
    <x v="2"/>
    <x v="1"/>
    <n v="1029"/>
    <n v="179.78620019436346"/>
    <s v="Low"/>
  </r>
  <r>
    <s v="464 E MAPLEHURST Street"/>
    <x v="6"/>
    <x v="0"/>
    <x v="132"/>
    <n v="8"/>
    <x v="1"/>
    <x v="1"/>
    <n v="726"/>
    <n v="254.82093663911846"/>
    <s v="Medium"/>
  </r>
  <r>
    <s v="425 SHERWOOD Court"/>
    <x v="23"/>
    <x v="0"/>
    <x v="132"/>
    <n v="7"/>
    <x v="2"/>
    <x v="1"/>
    <n v="1008"/>
    <n v="183.53174603174602"/>
    <s v="Low"/>
  </r>
  <r>
    <s v="1034 HOLBROOK Avenue"/>
    <x v="0"/>
    <x v="0"/>
    <x v="132"/>
    <n v="51"/>
    <x v="2"/>
    <x v="1"/>
    <n v="1074"/>
    <n v="172.25325884543761"/>
    <s v="Low"/>
  </r>
  <r>
    <s v="12931 ROSEMARY Boulevard"/>
    <x v="15"/>
    <x v="0"/>
    <x v="132"/>
    <n v="166"/>
    <x v="0"/>
    <x v="2"/>
    <n v="1250"/>
    <n v="148"/>
    <s v="Low"/>
  </r>
  <r>
    <s v="23385 MELVILLE Avenue"/>
    <x v="7"/>
    <x v="0"/>
    <x v="132"/>
    <n v="28"/>
    <x v="1"/>
    <x v="1"/>
    <n v="1134"/>
    <n v="163.13932980599648"/>
    <s v="Low"/>
  </r>
  <r>
    <s v="4014 Greenfield Road"/>
    <x v="25"/>
    <x v="0"/>
    <x v="133"/>
    <n v="10"/>
    <x v="1"/>
    <x v="10"/>
    <n v="976"/>
    <n v="190.57377049180329"/>
    <s v="Low"/>
  </r>
  <r>
    <s v="647 SAINT LOUIS Street"/>
    <x v="6"/>
    <x v="0"/>
    <x v="133"/>
    <n v="64"/>
    <x v="1"/>
    <x v="1"/>
    <n v="709"/>
    <n v="262.34132581100141"/>
    <s v="Medium"/>
  </r>
  <r>
    <s v="23336 HOOVER Avenue"/>
    <x v="7"/>
    <x v="0"/>
    <x v="134"/>
    <n v="16"/>
    <x v="2"/>
    <x v="1"/>
    <n v="978"/>
    <n v="190.38854805725973"/>
    <s v="Low"/>
  </r>
  <r>
    <s v="23385 BATTELLE Avenue"/>
    <x v="7"/>
    <x v="0"/>
    <x v="135"/>
    <n v="96"/>
    <x v="2"/>
    <x v="1"/>
    <n v="897"/>
    <n v="208.47268673355629"/>
    <s v="Medium"/>
  </r>
  <r>
    <s v="23460 CLOVERLAWN Street"/>
    <x v="15"/>
    <x v="0"/>
    <x v="136"/>
    <n v="3"/>
    <x v="2"/>
    <x v="9"/>
    <n v="1348"/>
    <n v="139.09495548961425"/>
    <s v="Low"/>
  </r>
  <r>
    <s v="21615 ROCKWELL Street"/>
    <x v="11"/>
    <x v="0"/>
    <x v="136"/>
    <n v="5"/>
    <x v="1"/>
    <x v="1"/>
    <n v="925"/>
    <n v="202.70270270270271"/>
    <s v="Medium"/>
  </r>
  <r>
    <s v="6281 WALDON Road"/>
    <x v="29"/>
    <x v="0"/>
    <x v="136"/>
    <n v="13"/>
    <x v="1"/>
    <x v="1"/>
    <n v="709"/>
    <n v="264.45698166431595"/>
    <s v="Medium"/>
  </r>
  <r>
    <s v="1405 MARIE Street"/>
    <x v="6"/>
    <x v="0"/>
    <x v="137"/>
    <n v="199"/>
    <x v="2"/>
    <x v="1"/>
    <n v="918"/>
    <n v="205.33769063180827"/>
    <s v="Medium"/>
  </r>
  <r>
    <s v="3700 W WALTON Boulevard"/>
    <x v="0"/>
    <x v="0"/>
    <x v="138"/>
    <n v="52"/>
    <x v="2"/>
    <x v="1"/>
    <n v="896"/>
    <n v="210.68638392857142"/>
    <s v="Medium"/>
  </r>
  <r>
    <s v="21814 Purdue Avenue"/>
    <x v="11"/>
    <x v="0"/>
    <x v="139"/>
    <n v="24"/>
    <x v="1"/>
    <x v="1"/>
    <n v="1064"/>
    <n v="177.63157894736841"/>
    <s v="Low"/>
  </r>
  <r>
    <s v="34 N LYNN Avenue"/>
    <x v="0"/>
    <x v="0"/>
    <x v="139"/>
    <n v="51"/>
    <x v="2"/>
    <x v="1"/>
    <n v="1053"/>
    <n v="179.48717948717947"/>
    <s v="Low"/>
  </r>
  <r>
    <s v="25274 MIDDLEBELT Road"/>
    <x v="11"/>
    <x v="0"/>
    <x v="140"/>
    <n v="8"/>
    <x v="2"/>
    <x v="3"/>
    <n v="1263"/>
    <n v="150.43547110055422"/>
    <s v="Low"/>
  </r>
  <r>
    <s v="15160 FISH LAKE Road"/>
    <x v="9"/>
    <x v="0"/>
    <x v="140"/>
    <n v="13"/>
    <x v="0"/>
    <x v="1"/>
    <n v="1539"/>
    <n v="123.45679012345678"/>
    <s v="Low"/>
  </r>
  <r>
    <s v="938 Arlene"/>
    <x v="1"/>
    <x v="0"/>
    <x v="140"/>
    <n v="20"/>
    <x v="2"/>
    <x v="1"/>
    <n v="944"/>
    <n v="201.27118644067798"/>
    <s v="Medium"/>
  </r>
  <r>
    <s v="21185 Poinciana Street"/>
    <x v="12"/>
    <x v="0"/>
    <x v="140"/>
    <n v="39"/>
    <x v="1"/>
    <x v="2"/>
    <n v="800"/>
    <n v="237.5"/>
    <s v="Medium"/>
  </r>
  <r>
    <s v="1114 E MEYERS Avenue"/>
    <x v="7"/>
    <x v="0"/>
    <x v="140"/>
    <n v="6"/>
    <x v="2"/>
    <x v="1"/>
    <n v="1037"/>
    <n v="183.22082931533268"/>
    <s v="Low"/>
  </r>
  <r>
    <s v="28670 INKSTER Road"/>
    <x v="12"/>
    <x v="0"/>
    <x v="140"/>
    <n v="6"/>
    <x v="2"/>
    <x v="3"/>
    <n v="1649"/>
    <n v="115.22134627046695"/>
    <s v="Low"/>
  </r>
  <r>
    <s v="23581 Condon Street"/>
    <x v="15"/>
    <x v="0"/>
    <x v="140"/>
    <n v="26"/>
    <x v="2"/>
    <x v="8"/>
    <n v="1150"/>
    <n v="165.21739130434781"/>
    <s v="Low"/>
  </r>
  <r>
    <s v="141 HIBBARD CT S S"/>
    <x v="1"/>
    <x v="0"/>
    <x v="140"/>
    <n v="8"/>
    <x v="2"/>
    <x v="3"/>
    <n v="994"/>
    <n v="191.14688128772636"/>
    <s v="Low"/>
  </r>
  <r>
    <s v="941 HARRY PAUL Drive"/>
    <x v="13"/>
    <x v="0"/>
    <x v="140"/>
    <n v="33"/>
    <x v="0"/>
    <x v="10"/>
    <n v="1886"/>
    <n v="100.7423117709438"/>
    <s v="Low"/>
  </r>
  <r>
    <s v="9525 CORNELL Avenue"/>
    <x v="29"/>
    <x v="0"/>
    <x v="140"/>
    <n v="68"/>
    <x v="2"/>
    <x v="1"/>
    <n v="1068"/>
    <n v="177.90262172284645"/>
    <s v="Low"/>
  </r>
  <r>
    <s v="703 GARDENIA Avenue"/>
    <x v="18"/>
    <x v="0"/>
    <x v="140"/>
    <n v="51"/>
    <x v="1"/>
    <x v="1"/>
    <n v="958"/>
    <n v="198.32985386221296"/>
    <s v="Low"/>
  </r>
  <r>
    <s v="24321 JEROME Street"/>
    <x v="15"/>
    <x v="0"/>
    <x v="140"/>
    <n v="14"/>
    <x v="2"/>
    <x v="5"/>
    <n v="1533"/>
    <n v="123.93998695368559"/>
    <s v="Low"/>
  </r>
  <r>
    <s v="1007 Mohawk"/>
    <x v="18"/>
    <x v="0"/>
    <x v="141"/>
    <n v="7"/>
    <x v="2"/>
    <x v="1"/>
    <n v="1024"/>
    <n v="186.2548828125"/>
    <s v="Low"/>
  </r>
  <r>
    <s v="124 W Woodward Heights Boulevard"/>
    <x v="7"/>
    <x v="0"/>
    <x v="142"/>
    <n v="4"/>
    <x v="2"/>
    <x v="1"/>
    <n v="1060"/>
    <n v="180.18867924528303"/>
    <s v="Low"/>
  </r>
  <r>
    <s v="14521 BISHOP Street"/>
    <x v="15"/>
    <x v="0"/>
    <x v="142"/>
    <n v="28"/>
    <x v="2"/>
    <x v="3"/>
    <n v="1101"/>
    <n v="173.4786557674841"/>
    <s v="Low"/>
  </r>
  <r>
    <s v="279 SCOTT LAKE Road"/>
    <x v="0"/>
    <x v="0"/>
    <x v="142"/>
    <n v="60"/>
    <x v="2"/>
    <x v="2"/>
    <n v="1000"/>
    <n v="191"/>
    <s v="Low"/>
  </r>
  <r>
    <s v="631 BUTLER Drive"/>
    <x v="13"/>
    <x v="0"/>
    <x v="143"/>
    <n v="35"/>
    <x v="2"/>
    <x v="1"/>
    <n v="1120"/>
    <n v="170.98214285714286"/>
    <s v="Low"/>
  </r>
  <r>
    <s v="1914 FARROW Street"/>
    <x v="6"/>
    <x v="0"/>
    <x v="144"/>
    <n v="15"/>
    <x v="1"/>
    <x v="1"/>
    <n v="861"/>
    <n v="222.9965156794425"/>
    <s v="Medium"/>
  </r>
  <r>
    <s v="14325 Oak Park Boulevard"/>
    <x v="15"/>
    <x v="0"/>
    <x v="144"/>
    <n v="44"/>
    <x v="2"/>
    <x v="5"/>
    <n v="1777"/>
    <n v="108.04727068092291"/>
    <s v="Low"/>
  </r>
  <r>
    <s v="20 CHAPMAN Street"/>
    <x v="1"/>
    <x v="0"/>
    <x v="145"/>
    <n v="18"/>
    <x v="2"/>
    <x v="9"/>
    <n v="1225"/>
    <n v="157.14285714285714"/>
    <s v="Low"/>
  </r>
  <r>
    <s v="28835 Hales"/>
    <x v="8"/>
    <x v="0"/>
    <x v="146"/>
    <n v="49"/>
    <x v="2"/>
    <x v="3"/>
    <n v="1382"/>
    <n v="139.65267727930535"/>
    <s v="Low"/>
  </r>
  <r>
    <s v="65 Oakmont E"/>
    <x v="5"/>
    <x v="0"/>
    <x v="146"/>
    <n v="37"/>
    <x v="2"/>
    <x v="1"/>
    <n v="903"/>
    <n v="213.73200442967885"/>
    <s v="Medium"/>
  </r>
  <r>
    <s v="30114 STOCKTON Avenue"/>
    <x v="11"/>
    <x v="0"/>
    <x v="147"/>
    <n v="7"/>
    <x v="0"/>
    <x v="3"/>
    <n v="1326"/>
    <n v="146.30467571644041"/>
    <s v="Low"/>
  </r>
  <r>
    <s v="1456 MOORHOUSE Street"/>
    <x v="6"/>
    <x v="0"/>
    <x v="148"/>
    <n v="19"/>
    <x v="1"/>
    <x v="1"/>
    <n v="874"/>
    <n v="223.1121281464531"/>
    <s v="Medium"/>
  </r>
  <r>
    <s v="2299 DENBY Drive"/>
    <x v="0"/>
    <x v="0"/>
    <x v="148"/>
    <n v="6"/>
    <x v="1"/>
    <x v="1"/>
    <n v="700"/>
    <n v="278.57142857142856"/>
    <s v="Medium"/>
  </r>
  <r>
    <s v="3796 ELLWOOD Avenue Avenue"/>
    <x v="25"/>
    <x v="0"/>
    <x v="148"/>
    <n v="45"/>
    <x v="1"/>
    <x v="1"/>
    <n v="974"/>
    <n v="200.20533880903491"/>
    <s v="Medium"/>
  </r>
  <r>
    <s v="96 W TACOMA Street"/>
    <x v="30"/>
    <x v="0"/>
    <x v="148"/>
    <n v="7"/>
    <x v="1"/>
    <x v="1"/>
    <n v="864"/>
    <n v="225.69444444444446"/>
    <s v="Medium"/>
  </r>
  <r>
    <s v="1116 VESTER Street"/>
    <x v="6"/>
    <x v="0"/>
    <x v="148"/>
    <n v="18"/>
    <x v="2"/>
    <x v="1"/>
    <n v="895"/>
    <n v="217.87709497206703"/>
    <s v="Medium"/>
  </r>
  <r>
    <s v="1005 W 12 MILE Road"/>
    <x v="18"/>
    <x v="0"/>
    <x v="148"/>
    <n v="4"/>
    <x v="1"/>
    <x v="1"/>
    <n v="808"/>
    <n v="241.33663366336634"/>
    <s v="Medium"/>
  </r>
  <r>
    <s v="28705 EVERETT Street"/>
    <x v="12"/>
    <x v="0"/>
    <x v="148"/>
    <n v="7"/>
    <x v="2"/>
    <x v="2"/>
    <n v="1027"/>
    <n v="189.87341772151899"/>
    <s v="Low"/>
  </r>
  <r>
    <s v="59 W PEARL Avenue"/>
    <x v="7"/>
    <x v="0"/>
    <x v="148"/>
    <n v="19"/>
    <x v="2"/>
    <x v="1"/>
    <n v="895"/>
    <n v="217.87709497206703"/>
    <s v="Medium"/>
  </r>
  <r>
    <s v="6214 ANDERSONVILLE Road"/>
    <x v="0"/>
    <x v="0"/>
    <x v="148"/>
    <n v="114"/>
    <x v="2"/>
    <x v="1"/>
    <n v="1014"/>
    <n v="192.30769230769232"/>
    <s v="Low"/>
  </r>
  <r>
    <s v="1686 BEECH"/>
    <x v="22"/>
    <x v="0"/>
    <x v="148"/>
    <n v="366"/>
    <x v="2"/>
    <x v="2"/>
    <n v="1302"/>
    <n v="149.76958525345623"/>
    <s v="Low"/>
  </r>
  <r>
    <s v="2338 MAHAN Street"/>
    <x v="6"/>
    <x v="0"/>
    <x v="148"/>
    <n v="114"/>
    <x v="2"/>
    <x v="1"/>
    <n v="912"/>
    <n v="213.81578947368422"/>
    <s v="Medium"/>
  </r>
  <r>
    <s v="20825 PARKSIDE Boulevard"/>
    <x v="19"/>
    <x v="0"/>
    <x v="148"/>
    <n v="174"/>
    <x v="2"/>
    <x v="3"/>
    <n v="1179"/>
    <n v="165.39440203562341"/>
    <s v="Low"/>
  </r>
  <r>
    <s v="8870 CROSBY LAKE Road"/>
    <x v="28"/>
    <x v="0"/>
    <x v="148"/>
    <n v="8"/>
    <x v="2"/>
    <x v="3"/>
    <n v="1001"/>
    <n v="194.80519480519482"/>
    <s v="Low"/>
  </r>
  <r>
    <s v="2914 Horton St"/>
    <x v="6"/>
    <x v="0"/>
    <x v="149"/>
    <n v="53"/>
    <x v="1"/>
    <x v="1"/>
    <n v="764"/>
    <n v="255.89005235602093"/>
    <s v="Medium"/>
  </r>
  <r>
    <s v="624 S Vermont Avenue"/>
    <x v="18"/>
    <x v="0"/>
    <x v="150"/>
    <n v="33"/>
    <x v="2"/>
    <x v="2"/>
    <n v="1068"/>
    <n v="183.52059925093633"/>
    <s v="Low"/>
  </r>
  <r>
    <s v="624 S VERMONT Avenue"/>
    <x v="18"/>
    <x v="0"/>
    <x v="150"/>
    <n v="8"/>
    <x v="2"/>
    <x v="2"/>
    <n v="1068"/>
    <n v="183.52059925093633"/>
    <s v="Low"/>
  </r>
  <r>
    <s v="821 E Bernhard Avenue"/>
    <x v="7"/>
    <x v="0"/>
    <x v="150"/>
    <n v="14"/>
    <x v="0"/>
    <x v="1"/>
    <n v="1113"/>
    <n v="176.10062893081761"/>
    <s v="Low"/>
  </r>
  <r>
    <s v="84 N GENESEE Avenue"/>
    <x v="1"/>
    <x v="0"/>
    <x v="151"/>
    <n v="4"/>
    <x v="2"/>
    <x v="5"/>
    <n v="1538"/>
    <n v="128.08842652795838"/>
    <s v="Low"/>
  </r>
  <r>
    <s v="696 Crescent Lake Road"/>
    <x v="0"/>
    <x v="0"/>
    <x v="151"/>
    <n v="44"/>
    <x v="0"/>
    <x v="4"/>
    <n v="1050"/>
    <n v="187.61904761904762"/>
    <s v="Low"/>
  </r>
  <r>
    <s v="1516 E CHESTERFIELD Street"/>
    <x v="6"/>
    <x v="0"/>
    <x v="151"/>
    <n v="24"/>
    <x v="2"/>
    <x v="1"/>
    <n v="1058"/>
    <n v="186.20037807183365"/>
    <s v="Low"/>
  </r>
  <r>
    <s v="10 W BURDICK Street"/>
    <x v="31"/>
    <x v="0"/>
    <x v="151"/>
    <n v="101"/>
    <x v="2"/>
    <x v="2"/>
    <n v="1690"/>
    <n v="116.5680473372781"/>
    <s v="Low"/>
  </r>
  <r>
    <s v="17260 Magnolia Parkway"/>
    <x v="12"/>
    <x v="0"/>
    <x v="152"/>
    <n v="9"/>
    <x v="2"/>
    <x v="3"/>
    <n v="1686"/>
    <n v="117.141162514828"/>
    <s v="Low"/>
  </r>
  <r>
    <s v="2435 ROSELAWN Street"/>
    <x v="32"/>
    <x v="0"/>
    <x v="153"/>
    <n v="7"/>
    <x v="2"/>
    <x v="1"/>
    <n v="1100"/>
    <n v="180"/>
    <s v="Low"/>
  </r>
  <r>
    <s v="412 WHIPPLE Street"/>
    <x v="16"/>
    <x v="0"/>
    <x v="154"/>
    <n v="6"/>
    <x v="1"/>
    <x v="1"/>
    <n v="794"/>
    <n v="250"/>
    <s v="Medium"/>
  </r>
  <r>
    <s v="2266 NEWBERRY Road"/>
    <x v="0"/>
    <x v="0"/>
    <x v="154"/>
    <n v="53"/>
    <x v="2"/>
    <x v="2"/>
    <n v="1124"/>
    <n v="176.60142348754448"/>
    <s v="Low"/>
  </r>
  <r>
    <s v="1867 PAYSON Road"/>
    <x v="33"/>
    <x v="0"/>
    <x v="155"/>
    <n v="32"/>
    <x v="0"/>
    <x v="1"/>
    <n v="1476"/>
    <n v="134.82384823848238"/>
    <s v="Low"/>
  </r>
  <r>
    <s v="26074 BARRINGTON Street"/>
    <x v="8"/>
    <x v="0"/>
    <x v="156"/>
    <n v="9"/>
    <x v="2"/>
    <x v="1"/>
    <n v="1000"/>
    <n v="199.5"/>
    <s v="Low"/>
  </r>
  <r>
    <s v="1541 E WATTLES Road"/>
    <x v="22"/>
    <x v="0"/>
    <x v="157"/>
    <n v="25"/>
    <x v="2"/>
    <x v="1"/>
    <n v="1436"/>
    <n v="139.06685236768803"/>
    <s v="Low"/>
  </r>
  <r>
    <s v="14220 Greenbriar"/>
    <x v="15"/>
    <x v="0"/>
    <x v="158"/>
    <n v="9"/>
    <x v="2"/>
    <x v="2"/>
    <n v="1398"/>
    <n v="142.98998569384835"/>
    <s v="Low"/>
  </r>
  <r>
    <s v="3915 LAWLEY Avenue"/>
    <x v="0"/>
    <x v="0"/>
    <x v="158"/>
    <n v="8"/>
    <x v="2"/>
    <x v="1"/>
    <n v="953"/>
    <n v="209.75865687303252"/>
    <s v="Medium"/>
  </r>
  <r>
    <s v="6031 SOUTHWARD Avenue"/>
    <x v="0"/>
    <x v="0"/>
    <x v="159"/>
    <n v="2"/>
    <x v="2"/>
    <x v="1"/>
    <n v="1290"/>
    <n v="155.03875968992247"/>
    <s v="Low"/>
  </r>
  <r>
    <s v="670 3RD Avenue"/>
    <x v="1"/>
    <x v="0"/>
    <x v="159"/>
    <n v="5"/>
    <x v="2"/>
    <x v="3"/>
    <n v="1034"/>
    <n v="193.42359767891682"/>
    <s v="Low"/>
  </r>
  <r>
    <s v="864 MENOMINEE Road"/>
    <x v="1"/>
    <x v="0"/>
    <x v="159"/>
    <n v="13"/>
    <x v="0"/>
    <x v="2"/>
    <n v="1522"/>
    <n v="131.4060446780552"/>
    <s v="Low"/>
  </r>
  <r>
    <s v="635 JOHN M Avenue"/>
    <x v="30"/>
    <x v="0"/>
    <x v="159"/>
    <n v="3"/>
    <x v="1"/>
    <x v="2"/>
    <n v="951"/>
    <n v="210.3049421661409"/>
    <s v="Medium"/>
  </r>
  <r>
    <s v="2149 PONTIAC Drive"/>
    <x v="34"/>
    <x v="0"/>
    <x v="159"/>
    <n v="59"/>
    <x v="1"/>
    <x v="1"/>
    <n v="869"/>
    <n v="230.14959723820482"/>
    <s v="Medium"/>
  </r>
  <r>
    <s v="78 Leota Boulevard"/>
    <x v="35"/>
    <x v="0"/>
    <x v="159"/>
    <n v="43"/>
    <x v="7"/>
    <x v="6"/>
    <n v="1528"/>
    <n v="130.89005235602093"/>
    <s v="Low"/>
  </r>
  <r>
    <s v="1816 JUNE Avenue"/>
    <x v="3"/>
    <x v="0"/>
    <x v="159"/>
    <n v="4"/>
    <x v="1"/>
    <x v="1"/>
    <n v="760"/>
    <n v="263.15789473684208"/>
    <s v="Medium"/>
  </r>
  <r>
    <s v="4482 ROHR Road"/>
    <x v="29"/>
    <x v="0"/>
    <x v="159"/>
    <n v="1"/>
    <x v="1"/>
    <x v="3"/>
    <n v="1525"/>
    <n v="131.14754098360655"/>
    <s v="Low"/>
  </r>
  <r>
    <s v="1504 MOULIN Ave"/>
    <x v="8"/>
    <x v="0"/>
    <x v="159"/>
    <n v="65"/>
    <x v="2"/>
    <x v="1"/>
    <n v="1120"/>
    <n v="178.57142857142858"/>
    <s v="Low"/>
  </r>
  <r>
    <s v="2961 HUNTINGTON PARK Drive"/>
    <x v="0"/>
    <x v="0"/>
    <x v="159"/>
    <n v="84"/>
    <x v="2"/>
    <x v="1"/>
    <n v="1345"/>
    <n v="148.6988847583643"/>
    <s v="Low"/>
  </r>
  <r>
    <s v="24225 COOLIDGE"/>
    <x v="15"/>
    <x v="0"/>
    <x v="159"/>
    <n v="101"/>
    <x v="2"/>
    <x v="5"/>
    <n v="1528"/>
    <n v="130.89005235602093"/>
    <s v="Low"/>
  </r>
  <r>
    <s v="25322 KILDARE Street"/>
    <x v="12"/>
    <x v="0"/>
    <x v="159"/>
    <n v="71"/>
    <x v="2"/>
    <x v="3"/>
    <n v="1409"/>
    <n v="141.94464158977999"/>
    <s v="Low"/>
  </r>
  <r>
    <s v="1270 Kalama Avenue"/>
    <x v="8"/>
    <x v="0"/>
    <x v="160"/>
    <n v="13"/>
    <x v="1"/>
    <x v="1"/>
    <n v="1000"/>
    <n v="201"/>
    <s v="Medium"/>
  </r>
  <r>
    <s v="590 Hecht"/>
    <x v="8"/>
    <x v="0"/>
    <x v="160"/>
    <n v="60"/>
    <x v="2"/>
    <x v="1"/>
    <n v="980"/>
    <n v="205.10204081632654"/>
    <s v="Medium"/>
  </r>
  <r>
    <s v="537 E LINCOLN Avenue"/>
    <x v="8"/>
    <x v="0"/>
    <x v="161"/>
    <n v="7"/>
    <x v="2"/>
    <x v="1"/>
    <n v="1035"/>
    <n v="195.16908212560386"/>
    <s v="Low"/>
  </r>
  <r>
    <s v="28480 SUTHERLAND Street"/>
    <x v="12"/>
    <x v="0"/>
    <x v="162"/>
    <n v="22"/>
    <x v="2"/>
    <x v="2"/>
    <n v="1426"/>
    <n v="142.35624123422159"/>
    <s v="Low"/>
  </r>
  <r>
    <s v="116 W Shevlin"/>
    <x v="7"/>
    <x v="0"/>
    <x v="163"/>
    <n v="5"/>
    <x v="2"/>
    <x v="1"/>
    <n v="1009"/>
    <n v="201.68483647175421"/>
    <s v="Medium"/>
  </r>
  <r>
    <s v="6570 SALINE Drive"/>
    <x v="0"/>
    <x v="0"/>
    <x v="164"/>
    <n v="61"/>
    <x v="2"/>
    <x v="1"/>
    <n v="960"/>
    <n v="212.29166666666666"/>
    <s v="Medium"/>
  </r>
  <r>
    <s v="3161 Terry"/>
    <x v="14"/>
    <x v="0"/>
    <x v="165"/>
    <n v="33"/>
    <x v="1"/>
    <x v="3"/>
    <n v="848"/>
    <n v="240.56603773584905"/>
    <s v="Medium"/>
  </r>
  <r>
    <s v="95 Chopin Avenue"/>
    <x v="22"/>
    <x v="0"/>
    <x v="166"/>
    <n v="8"/>
    <x v="1"/>
    <x v="1"/>
    <n v="995"/>
    <n v="205.42713567839195"/>
    <s v="Medium"/>
  </r>
  <r>
    <s v="4556 CHADSWORTH Street"/>
    <x v="14"/>
    <x v="0"/>
    <x v="167"/>
    <n v="32"/>
    <x v="2"/>
    <x v="3"/>
    <n v="1164"/>
    <n v="176.1168384879725"/>
    <s v="Low"/>
  </r>
  <r>
    <s v="23718 WILDWOOD Street"/>
    <x v="15"/>
    <x v="0"/>
    <x v="167"/>
    <n v="2"/>
    <x v="2"/>
    <x v="3"/>
    <n v="1357"/>
    <n v="151.06853352984524"/>
    <s v="Low"/>
  </r>
  <r>
    <s v="29646 Spoon"/>
    <x v="8"/>
    <x v="0"/>
    <x v="167"/>
    <n v="38"/>
    <x v="2"/>
    <x v="1"/>
    <n v="1008"/>
    <n v="203.37301587301587"/>
    <s v="Medium"/>
  </r>
  <r>
    <s v="1009 WINIFRED Drive"/>
    <x v="23"/>
    <x v="0"/>
    <x v="167"/>
    <n v="16"/>
    <x v="2"/>
    <x v="2"/>
    <n v="912"/>
    <n v="224.78070175438597"/>
    <s v="Medium"/>
  </r>
  <r>
    <s v="27112 DARTMOUTH Street"/>
    <x v="8"/>
    <x v="0"/>
    <x v="167"/>
    <n v="39"/>
    <x v="2"/>
    <x v="1"/>
    <n v="962"/>
    <n v="213.0977130977131"/>
    <s v="Medium"/>
  </r>
  <r>
    <s v="95 N WASHINGTON Street"/>
    <x v="31"/>
    <x v="0"/>
    <x v="167"/>
    <n v="41"/>
    <x v="0"/>
    <x v="1"/>
    <n v="1469"/>
    <n v="139.55071477195372"/>
    <s v="Low"/>
  </r>
  <r>
    <s v="2448 W AUBURN Road"/>
    <x v="3"/>
    <x v="0"/>
    <x v="167"/>
    <n v="118"/>
    <x v="2"/>
    <x v="2"/>
    <n v="1362"/>
    <n v="150.51395007342143"/>
    <s v="Low"/>
  </r>
  <r>
    <s v="1479 MORLEY Avenue"/>
    <x v="3"/>
    <x v="0"/>
    <x v="168"/>
    <n v="5"/>
    <x v="2"/>
    <x v="1"/>
    <n v="1040"/>
    <n v="198.07692307692307"/>
    <s v="Low"/>
  </r>
  <r>
    <s v="1543 GRINSHAW Street"/>
    <x v="14"/>
    <x v="0"/>
    <x v="168"/>
    <n v="65"/>
    <x v="0"/>
    <x v="2"/>
    <n v="1367"/>
    <n v="150.6949524506218"/>
    <s v="Low"/>
  </r>
  <r>
    <s v="6798 SALINE Drive"/>
    <x v="0"/>
    <x v="0"/>
    <x v="168"/>
    <n v="116"/>
    <x v="1"/>
    <x v="1"/>
    <n v="1270"/>
    <n v="162.20472440944883"/>
    <s v="Low"/>
  </r>
  <r>
    <s v="1041 E Robert"/>
    <x v="7"/>
    <x v="0"/>
    <x v="169"/>
    <n v="2"/>
    <x v="2"/>
    <x v="2"/>
    <n v="929"/>
    <n v="222.82023681377825"/>
    <s v="Medium"/>
  </r>
  <r>
    <s v="54 DAKOTA Street"/>
    <x v="1"/>
    <x v="0"/>
    <x v="170"/>
    <n v="52"/>
    <x v="0"/>
    <x v="2"/>
    <n v="1544"/>
    <n v="134.39119170984455"/>
    <s v="Low"/>
  </r>
  <r>
    <s v="2621 VOORHEIS Road"/>
    <x v="0"/>
    <x v="0"/>
    <x v="171"/>
    <n v="2"/>
    <x v="2"/>
    <x v="2"/>
    <n v="1141"/>
    <n v="182.29623137598597"/>
    <s v="Low"/>
  </r>
  <r>
    <s v="1912 KALAMA Avenue"/>
    <x v="18"/>
    <x v="0"/>
    <x v="171"/>
    <n v="15"/>
    <x v="1"/>
    <x v="1"/>
    <n v="906"/>
    <n v="229.58057395143487"/>
    <s v="Medium"/>
  </r>
  <r>
    <s v="830 HARTNER Drive"/>
    <x v="23"/>
    <x v="0"/>
    <x v="171"/>
    <n v="3"/>
    <x v="2"/>
    <x v="1"/>
    <n v="1552"/>
    <n v="134.02061855670104"/>
    <s v="Low"/>
  </r>
  <r>
    <s v="228 Oriley"/>
    <x v="1"/>
    <x v="0"/>
    <x v="172"/>
    <n v="6"/>
    <x v="2"/>
    <x v="3"/>
    <n v="1287"/>
    <n v="162.00466200466201"/>
    <s v="Low"/>
  </r>
  <r>
    <s v="6404 Saline Drive"/>
    <x v="0"/>
    <x v="0"/>
    <x v="173"/>
    <n v="1"/>
    <x v="0"/>
    <x v="10"/>
    <n v="1920"/>
    <n v="108.85416666666667"/>
    <s v="Low"/>
  </r>
  <r>
    <s v="23530 Seneca"/>
    <x v="15"/>
    <x v="0"/>
    <x v="174"/>
    <n v="19"/>
    <x v="2"/>
    <x v="1"/>
    <n v="1009"/>
    <n v="207.63131813676907"/>
    <s v="Medium"/>
  </r>
  <r>
    <s v="27116 Delton"/>
    <x v="8"/>
    <x v="0"/>
    <x v="175"/>
    <n v="10"/>
    <x v="1"/>
    <x v="1"/>
    <n v="926"/>
    <n v="226.78185745140388"/>
    <s v="Medium"/>
  </r>
  <r>
    <s v="106 Lakeview Street"/>
    <x v="23"/>
    <x v="0"/>
    <x v="175"/>
    <n v="41"/>
    <x v="1"/>
    <x v="1"/>
    <n v="1343"/>
    <n v="156.36634400595682"/>
    <s v="Low"/>
  </r>
  <r>
    <s v="9310 HILLCREST"/>
    <x v="28"/>
    <x v="0"/>
    <x v="175"/>
    <n v="6"/>
    <x v="1"/>
    <x v="1"/>
    <n v="951"/>
    <n v="220.82018927444796"/>
    <s v="Medium"/>
  </r>
  <r>
    <s v="106 LAKEVIEW Street"/>
    <x v="23"/>
    <x v="0"/>
    <x v="175"/>
    <n v="7"/>
    <x v="1"/>
    <x v="1"/>
    <n v="1343"/>
    <n v="156.36634400595682"/>
    <s v="Low"/>
  </r>
  <r>
    <s v="1221 West Boulevard"/>
    <x v="25"/>
    <x v="0"/>
    <x v="175"/>
    <n v="27"/>
    <x v="0"/>
    <x v="2"/>
    <n v="793"/>
    <n v="264.81715006305171"/>
    <s v="Medium"/>
  </r>
  <r>
    <s v="1176 HARTLAND Drive"/>
    <x v="22"/>
    <x v="0"/>
    <x v="175"/>
    <n v="17"/>
    <x v="1"/>
    <x v="1"/>
    <n v="900"/>
    <n v="233.33333333333334"/>
    <s v="Medium"/>
  </r>
  <r>
    <s v="4013 DEVON Road"/>
    <x v="18"/>
    <x v="0"/>
    <x v="175"/>
    <n v="12"/>
    <x v="1"/>
    <x v="1"/>
    <n v="800"/>
    <n v="262.5"/>
    <s v="Medium"/>
  </r>
  <r>
    <s v="4805 FENMORE Avenue"/>
    <x v="0"/>
    <x v="0"/>
    <x v="175"/>
    <n v="46"/>
    <x v="1"/>
    <x v="1"/>
    <n v="754"/>
    <n v="278.51458885941645"/>
    <s v="Medium"/>
  </r>
  <r>
    <s v="1221 WEST Boulevard"/>
    <x v="25"/>
    <x v="0"/>
    <x v="175"/>
    <n v="42"/>
    <x v="1"/>
    <x v="1"/>
    <n v="793"/>
    <n v="264.81715006305171"/>
    <s v="Medium"/>
  </r>
  <r>
    <s v="28146 PARK Court"/>
    <x v="8"/>
    <x v="0"/>
    <x v="176"/>
    <n v="4"/>
    <x v="2"/>
    <x v="1"/>
    <n v="1056"/>
    <n v="199.33712121212122"/>
    <s v="Low"/>
  </r>
  <r>
    <s v="28748 Herbert"/>
    <x v="8"/>
    <x v="0"/>
    <x v="177"/>
    <n v="7"/>
    <x v="2"/>
    <x v="2"/>
    <n v="1050"/>
    <n v="200.95238095238096"/>
    <s v="Medium"/>
  </r>
  <r>
    <s v="27811 BARRINGTON Street"/>
    <x v="8"/>
    <x v="0"/>
    <x v="178"/>
    <n v="3"/>
    <x v="0"/>
    <x v="1"/>
    <n v="1383"/>
    <n v="153.28994938539407"/>
    <s v="Low"/>
  </r>
  <r>
    <s v="5500 SUNWOOD Drive"/>
    <x v="0"/>
    <x v="0"/>
    <x v="179"/>
    <n v="52"/>
    <x v="1"/>
    <x v="1"/>
    <n v="771"/>
    <n v="275.61608300907909"/>
    <s v="Medium"/>
  </r>
  <r>
    <s v="636 W BROCKTON Avenue"/>
    <x v="8"/>
    <x v="0"/>
    <x v="180"/>
    <n v="19"/>
    <x v="2"/>
    <x v="2"/>
    <n v="1386"/>
    <n v="153.67965367965368"/>
    <s v="Low"/>
  </r>
  <r>
    <s v="62 SCOTT LAKE Road"/>
    <x v="0"/>
    <x v="0"/>
    <x v="180"/>
    <n v="5"/>
    <x v="2"/>
    <x v="1"/>
    <n v="1080"/>
    <n v="197.22222222222223"/>
    <s v="Low"/>
  </r>
  <r>
    <s v="2351 DEXTER Road"/>
    <x v="5"/>
    <x v="0"/>
    <x v="181"/>
    <n v="4"/>
    <x v="0"/>
    <x v="1"/>
    <n v="1248"/>
    <n v="171.55448717948718"/>
    <s v="Low"/>
  </r>
  <r>
    <s v="19621 GOLDWIN Street"/>
    <x v="12"/>
    <x v="0"/>
    <x v="182"/>
    <n v="13"/>
    <x v="2"/>
    <x v="1"/>
    <n v="1442"/>
    <n v="149.02912621359224"/>
    <s v="Low"/>
  </r>
  <r>
    <s v="2307 GEORGELAND Drive"/>
    <x v="0"/>
    <x v="0"/>
    <x v="182"/>
    <n v="7"/>
    <x v="2"/>
    <x v="1"/>
    <n v="1260"/>
    <n v="170.55555555555554"/>
    <s v="Low"/>
  </r>
  <r>
    <s v="903 Emma Dr"/>
    <x v="23"/>
    <x v="0"/>
    <x v="183"/>
    <n v="6"/>
    <x v="2"/>
    <x v="1"/>
    <n v="1104"/>
    <n v="194.74637681159419"/>
    <s v="Low"/>
  </r>
  <r>
    <s v="422 FERNBARRY Drive"/>
    <x v="0"/>
    <x v="0"/>
    <x v="183"/>
    <n v="4"/>
    <x v="2"/>
    <x v="3"/>
    <n v="1014"/>
    <n v="212.03155818540435"/>
    <s v="Medium"/>
  </r>
  <r>
    <s v="25707 MIRACLE Drive"/>
    <x v="8"/>
    <x v="0"/>
    <x v="183"/>
    <n v="6"/>
    <x v="2"/>
    <x v="1"/>
    <n v="1100"/>
    <n v="195.45454545454547"/>
    <s v="Low"/>
  </r>
  <r>
    <s v="30184 PALMER Boulevard"/>
    <x v="8"/>
    <x v="0"/>
    <x v="183"/>
    <n v="27"/>
    <x v="2"/>
    <x v="1"/>
    <n v="980"/>
    <n v="219.38775510204081"/>
    <s v="Medium"/>
  </r>
  <r>
    <s v="2524 N TRAIL Court"/>
    <x v="14"/>
    <x v="0"/>
    <x v="183"/>
    <n v="3"/>
    <x v="3"/>
    <x v="3"/>
    <n v="1814"/>
    <n v="118.5226019845645"/>
    <s v="Low"/>
  </r>
  <r>
    <s v="69 W ROBERT Avenue"/>
    <x v="7"/>
    <x v="0"/>
    <x v="183"/>
    <n v="16"/>
    <x v="2"/>
    <x v="2"/>
    <n v="1341"/>
    <n v="160.32811334824757"/>
    <s v="Low"/>
  </r>
  <r>
    <s v="27729 SHIAWASSEE Road"/>
    <x v="11"/>
    <x v="0"/>
    <x v="183"/>
    <n v="9"/>
    <x v="2"/>
    <x v="1"/>
    <n v="1000"/>
    <n v="215"/>
    <s v="Medium"/>
  </r>
  <r>
    <s v="590 ALBERTA Street"/>
    <x v="5"/>
    <x v="0"/>
    <x v="183"/>
    <n v="5"/>
    <x v="1"/>
    <x v="2"/>
    <n v="1340"/>
    <n v="160.44776119402985"/>
    <s v="Low"/>
  </r>
  <r>
    <s v="26520 Lenox"/>
    <x v="8"/>
    <x v="0"/>
    <x v="183"/>
    <n v="11"/>
    <x v="2"/>
    <x v="1"/>
    <n v="960"/>
    <n v="223.95833333333334"/>
    <s v="Medium"/>
  </r>
  <r>
    <s v="400 Josephine Avenue"/>
    <x v="18"/>
    <x v="0"/>
    <x v="183"/>
    <n v="69"/>
    <x v="1"/>
    <x v="1"/>
    <n v="725"/>
    <n v="296.55172413793105"/>
    <s v="Medium"/>
  </r>
  <r>
    <s v="29104 HOWARD Avenue"/>
    <x v="8"/>
    <x v="0"/>
    <x v="183"/>
    <n v="5"/>
    <x v="2"/>
    <x v="1"/>
    <n v="999"/>
    <n v="215.21521521521521"/>
    <s v="Medium"/>
  </r>
  <r>
    <s v="1704 UNIVERSITY Street"/>
    <x v="6"/>
    <x v="0"/>
    <x v="183"/>
    <n v="22"/>
    <x v="2"/>
    <x v="1"/>
    <n v="980"/>
    <n v="219.38775510204081"/>
    <s v="Medium"/>
  </r>
  <r>
    <s v="4710 INDEPENDENCE Drive"/>
    <x v="29"/>
    <x v="0"/>
    <x v="183"/>
    <n v="25"/>
    <x v="2"/>
    <x v="2"/>
    <n v="1707"/>
    <n v="125.95196250732279"/>
    <s v="Low"/>
  </r>
  <r>
    <s v="1705 ROSZEL Street"/>
    <x v="18"/>
    <x v="0"/>
    <x v="183"/>
    <n v="80"/>
    <x v="1"/>
    <x v="1"/>
    <n v="1212"/>
    <n v="177.39273927392739"/>
    <s v="Low"/>
  </r>
  <r>
    <s v="27097 Nanton"/>
    <x v="8"/>
    <x v="0"/>
    <x v="184"/>
    <n v="45"/>
    <x v="2"/>
    <x v="1"/>
    <n v="1100"/>
    <n v="196.36363636363637"/>
    <s v="Low"/>
  </r>
  <r>
    <s v="12811 OAK PARK Boulevard"/>
    <x v="15"/>
    <x v="0"/>
    <x v="185"/>
    <n v="27"/>
    <x v="2"/>
    <x v="3"/>
    <n v="1080"/>
    <n v="200.30092592592592"/>
    <s v="Medium"/>
  </r>
  <r>
    <s v="9087 BUCKINGHAM Street"/>
    <x v="10"/>
    <x v="0"/>
    <x v="186"/>
    <n v="217"/>
    <x v="1"/>
    <x v="2"/>
    <n v="1746"/>
    <n v="123.94043528064147"/>
    <s v="Low"/>
  </r>
  <r>
    <s v="43 N GLASPIE Street"/>
    <x v="31"/>
    <x v="0"/>
    <x v="187"/>
    <n v="7"/>
    <x v="0"/>
    <x v="2"/>
    <n v="1746"/>
    <n v="123.99770904925543"/>
    <s v="Low"/>
  </r>
  <r>
    <s v="23570 Moritz"/>
    <x v="15"/>
    <x v="0"/>
    <x v="188"/>
    <n v="5"/>
    <x v="2"/>
    <x v="1"/>
    <n v="1100"/>
    <n v="197.72727272727272"/>
    <s v="Low"/>
  </r>
  <r>
    <s v="6365 SALINE Drive"/>
    <x v="0"/>
    <x v="0"/>
    <x v="189"/>
    <n v="9"/>
    <x v="2"/>
    <x v="1"/>
    <n v="1000"/>
    <n v="218"/>
    <s v="Medium"/>
  </r>
  <r>
    <s v="23704 Couzens"/>
    <x v="7"/>
    <x v="0"/>
    <x v="189"/>
    <n v="0"/>
    <x v="0"/>
    <x v="2"/>
    <n v="1126"/>
    <n v="193.60568383658969"/>
    <s v="Low"/>
  </r>
  <r>
    <s v="23240 EASTWOOD Street"/>
    <x v="15"/>
    <x v="0"/>
    <x v="189"/>
    <n v="47"/>
    <x v="2"/>
    <x v="2"/>
    <n v="1094"/>
    <n v="199.26873857404021"/>
    <s v="Low"/>
  </r>
  <r>
    <s v="406 Atwater"/>
    <x v="36"/>
    <x v="0"/>
    <x v="190"/>
    <n v="21"/>
    <x v="2"/>
    <x v="1"/>
    <n v="1044"/>
    <n v="210.63218390804599"/>
    <s v="Medium"/>
  </r>
  <r>
    <s v="19022 GOLDWIN Street"/>
    <x v="12"/>
    <x v="0"/>
    <x v="190"/>
    <n v="45"/>
    <x v="1"/>
    <x v="1"/>
    <n v="1054"/>
    <n v="208.63377609108159"/>
    <s v="Medium"/>
  </r>
  <r>
    <s v="23630 Parklawn Street"/>
    <x v="15"/>
    <x v="0"/>
    <x v="191"/>
    <n v="4"/>
    <x v="2"/>
    <x v="3"/>
    <n v="1292"/>
    <n v="170.27863777089783"/>
    <s v="Low"/>
  </r>
  <r>
    <s v="910 W MAPLEHURST Street"/>
    <x v="6"/>
    <x v="0"/>
    <x v="191"/>
    <n v="1"/>
    <x v="2"/>
    <x v="1"/>
    <n v="1066"/>
    <n v="206.37898686679173"/>
    <s v="Medium"/>
  </r>
  <r>
    <s v="74 PRESTON Avenue"/>
    <x v="0"/>
    <x v="0"/>
    <x v="191"/>
    <n v="27"/>
    <x v="2"/>
    <x v="3"/>
    <n v="1248"/>
    <n v="176.28205128205127"/>
    <s v="Low"/>
  </r>
  <r>
    <s v="23161 Cayuga"/>
    <x v="7"/>
    <x v="0"/>
    <x v="191"/>
    <n v="53"/>
    <x v="2"/>
    <x v="10"/>
    <n v="1650"/>
    <n v="133.33333333333334"/>
    <s v="Low"/>
  </r>
  <r>
    <s v="23995 Edinburgh Street"/>
    <x v="12"/>
    <x v="0"/>
    <x v="191"/>
    <n v="45"/>
    <x v="1"/>
    <x v="5"/>
    <n v="1610"/>
    <n v="136.64596273291926"/>
    <s v="Low"/>
  </r>
  <r>
    <s v="1595 W 13 MILE Road"/>
    <x v="8"/>
    <x v="0"/>
    <x v="191"/>
    <n v="45"/>
    <x v="2"/>
    <x v="3"/>
    <n v="1190"/>
    <n v="184.87394957983193"/>
    <s v="Low"/>
  </r>
  <r>
    <s v="346 DOVER Road"/>
    <x v="0"/>
    <x v="0"/>
    <x v="191"/>
    <n v="3"/>
    <x v="2"/>
    <x v="1"/>
    <n v="912"/>
    <n v="241.2280701754386"/>
    <s v="Medium"/>
  </r>
  <r>
    <s v="633 E HARWOOD Avenue"/>
    <x v="8"/>
    <x v="0"/>
    <x v="191"/>
    <n v="25"/>
    <x v="2"/>
    <x v="1"/>
    <n v="1408"/>
    <n v="156.25"/>
    <s v="Low"/>
  </r>
  <r>
    <s v="8745 Kenberton"/>
    <x v="15"/>
    <x v="0"/>
    <x v="191"/>
    <n v="34"/>
    <x v="2"/>
    <x v="3"/>
    <n v="1181"/>
    <n v="186.28281117696866"/>
    <s v="Low"/>
  </r>
  <r>
    <s v="3663 BIRD Road"/>
    <x v="27"/>
    <x v="0"/>
    <x v="191"/>
    <n v="75"/>
    <x v="2"/>
    <x v="3"/>
    <n v="1520"/>
    <n v="144.73684210526315"/>
    <s v="Low"/>
  </r>
  <r>
    <s v="1427 W Hazelhurst"/>
    <x v="6"/>
    <x v="0"/>
    <x v="191"/>
    <n v="37"/>
    <x v="2"/>
    <x v="3"/>
    <n v="1100"/>
    <n v="200"/>
    <s v="Low"/>
  </r>
  <r>
    <s v="6625 LANMAN Drive"/>
    <x v="0"/>
    <x v="0"/>
    <x v="191"/>
    <n v="81"/>
    <x v="2"/>
    <x v="1"/>
    <n v="608"/>
    <n v="361.84210526315792"/>
    <s v="High"/>
  </r>
  <r>
    <s v="1538 W HAZELHURST Street"/>
    <x v="6"/>
    <x v="0"/>
    <x v="191"/>
    <n v="79"/>
    <x v="1"/>
    <x v="1"/>
    <n v="900"/>
    <n v="244.44444444444446"/>
    <s v="Medium"/>
  </r>
  <r>
    <s v="27612 SHAGBARK Drive"/>
    <x v="12"/>
    <x v="0"/>
    <x v="191"/>
    <n v="2"/>
    <x v="0"/>
    <x v="3"/>
    <n v="1450"/>
    <n v="151.72413793103448"/>
    <s v="Low"/>
  </r>
  <r>
    <s v="2717 Rochester"/>
    <x v="18"/>
    <x v="0"/>
    <x v="191"/>
    <n v="57"/>
    <x v="2"/>
    <x v="1"/>
    <n v="1008"/>
    <n v="218.25396825396825"/>
    <s v="Medium"/>
  </r>
  <r>
    <s v="652 Franklin Rd"/>
    <x v="1"/>
    <x v="0"/>
    <x v="191"/>
    <n v="89"/>
    <x v="2"/>
    <x v="2"/>
    <n v="1510"/>
    <n v="145.6953642384106"/>
    <s v="Low"/>
  </r>
  <r>
    <s v="4015 Cresthaven Drive"/>
    <x v="0"/>
    <x v="0"/>
    <x v="192"/>
    <n v="34"/>
    <x v="7"/>
    <x v="6"/>
    <n v="1160"/>
    <n v="190.08620689655172"/>
    <s v="Low"/>
  </r>
  <r>
    <s v="22470 BROOKSIDE Drive"/>
    <x v="12"/>
    <x v="0"/>
    <x v="192"/>
    <n v="91"/>
    <x v="1"/>
    <x v="1"/>
    <n v="1447"/>
    <n v="152.38424326192123"/>
    <s v="Low"/>
  </r>
  <r>
    <s v="2442 FLINTRIDGE Street"/>
    <x v="13"/>
    <x v="0"/>
    <x v="193"/>
    <n v="15"/>
    <x v="0"/>
    <x v="2"/>
    <n v="1225"/>
    <n v="180.40816326530611"/>
    <s v="Low"/>
  </r>
  <r>
    <s v="1429 CADMUS Drive"/>
    <x v="22"/>
    <x v="0"/>
    <x v="194"/>
    <n v="33"/>
    <x v="1"/>
    <x v="1"/>
    <n v="1260"/>
    <n v="176.1904761904762"/>
    <s v="Low"/>
  </r>
  <r>
    <s v="2326 ROWLAND Avenue"/>
    <x v="18"/>
    <x v="0"/>
    <x v="194"/>
    <n v="58"/>
    <x v="2"/>
    <x v="1"/>
    <n v="1008"/>
    <n v="220.23809523809524"/>
    <s v="Medium"/>
  </r>
  <r>
    <s v="23620 OAK GLEN Drive"/>
    <x v="12"/>
    <x v="0"/>
    <x v="195"/>
    <n v="15"/>
    <x v="2"/>
    <x v="1"/>
    <n v="1471"/>
    <n v="151.2576478585996"/>
    <s v="Low"/>
  </r>
  <r>
    <s v="22041 RIDGEDALE Street"/>
    <x v="15"/>
    <x v="0"/>
    <x v="195"/>
    <n v="27"/>
    <x v="2"/>
    <x v="2"/>
    <n v="1420"/>
    <n v="156.69014084507043"/>
    <s v="Low"/>
  </r>
  <r>
    <s v="6859 SALINE Drive"/>
    <x v="0"/>
    <x v="0"/>
    <x v="196"/>
    <n v="7"/>
    <x v="2"/>
    <x v="2"/>
    <n v="1512"/>
    <n v="147.81746031746033"/>
    <s v="Low"/>
  </r>
  <r>
    <s v="3941 Cresthaven  Drive"/>
    <x v="0"/>
    <x v="0"/>
    <x v="197"/>
    <n v="76"/>
    <x v="1"/>
    <x v="1"/>
    <n v="934"/>
    <n v="239.82869379014988"/>
    <s v="Medium"/>
  </r>
  <r>
    <s v="1612 MARSHBANK Drive"/>
    <x v="1"/>
    <x v="0"/>
    <x v="197"/>
    <n v="51"/>
    <x v="2"/>
    <x v="2"/>
    <n v="1300"/>
    <n v="172.30769230769232"/>
    <s v="Low"/>
  </r>
  <r>
    <s v="962 Marvell Street"/>
    <x v="0"/>
    <x v="0"/>
    <x v="198"/>
    <n v="32"/>
    <x v="2"/>
    <x v="1"/>
    <n v="901"/>
    <n v="249.0566037735849"/>
    <s v="Medium"/>
  </r>
  <r>
    <s v="103 W Dallas Avenue"/>
    <x v="8"/>
    <x v="0"/>
    <x v="199"/>
    <n v="5"/>
    <x v="2"/>
    <x v="3"/>
    <n v="1440"/>
    <n v="156.25"/>
    <s v="Low"/>
  </r>
  <r>
    <s v="427 CLAYBURN Boulevard"/>
    <x v="0"/>
    <x v="0"/>
    <x v="199"/>
    <n v="9"/>
    <x v="2"/>
    <x v="1"/>
    <n v="1198"/>
    <n v="187.81302170283806"/>
    <s v="Low"/>
  </r>
  <r>
    <s v="18406 Westhampton Avenue"/>
    <x v="12"/>
    <x v="0"/>
    <x v="199"/>
    <n v="4"/>
    <x v="0"/>
    <x v="10"/>
    <n v="1080"/>
    <n v="208.33333333333334"/>
    <s v="Medium"/>
  </r>
  <r>
    <s v="4180 Lotus Drive"/>
    <x v="0"/>
    <x v="0"/>
    <x v="199"/>
    <n v="16"/>
    <x v="1"/>
    <x v="2"/>
    <n v="1131"/>
    <n v="198.9389920424403"/>
    <s v="Low"/>
  </r>
  <r>
    <s v="4870 CRESTVIEW Drive"/>
    <x v="29"/>
    <x v="0"/>
    <x v="199"/>
    <n v="14"/>
    <x v="2"/>
    <x v="3"/>
    <n v="1346"/>
    <n v="167.16196136701336"/>
    <s v="Low"/>
  </r>
  <r>
    <s v="1633 INNER Drive"/>
    <x v="20"/>
    <x v="0"/>
    <x v="199"/>
    <n v="100"/>
    <x v="0"/>
    <x v="5"/>
    <n v="2080"/>
    <n v="108.17307692307692"/>
    <s v="Low"/>
  </r>
  <r>
    <s v="6903 DANDISON Boulevard"/>
    <x v="24"/>
    <x v="0"/>
    <x v="199"/>
    <n v="61"/>
    <x v="1"/>
    <x v="2"/>
    <n v="1336"/>
    <n v="168.41317365269461"/>
    <s v="Low"/>
  </r>
  <r>
    <s v="2415 CRANE Street"/>
    <x v="0"/>
    <x v="0"/>
    <x v="200"/>
    <n v="3"/>
    <x v="2"/>
    <x v="2"/>
    <n v="925"/>
    <n v="244.32432432432432"/>
    <s v="Medium"/>
  </r>
  <r>
    <s v="1500 QUINIF Drive"/>
    <x v="33"/>
    <x v="0"/>
    <x v="200"/>
    <n v="7"/>
    <x v="2"/>
    <x v="1"/>
    <n v="1153"/>
    <n v="196.01040763226365"/>
    <s v="Low"/>
  </r>
  <r>
    <s v="34660 BRIDGEMAN Street"/>
    <x v="11"/>
    <x v="0"/>
    <x v="201"/>
    <n v="3"/>
    <x v="2"/>
    <x v="3"/>
    <n v="1032"/>
    <n v="219.37984496124031"/>
    <s v="Medium"/>
  </r>
  <r>
    <s v="3367 Kilmer Drive"/>
    <x v="22"/>
    <x v="0"/>
    <x v="202"/>
    <n v="6"/>
    <x v="1"/>
    <x v="1"/>
    <n v="954"/>
    <n v="237.94549266247378"/>
    <s v="Medium"/>
  </r>
  <r>
    <s v="1859 OLDTOWN Avenue"/>
    <x v="24"/>
    <x v="0"/>
    <x v="202"/>
    <n v="12"/>
    <x v="1"/>
    <x v="1"/>
    <n v="937"/>
    <n v="242.26254002134471"/>
    <s v="Medium"/>
  </r>
  <r>
    <s v="4288 Greenfield"/>
    <x v="25"/>
    <x v="0"/>
    <x v="202"/>
    <n v="29"/>
    <x v="2"/>
    <x v="3"/>
    <n v="1092"/>
    <n v="207.87545787545787"/>
    <s v="Medium"/>
  </r>
  <r>
    <s v="4460 MAJOR Avenue"/>
    <x v="0"/>
    <x v="0"/>
    <x v="202"/>
    <n v="158"/>
    <x v="2"/>
    <x v="3"/>
    <n v="1170"/>
    <n v="194.01709401709402"/>
    <s v="Low"/>
  </r>
  <r>
    <s v="1517 PEARSON Street"/>
    <x v="6"/>
    <x v="0"/>
    <x v="203"/>
    <n v="173"/>
    <x v="2"/>
    <x v="1"/>
    <n v="1003"/>
    <n v="226.81954137587238"/>
    <s v="Medium"/>
  </r>
  <r>
    <s v="5295 Clinton River Drive"/>
    <x v="0"/>
    <x v="0"/>
    <x v="204"/>
    <n v="11"/>
    <x v="2"/>
    <x v="1"/>
    <n v="1140"/>
    <n v="199.73684210526315"/>
    <s v="Low"/>
  </r>
  <r>
    <s v="23000 OAK CREST Street"/>
    <x v="15"/>
    <x v="0"/>
    <x v="205"/>
    <n v="18"/>
    <x v="2"/>
    <x v="3"/>
    <n v="1098"/>
    <n v="207.46812386156648"/>
    <s v="Medium"/>
  </r>
  <r>
    <s v="117 Exmoor"/>
    <x v="0"/>
    <x v="0"/>
    <x v="206"/>
    <n v="70"/>
    <x v="2"/>
    <x v="1"/>
    <n v="988"/>
    <n v="230.76923076923077"/>
    <s v="Medium"/>
  </r>
  <r>
    <s v="5049 W HARVARD Avenue"/>
    <x v="29"/>
    <x v="0"/>
    <x v="206"/>
    <n v="27"/>
    <x v="0"/>
    <x v="2"/>
    <n v="1872"/>
    <n v="121.7948717948718"/>
    <s v="Low"/>
  </r>
  <r>
    <s v="4975 N CATHY Lane E"/>
    <x v="17"/>
    <x v="0"/>
    <x v="207"/>
    <n v="5"/>
    <x v="2"/>
    <x v="1"/>
    <n v="1020"/>
    <n v="225.49019607843138"/>
    <s v="Medium"/>
  </r>
  <r>
    <s v="2875 Watkins Lake Road"/>
    <x v="0"/>
    <x v="0"/>
    <x v="207"/>
    <n v="9"/>
    <x v="2"/>
    <x v="2"/>
    <n v="1125"/>
    <n v="204.44444444444446"/>
    <s v="Medium"/>
  </r>
  <r>
    <s v="3301 Grayson Street"/>
    <x v="6"/>
    <x v="0"/>
    <x v="207"/>
    <n v="0"/>
    <x v="2"/>
    <x v="3"/>
    <n v="1121"/>
    <n v="205.17395182872434"/>
    <s v="Medium"/>
  </r>
  <r>
    <s v="30739 Longfellow"/>
    <x v="8"/>
    <x v="0"/>
    <x v="207"/>
    <n v="5"/>
    <x v="2"/>
    <x v="3"/>
    <n v="1025"/>
    <n v="224.39024390243901"/>
    <s v="Medium"/>
  </r>
  <r>
    <s v="28680 Park"/>
    <x v="8"/>
    <x v="0"/>
    <x v="207"/>
    <n v="16"/>
    <x v="2"/>
    <x v="3"/>
    <n v="1056"/>
    <n v="217.80303030303031"/>
    <s v="Medium"/>
  </r>
  <r>
    <s v="4006 EDGAR Avenue"/>
    <x v="18"/>
    <x v="0"/>
    <x v="207"/>
    <n v="6"/>
    <x v="2"/>
    <x v="1"/>
    <n v="1208"/>
    <n v="190.39735099337747"/>
    <s v="Low"/>
  </r>
  <r>
    <s v="76 W Katherine Avenue"/>
    <x v="8"/>
    <x v="0"/>
    <x v="207"/>
    <n v="50"/>
    <x v="2"/>
    <x v="3"/>
    <n v="1009"/>
    <n v="227.94846382556986"/>
    <s v="Medium"/>
  </r>
  <r>
    <s v="27064 Barrington"/>
    <x v="8"/>
    <x v="0"/>
    <x v="207"/>
    <n v="60"/>
    <x v="2"/>
    <x v="2"/>
    <n v="1034"/>
    <n v="222.43713733075435"/>
    <s v="Medium"/>
  </r>
  <r>
    <s v="205 Gateway Drive"/>
    <x v="0"/>
    <x v="0"/>
    <x v="207"/>
    <n v="18"/>
    <x v="0"/>
    <x v="2"/>
    <n v="1540"/>
    <n v="149.35064935064935"/>
    <s v="Low"/>
  </r>
  <r>
    <s v="5425 Hanley"/>
    <x v="0"/>
    <x v="0"/>
    <x v="207"/>
    <n v="18"/>
    <x v="2"/>
    <x v="3"/>
    <n v="1092"/>
    <n v="210.62271062271063"/>
    <s v="Medium"/>
  </r>
  <r>
    <s v="13230 Rosemary Boulevard"/>
    <x v="15"/>
    <x v="0"/>
    <x v="208"/>
    <n v="25"/>
    <x v="2"/>
    <x v="1"/>
    <n v="1047"/>
    <n v="220.63037249283667"/>
    <s v="Medium"/>
  </r>
  <r>
    <s v="3360 Healy Drive"/>
    <x v="0"/>
    <x v="0"/>
    <x v="208"/>
    <n v="33"/>
    <x v="0"/>
    <x v="2"/>
    <n v="2422"/>
    <n v="95.375722543352595"/>
    <s v="Low"/>
  </r>
  <r>
    <s v="29495 MILTON Avenue"/>
    <x v="8"/>
    <x v="0"/>
    <x v="209"/>
    <n v="3"/>
    <x v="2"/>
    <x v="3"/>
    <n v="1057"/>
    <n v="219.01608325449385"/>
    <s v="Medium"/>
  </r>
  <r>
    <s v="1292 Beaupre Avenue"/>
    <x v="8"/>
    <x v="0"/>
    <x v="209"/>
    <n v="7"/>
    <x v="2"/>
    <x v="2"/>
    <n v="1288"/>
    <n v="179.7360248447205"/>
    <s v="Low"/>
  </r>
  <r>
    <s v="2845 WHITE LAKE Road"/>
    <x v="17"/>
    <x v="0"/>
    <x v="210"/>
    <n v="0"/>
    <x v="2"/>
    <x v="1"/>
    <n v="1030"/>
    <n v="225"/>
    <s v="Medium"/>
  </r>
  <r>
    <s v="24627 Roanoke Avenue"/>
    <x v="15"/>
    <x v="0"/>
    <x v="211"/>
    <n v="10"/>
    <x v="7"/>
    <x v="6"/>
    <n v="1033"/>
    <n v="224.58857696030978"/>
    <s v="Medium"/>
  </r>
  <r>
    <s v="2 Neome Drive"/>
    <x v="1"/>
    <x v="0"/>
    <x v="211"/>
    <n v="31"/>
    <x v="0"/>
    <x v="5"/>
    <n v="1519"/>
    <n v="152.73206056616195"/>
    <s v="Low"/>
  </r>
  <r>
    <s v="610 ALBERTA Street"/>
    <x v="5"/>
    <x v="0"/>
    <x v="212"/>
    <n v="66"/>
    <x v="2"/>
    <x v="2"/>
    <n v="1000"/>
    <n v="232.5"/>
    <s v="Medium"/>
  </r>
  <r>
    <s v="751 E E Chesterfield Street"/>
    <x v="6"/>
    <x v="0"/>
    <x v="213"/>
    <n v="68"/>
    <x v="2"/>
    <x v="1"/>
    <n v="979"/>
    <n v="237.99795709908071"/>
    <s v="Medium"/>
  </r>
  <r>
    <s v="751 E CHESTERFIELD Street"/>
    <x v="6"/>
    <x v="0"/>
    <x v="213"/>
    <n v="42"/>
    <x v="2"/>
    <x v="1"/>
    <n v="979"/>
    <n v="237.99795709908071"/>
    <s v="Medium"/>
  </r>
  <r>
    <s v="4089 MILL LAKE Road"/>
    <x v="13"/>
    <x v="0"/>
    <x v="213"/>
    <n v="126"/>
    <x v="0"/>
    <x v="1"/>
    <n v="1646"/>
    <n v="141.55528554070474"/>
    <s v="Low"/>
  </r>
  <r>
    <s v="57670 PONTIAC Trail"/>
    <x v="37"/>
    <x v="0"/>
    <x v="214"/>
    <n v="6"/>
    <x v="1"/>
    <x v="1"/>
    <n v="1013"/>
    <n v="231.88548864758144"/>
    <s v="Medium"/>
  </r>
  <r>
    <s v="3548 FORT Drive"/>
    <x v="0"/>
    <x v="0"/>
    <x v="214"/>
    <n v="63"/>
    <x v="2"/>
    <x v="3"/>
    <n v="1336"/>
    <n v="175.82335329341316"/>
    <s v="Low"/>
  </r>
  <r>
    <s v="13630 MANHATTAN Street"/>
    <x v="15"/>
    <x v="0"/>
    <x v="215"/>
    <n v="7"/>
    <x v="2"/>
    <x v="2"/>
    <n v="1150"/>
    <n v="204.34782608695653"/>
    <s v="Medium"/>
  </r>
  <r>
    <s v="24560 SENECA Street"/>
    <x v="15"/>
    <x v="0"/>
    <x v="215"/>
    <n v="114"/>
    <x v="2"/>
    <x v="10"/>
    <n v="1483"/>
    <n v="158.46257585974377"/>
    <s v="Low"/>
  </r>
  <r>
    <s v="29270 RAMBLING Road"/>
    <x v="12"/>
    <x v="0"/>
    <x v="215"/>
    <n v="6"/>
    <x v="2"/>
    <x v="3"/>
    <n v="1000"/>
    <n v="235"/>
    <s v="Medium"/>
  </r>
  <r>
    <s v="21341 MADA Avenue"/>
    <x v="12"/>
    <x v="0"/>
    <x v="215"/>
    <n v="9"/>
    <x v="0"/>
    <x v="1"/>
    <n v="1371"/>
    <n v="171.40773158278628"/>
    <s v="Low"/>
  </r>
  <r>
    <s v="21632 HANCOCK Street"/>
    <x v="11"/>
    <x v="0"/>
    <x v="215"/>
    <n v="15"/>
    <x v="2"/>
    <x v="3"/>
    <n v="1279"/>
    <n v="183.73729476153244"/>
    <s v="Low"/>
  </r>
  <r>
    <s v="3403 CARMAN Street"/>
    <x v="0"/>
    <x v="0"/>
    <x v="215"/>
    <n v="61"/>
    <x v="2"/>
    <x v="1"/>
    <n v="1412"/>
    <n v="166.43059490084985"/>
    <s v="Low"/>
  </r>
  <r>
    <s v="23027 VIOLET Street"/>
    <x v="38"/>
    <x v="0"/>
    <x v="215"/>
    <n v="6"/>
    <x v="1"/>
    <x v="10"/>
    <n v="1237"/>
    <n v="189.97574777687956"/>
    <s v="Low"/>
  </r>
  <r>
    <s v="23420 MAJESTIC Street"/>
    <x v="15"/>
    <x v="0"/>
    <x v="215"/>
    <n v="15"/>
    <x v="2"/>
    <x v="3"/>
    <n v="935"/>
    <n v="251.33689839572193"/>
    <s v="Medium"/>
  </r>
  <r>
    <s v="21190 WESTHAMPTON Street"/>
    <x v="15"/>
    <x v="0"/>
    <x v="215"/>
    <n v="20"/>
    <x v="2"/>
    <x v="1"/>
    <n v="1020"/>
    <n v="230.39215686274511"/>
    <s v="Medium"/>
  </r>
  <r>
    <s v="19394 CORAL GABLES Street"/>
    <x v="12"/>
    <x v="0"/>
    <x v="215"/>
    <n v="33"/>
    <x v="2"/>
    <x v="1"/>
    <n v="1064"/>
    <n v="220.86466165413535"/>
    <s v="Medium"/>
  </r>
  <r>
    <s v="24770 Manistee"/>
    <x v="15"/>
    <x v="0"/>
    <x v="215"/>
    <n v="16"/>
    <x v="2"/>
    <x v="5"/>
    <n v="1562"/>
    <n v="150.44814340588988"/>
    <s v="Low"/>
  </r>
  <r>
    <s v="24141 ONEIDA Street"/>
    <x v="15"/>
    <x v="0"/>
    <x v="215"/>
    <n v="36"/>
    <x v="2"/>
    <x v="2"/>
    <n v="1188"/>
    <n v="197.81144781144781"/>
    <s v="Low"/>
  </r>
  <r>
    <s v="78 W TACOMA Street"/>
    <x v="30"/>
    <x v="0"/>
    <x v="215"/>
    <n v="30"/>
    <x v="2"/>
    <x v="1"/>
    <n v="1300"/>
    <n v="180.76923076923077"/>
    <s v="Low"/>
  </r>
  <r>
    <s v="700 DEVILLEN Avenue"/>
    <x v="18"/>
    <x v="0"/>
    <x v="215"/>
    <n v="33"/>
    <x v="2"/>
    <x v="2"/>
    <n v="1571"/>
    <n v="149.58625079567156"/>
    <s v="Low"/>
  </r>
  <r>
    <s v="13351 Woodvale"/>
    <x v="15"/>
    <x v="0"/>
    <x v="215"/>
    <n v="77"/>
    <x v="2"/>
    <x v="2"/>
    <n v="1095"/>
    <n v="214.61187214611871"/>
    <s v="Medium"/>
  </r>
  <r>
    <s v="3022 Avon Manor"/>
    <x v="3"/>
    <x v="0"/>
    <x v="215"/>
    <n v="96"/>
    <x v="2"/>
    <x v="2"/>
    <n v="1300"/>
    <n v="180.76923076923077"/>
    <s v="Low"/>
  </r>
  <r>
    <s v="603 E SARATOGA Street"/>
    <x v="6"/>
    <x v="0"/>
    <x v="216"/>
    <n v="8"/>
    <x v="1"/>
    <x v="2"/>
    <n v="996"/>
    <n v="236.94779116465864"/>
    <s v="Medium"/>
  </r>
  <r>
    <s v="21397 GREENVIEW Road"/>
    <x v="12"/>
    <x v="0"/>
    <x v="217"/>
    <n v="75"/>
    <x v="0"/>
    <x v="3"/>
    <n v="1750"/>
    <n v="135.42857142857142"/>
    <s v="Low"/>
  </r>
  <r>
    <s v="23460 CAYUGA Avenue"/>
    <x v="7"/>
    <x v="0"/>
    <x v="217"/>
    <n v="52"/>
    <x v="2"/>
    <x v="1"/>
    <n v="1733"/>
    <n v="136.75706866705136"/>
    <s v="Low"/>
  </r>
  <r>
    <s v="981 SCHOOL Street"/>
    <x v="30"/>
    <x v="0"/>
    <x v="218"/>
    <n v="4"/>
    <x v="2"/>
    <x v="1"/>
    <n v="1003"/>
    <n v="236.78963110667996"/>
    <s v="Medium"/>
  </r>
  <r>
    <s v="16336 ADDISON Street"/>
    <x v="12"/>
    <x v="0"/>
    <x v="218"/>
    <n v="11"/>
    <x v="2"/>
    <x v="5"/>
    <n v="1252"/>
    <n v="189.69648562300318"/>
    <s v="Low"/>
  </r>
  <r>
    <s v="61761 FAIRLAND Drive"/>
    <x v="37"/>
    <x v="0"/>
    <x v="218"/>
    <n v="64"/>
    <x v="2"/>
    <x v="2"/>
    <n v="1539"/>
    <n v="154.32098765432099"/>
    <s v="Low"/>
  </r>
  <r>
    <s v="5531 BERKLEY Drive"/>
    <x v="0"/>
    <x v="0"/>
    <x v="219"/>
    <n v="3"/>
    <x v="2"/>
    <x v="1"/>
    <n v="1056"/>
    <n v="225.37878787878788"/>
    <s v="Medium"/>
  </r>
  <r>
    <s v="209 Park Avenue"/>
    <x v="23"/>
    <x v="0"/>
    <x v="220"/>
    <n v="8"/>
    <x v="1"/>
    <x v="3"/>
    <n v="1075"/>
    <n v="222.32558139534885"/>
    <s v="Medium"/>
  </r>
  <r>
    <s v="21257 PARKER Street"/>
    <x v="11"/>
    <x v="0"/>
    <x v="220"/>
    <n v="7"/>
    <x v="2"/>
    <x v="3"/>
    <n v="1360"/>
    <n v="175.73529411764707"/>
    <s v="Low"/>
  </r>
  <r>
    <s v="3316 EDGEWORTH Street"/>
    <x v="6"/>
    <x v="0"/>
    <x v="221"/>
    <n v="6"/>
    <x v="2"/>
    <x v="1"/>
    <n v="991"/>
    <n v="242.0787083753784"/>
    <s v="Medium"/>
  </r>
  <r>
    <s v="3150 OAKRIDGE Drive"/>
    <x v="17"/>
    <x v="0"/>
    <x v="221"/>
    <n v="60"/>
    <x v="2"/>
    <x v="1"/>
    <n v="1316"/>
    <n v="182.29483282674772"/>
    <s v="Low"/>
  </r>
  <r>
    <s v="638 NAHMA Avenue"/>
    <x v="30"/>
    <x v="0"/>
    <x v="222"/>
    <n v="0"/>
    <x v="2"/>
    <x v="2"/>
    <n v="1650"/>
    <n v="145.45454545454547"/>
    <s v="Low"/>
  </r>
  <r>
    <s v="2175 JARMAN  Drive"/>
    <x v="22"/>
    <x v="0"/>
    <x v="222"/>
    <n v="17"/>
    <x v="0"/>
    <x v="1"/>
    <n v="956"/>
    <n v="251.04602510460251"/>
    <s v="Medium"/>
  </r>
  <r>
    <s v="3739 Mariner Street"/>
    <x v="0"/>
    <x v="0"/>
    <x v="222"/>
    <n v="5"/>
    <x v="2"/>
    <x v="1"/>
    <n v="1088"/>
    <n v="220.58823529411765"/>
    <s v="Medium"/>
  </r>
  <r>
    <s v="637 FLOWERDALE Street"/>
    <x v="6"/>
    <x v="0"/>
    <x v="222"/>
    <n v="5"/>
    <x v="2"/>
    <x v="1"/>
    <n v="920"/>
    <n v="260.86956521739131"/>
    <s v="Medium"/>
  </r>
  <r>
    <s v="19810 SILVER SPRING Street"/>
    <x v="12"/>
    <x v="0"/>
    <x v="222"/>
    <n v="2"/>
    <x v="0"/>
    <x v="5"/>
    <n v="2028"/>
    <n v="118.34319526627219"/>
    <s v="Low"/>
  </r>
  <r>
    <s v="2305 BARRETT Avenue"/>
    <x v="18"/>
    <x v="0"/>
    <x v="222"/>
    <n v="21"/>
    <x v="2"/>
    <x v="2"/>
    <n v="1206"/>
    <n v="199.00497512437812"/>
    <s v="Low"/>
  </r>
  <r>
    <s v="3340 EDGEWORTH Street"/>
    <x v="6"/>
    <x v="0"/>
    <x v="222"/>
    <n v="25"/>
    <x v="2"/>
    <x v="1"/>
    <n v="996"/>
    <n v="240.96385542168676"/>
    <s v="Medium"/>
  </r>
  <r>
    <s v="1311 Mohawk Avenue"/>
    <x v="18"/>
    <x v="0"/>
    <x v="222"/>
    <n v="24"/>
    <x v="7"/>
    <x v="6"/>
    <n v="2092"/>
    <n v="114.72275334608031"/>
    <s v="Low"/>
  </r>
  <r>
    <s v="269 JEWELL Street"/>
    <x v="6"/>
    <x v="0"/>
    <x v="222"/>
    <n v="8"/>
    <x v="2"/>
    <x v="3"/>
    <n v="1330"/>
    <n v="180.45112781954887"/>
    <s v="Low"/>
  </r>
  <r>
    <s v="701 S CAMPBELL Road"/>
    <x v="18"/>
    <x v="0"/>
    <x v="222"/>
    <n v="63"/>
    <x v="2"/>
    <x v="1"/>
    <n v="1003"/>
    <n v="239.28215353938185"/>
    <s v="Medium"/>
  </r>
  <r>
    <s v="2811 Burdette"/>
    <x v="6"/>
    <x v="0"/>
    <x v="222"/>
    <n v="12"/>
    <x v="2"/>
    <x v="1"/>
    <n v="903"/>
    <n v="265.78073089700996"/>
    <s v="Medium"/>
  </r>
  <r>
    <s v="1279 S CASS LAKE Road"/>
    <x v="0"/>
    <x v="0"/>
    <x v="222"/>
    <n v="42"/>
    <x v="1"/>
    <x v="2"/>
    <n v="1301"/>
    <n v="184.47348193697155"/>
    <s v="Low"/>
  </r>
  <r>
    <s v="14201 GREENBRIAR Street"/>
    <x v="15"/>
    <x v="0"/>
    <x v="222"/>
    <n v="44"/>
    <x v="2"/>
    <x v="5"/>
    <n v="1392"/>
    <n v="172.41379310344828"/>
    <s v="Low"/>
  </r>
  <r>
    <s v="3755 WALDON Road"/>
    <x v="13"/>
    <x v="0"/>
    <x v="223"/>
    <n v="74"/>
    <x v="2"/>
    <x v="3"/>
    <n v="1040"/>
    <n v="232.69230769230768"/>
    <s v="Medium"/>
  </r>
  <r>
    <s v="13231 OAK PARK Boulevard"/>
    <x v="15"/>
    <x v="0"/>
    <x v="223"/>
    <n v="156"/>
    <x v="2"/>
    <x v="2"/>
    <n v="1100"/>
    <n v="220"/>
    <s v="Medium"/>
  </r>
  <r>
    <s v="558 Overlook Street"/>
    <x v="10"/>
    <x v="0"/>
    <x v="224"/>
    <n v="21"/>
    <x v="2"/>
    <x v="2"/>
    <n v="1080"/>
    <n v="224.53703703703704"/>
    <s v="Medium"/>
  </r>
  <r>
    <s v="6675 Buckland"/>
    <x v="24"/>
    <x v="0"/>
    <x v="225"/>
    <n v="4"/>
    <x v="2"/>
    <x v="1"/>
    <n v="1000"/>
    <n v="243"/>
    <s v="Medium"/>
  </r>
  <r>
    <s v="29760 Red Leaf Drive"/>
    <x v="12"/>
    <x v="0"/>
    <x v="225"/>
    <n v="25"/>
    <x v="2"/>
    <x v="3"/>
    <n v="1682"/>
    <n v="144.47086801426872"/>
    <s v="Low"/>
  </r>
  <r>
    <s v="349 E PARKER Avenue"/>
    <x v="8"/>
    <x v="0"/>
    <x v="225"/>
    <n v="11"/>
    <x v="2"/>
    <x v="1"/>
    <n v="1008"/>
    <n v="241.07142857142858"/>
    <s v="Medium"/>
  </r>
  <r>
    <s v="24501 SENECA Street"/>
    <x v="15"/>
    <x v="0"/>
    <x v="225"/>
    <n v="66"/>
    <x v="0"/>
    <x v="8"/>
    <n v="2104"/>
    <n v="115.49429657794677"/>
    <s v="Low"/>
  </r>
  <r>
    <s v="1444 FONTAINE Avenue"/>
    <x v="8"/>
    <x v="0"/>
    <x v="226"/>
    <n v="21"/>
    <x v="0"/>
    <x v="2"/>
    <n v="1386"/>
    <n v="176.04617604617604"/>
    <s v="Low"/>
  </r>
  <r>
    <s v="1907 KENT Road"/>
    <x v="20"/>
    <x v="0"/>
    <x v="226"/>
    <n v="91"/>
    <x v="2"/>
    <x v="3"/>
    <n v="1500"/>
    <n v="162.66666666666666"/>
    <s v="Low"/>
  </r>
  <r>
    <s v="3966 AIRPORT Road"/>
    <x v="0"/>
    <x v="0"/>
    <x v="226"/>
    <n v="162"/>
    <x v="1"/>
    <x v="1"/>
    <n v="1386"/>
    <n v="176.04617604617604"/>
    <s v="Low"/>
  </r>
  <r>
    <s v="2360 KOHLER Street"/>
    <x v="0"/>
    <x v="0"/>
    <x v="226"/>
    <n v="73"/>
    <x v="0"/>
    <x v="1"/>
    <n v="1210"/>
    <n v="201.65289256198346"/>
    <s v="Medium"/>
  </r>
  <r>
    <s v="1331 NANCYWOOD"/>
    <x v="0"/>
    <x v="0"/>
    <x v="227"/>
    <n v="19"/>
    <x v="2"/>
    <x v="3"/>
    <n v="1496"/>
    <n v="163.23529411764707"/>
    <s v="Low"/>
  </r>
  <r>
    <s v="12 PEARL Street"/>
    <x v="31"/>
    <x v="0"/>
    <x v="228"/>
    <n v="170"/>
    <x v="0"/>
    <x v="2"/>
    <n v="1524"/>
    <n v="160.69553805774279"/>
    <s v="Low"/>
  </r>
  <r>
    <s v="1187 E HENDRICKS Way S"/>
    <x v="0"/>
    <x v="0"/>
    <x v="229"/>
    <n v="39"/>
    <x v="2"/>
    <x v="2"/>
    <n v="1008"/>
    <n v="243.05555555555554"/>
    <s v="Medium"/>
  </r>
  <r>
    <s v="1760 WESTWOOD Drive"/>
    <x v="22"/>
    <x v="0"/>
    <x v="229"/>
    <n v="6"/>
    <x v="1"/>
    <x v="2"/>
    <n v="1152"/>
    <n v="212.67361111111111"/>
    <s v="Medium"/>
  </r>
  <r>
    <s v="745 S MANITOU Avenue"/>
    <x v="30"/>
    <x v="0"/>
    <x v="229"/>
    <n v="6"/>
    <x v="2"/>
    <x v="1"/>
    <n v="1039"/>
    <n v="235.8036573628489"/>
    <s v="Medium"/>
  </r>
  <r>
    <s v="682 CRANBOURNE Street"/>
    <x v="14"/>
    <x v="0"/>
    <x v="229"/>
    <n v="10"/>
    <x v="2"/>
    <x v="6"/>
    <n v="500"/>
    <n v="490"/>
    <s v="High"/>
  </r>
  <r>
    <s v="505 Hillcliff"/>
    <x v="0"/>
    <x v="0"/>
    <x v="229"/>
    <n v="79"/>
    <x v="2"/>
    <x v="1"/>
    <n v="1166"/>
    <n v="210.12006861063466"/>
    <s v="Medium"/>
  </r>
  <r>
    <s v="5527 Oster Drive"/>
    <x v="0"/>
    <x v="0"/>
    <x v="229"/>
    <n v="34"/>
    <x v="2"/>
    <x v="2"/>
    <n v="1968"/>
    <n v="124.49186991869918"/>
    <s v="Low"/>
  </r>
  <r>
    <s v="2342 ELLERY Avenue"/>
    <x v="0"/>
    <x v="0"/>
    <x v="229"/>
    <n v="59"/>
    <x v="2"/>
    <x v="2"/>
    <n v="1200"/>
    <n v="204.16666666666666"/>
    <s v="Medium"/>
  </r>
  <r>
    <s v="9368 DEBBY JO Drive"/>
    <x v="4"/>
    <x v="0"/>
    <x v="229"/>
    <n v="116"/>
    <x v="2"/>
    <x v="1"/>
    <n v="1008"/>
    <n v="243.05555555555554"/>
    <s v="Medium"/>
  </r>
  <r>
    <s v="302 N GAINSBOROUGH Avenue"/>
    <x v="18"/>
    <x v="0"/>
    <x v="229"/>
    <n v="61"/>
    <x v="2"/>
    <x v="1"/>
    <n v="979"/>
    <n v="250.25536261491317"/>
    <s v="Medium"/>
  </r>
  <r>
    <s v="1603 WESTBROOK Drive"/>
    <x v="8"/>
    <x v="0"/>
    <x v="230"/>
    <n v="179"/>
    <x v="2"/>
    <x v="2"/>
    <n v="1130"/>
    <n v="217.69911504424778"/>
    <s v="Medium"/>
  </r>
  <r>
    <s v="2546 N WILLIAMS LAKE Road"/>
    <x v="0"/>
    <x v="0"/>
    <x v="230"/>
    <n v="2"/>
    <x v="2"/>
    <x v="2"/>
    <n v="1266"/>
    <n v="194.31279620853081"/>
    <s v="Low"/>
  </r>
  <r>
    <s v="1170 Fairview  Street"/>
    <x v="10"/>
    <x v="0"/>
    <x v="230"/>
    <n v="23"/>
    <x v="0"/>
    <x v="2"/>
    <n v="1591"/>
    <n v="154.61973601508484"/>
    <s v="Low"/>
  </r>
  <r>
    <s v="12815 SHAFFER Road"/>
    <x v="28"/>
    <x v="0"/>
    <x v="230"/>
    <n v="42"/>
    <x v="2"/>
    <x v="2"/>
    <n v="5020"/>
    <n v="49.003984063745023"/>
    <s v="Low"/>
  </r>
  <r>
    <s v="244 TUCKER Street"/>
    <x v="1"/>
    <x v="0"/>
    <x v="230"/>
    <n v="43"/>
    <x v="0"/>
    <x v="5"/>
    <n v="1917"/>
    <n v="128.32550860719874"/>
    <s v="Low"/>
  </r>
  <r>
    <s v="226 BROADACRE Avenue"/>
    <x v="30"/>
    <x v="0"/>
    <x v="230"/>
    <n v="155"/>
    <x v="1"/>
    <x v="1"/>
    <n v="1041"/>
    <n v="236.31123919308357"/>
    <s v="Medium"/>
  </r>
  <r>
    <s v="29711 SPOON Avenue"/>
    <x v="8"/>
    <x v="0"/>
    <x v="231"/>
    <n v="6"/>
    <x v="2"/>
    <x v="1"/>
    <n v="1008"/>
    <n v="244.04861111111111"/>
    <s v="Medium"/>
  </r>
  <r>
    <s v="2229 WALNUT Road"/>
    <x v="5"/>
    <x v="0"/>
    <x v="232"/>
    <n v="46"/>
    <x v="0"/>
    <x v="2"/>
    <n v="1089"/>
    <n v="226.28374655647383"/>
    <s v="Medium"/>
  </r>
  <r>
    <s v="6591 SALINE Drive"/>
    <x v="0"/>
    <x v="0"/>
    <x v="233"/>
    <n v="6"/>
    <x v="1"/>
    <x v="2"/>
    <n v="1038"/>
    <n v="237.47591522157995"/>
    <s v="Medium"/>
  </r>
  <r>
    <s v="3366 PASADENA"/>
    <x v="13"/>
    <x v="0"/>
    <x v="234"/>
    <n v="3"/>
    <x v="2"/>
    <x v="3"/>
    <n v="1359"/>
    <n v="181.45695364238409"/>
    <s v="Low"/>
  </r>
  <r>
    <s v="21610 KIPLING Street"/>
    <x v="15"/>
    <x v="0"/>
    <x v="235"/>
    <n v="79"/>
    <x v="2"/>
    <x v="5"/>
    <n v="1319"/>
    <n v="187.18726307808947"/>
    <s v="Low"/>
  </r>
  <r>
    <s v="2494 LITER Road"/>
    <x v="13"/>
    <x v="0"/>
    <x v="236"/>
    <n v="16"/>
    <x v="0"/>
    <x v="1"/>
    <n v="1305"/>
    <n v="189.272030651341"/>
    <s v="Low"/>
  </r>
  <r>
    <s v="1185 BETA Road"/>
    <x v="33"/>
    <x v="0"/>
    <x v="236"/>
    <n v="17"/>
    <x v="2"/>
    <x v="2"/>
    <n v="1063"/>
    <n v="232.3612417685795"/>
    <s v="Medium"/>
  </r>
  <r>
    <s v="1476  Whittier Drive"/>
    <x v="0"/>
    <x v="0"/>
    <x v="237"/>
    <n v="26"/>
    <x v="2"/>
    <x v="1"/>
    <n v="1296"/>
    <n v="190.97222222222223"/>
    <s v="Low"/>
  </r>
  <r>
    <s v="2027 MARTIN Road"/>
    <x v="6"/>
    <x v="0"/>
    <x v="237"/>
    <n v="22"/>
    <x v="2"/>
    <x v="1"/>
    <n v="1325"/>
    <n v="186.79245283018867"/>
    <s v="Low"/>
  </r>
  <r>
    <s v="24179 LOCUST Street"/>
    <x v="11"/>
    <x v="0"/>
    <x v="238"/>
    <n v="11"/>
    <x v="2"/>
    <x v="2"/>
    <n v="1532"/>
    <n v="161.8798955613577"/>
    <s v="Low"/>
  </r>
  <r>
    <s v="2227 OVERRIDGE Avenue"/>
    <x v="0"/>
    <x v="0"/>
    <x v="239"/>
    <n v="46"/>
    <x v="2"/>
    <x v="5"/>
    <n v="1608"/>
    <n v="154.85074626865671"/>
    <s v="Low"/>
  </r>
  <r>
    <s v="2030  Orpington Drive"/>
    <x v="22"/>
    <x v="0"/>
    <x v="0"/>
    <n v="61"/>
    <x v="2"/>
    <x v="2"/>
    <n v="1363"/>
    <n v="183.34556126192223"/>
    <s v="Low"/>
  </r>
  <r>
    <s v="3185 SEEBALDT Avenue"/>
    <x v="0"/>
    <x v="0"/>
    <x v="0"/>
    <n v="37"/>
    <x v="3"/>
    <x v="10"/>
    <n v="2181"/>
    <n v="114.58046767537827"/>
    <s v="Low"/>
  </r>
  <r>
    <s v="603 WOODINGHAM Avenue"/>
    <x v="0"/>
    <x v="0"/>
    <x v="240"/>
    <n v="8"/>
    <x v="2"/>
    <x v="1"/>
    <n v="1372"/>
    <n v="182.21574344023324"/>
    <s v="Low"/>
  </r>
  <r>
    <s v="9924 BURGESS Court"/>
    <x v="10"/>
    <x v="0"/>
    <x v="240"/>
    <n v="5"/>
    <x v="0"/>
    <x v="2"/>
    <n v="2265"/>
    <n v="110.37527593818984"/>
    <s v="Low"/>
  </r>
  <r>
    <s v="23470 SENECA Street"/>
    <x v="15"/>
    <x v="0"/>
    <x v="240"/>
    <n v="4"/>
    <x v="2"/>
    <x v="1"/>
    <n v="1103"/>
    <n v="226.65457842248412"/>
    <s v="Medium"/>
  </r>
  <r>
    <s v="28153 BRUSH Street"/>
    <x v="8"/>
    <x v="0"/>
    <x v="240"/>
    <n v="9"/>
    <x v="2"/>
    <x v="2"/>
    <n v="1119"/>
    <n v="223.41376228775692"/>
    <s v="Medium"/>
  </r>
  <r>
    <s v="412 Massoit Street"/>
    <x v="30"/>
    <x v="0"/>
    <x v="240"/>
    <n v="5"/>
    <x v="2"/>
    <x v="1"/>
    <n v="975"/>
    <n v="256.41025641025641"/>
    <s v="Medium"/>
  </r>
  <r>
    <s v="4070 MAYBEE Road"/>
    <x v="13"/>
    <x v="0"/>
    <x v="240"/>
    <n v="7"/>
    <x v="0"/>
    <x v="10"/>
    <n v="1912"/>
    <n v="130.75313807531381"/>
    <s v="Low"/>
  </r>
  <r>
    <s v="21788 S BRANDON Street"/>
    <x v="11"/>
    <x v="0"/>
    <x v="240"/>
    <n v="30"/>
    <x v="2"/>
    <x v="5"/>
    <n v="1823"/>
    <n v="137.13658804168952"/>
    <s v="Low"/>
  </r>
  <r>
    <s v="4615 GRANGER Road"/>
    <x v="20"/>
    <x v="0"/>
    <x v="240"/>
    <n v="3"/>
    <x v="0"/>
    <x v="5"/>
    <n v="1032"/>
    <n v="242.24806201550388"/>
    <s v="Medium"/>
  </r>
  <r>
    <s v="28430 Palmer Boulevard"/>
    <x v="8"/>
    <x v="0"/>
    <x v="240"/>
    <n v="10"/>
    <x v="2"/>
    <x v="2"/>
    <n v="1009"/>
    <n v="247.77006937561941"/>
    <s v="Medium"/>
  </r>
  <r>
    <s v="753 E WALTON Boulevard"/>
    <x v="1"/>
    <x v="0"/>
    <x v="240"/>
    <n v="7"/>
    <x v="0"/>
    <x v="5"/>
    <n v="1472"/>
    <n v="169.83695652173913"/>
    <s v="Low"/>
  </r>
  <r>
    <s v="31283 EDGEWORTH Drive"/>
    <x v="8"/>
    <x v="0"/>
    <x v="240"/>
    <n v="8"/>
    <x v="2"/>
    <x v="2"/>
    <n v="1122"/>
    <n v="222.81639928698752"/>
    <s v="Medium"/>
  </r>
  <r>
    <s v="22067 Malden"/>
    <x v="11"/>
    <x v="0"/>
    <x v="240"/>
    <n v="135"/>
    <x v="2"/>
    <x v="2"/>
    <n v="1169"/>
    <n v="213.85799828913602"/>
    <s v="Medium"/>
  </r>
  <r>
    <s v="2550 COSTA MESA Road"/>
    <x v="0"/>
    <x v="0"/>
    <x v="240"/>
    <n v="141"/>
    <x v="2"/>
    <x v="3"/>
    <n v="1626"/>
    <n v="153.75153751537516"/>
    <s v="Low"/>
  </r>
  <r>
    <s v="1660 BEECHMONT Street"/>
    <x v="21"/>
    <x v="0"/>
    <x v="241"/>
    <n v="4"/>
    <x v="1"/>
    <x v="1"/>
    <n v="1094"/>
    <n v="228.55941499085924"/>
    <s v="Medium"/>
  </r>
  <r>
    <s v="23005 CHURCH Street"/>
    <x v="15"/>
    <x v="0"/>
    <x v="242"/>
    <n v="6"/>
    <x v="2"/>
    <x v="3"/>
    <n v="1165"/>
    <n v="216.21888412017168"/>
    <s v="Medium"/>
  </r>
  <r>
    <s v="629 W LEWISTON Avenue"/>
    <x v="6"/>
    <x v="0"/>
    <x v="243"/>
    <n v="6"/>
    <x v="2"/>
    <x v="1"/>
    <n v="1172"/>
    <n v="215.01706484641639"/>
    <s v="Medium"/>
  </r>
  <r>
    <s v="801 BISHOP Street"/>
    <x v="39"/>
    <x v="0"/>
    <x v="243"/>
    <n v="2"/>
    <x v="2"/>
    <x v="1"/>
    <n v="902"/>
    <n v="279.37915742793791"/>
    <s v="Medium"/>
  </r>
  <r>
    <s v="18252 WESTLAND Avenue"/>
    <x v="12"/>
    <x v="0"/>
    <x v="243"/>
    <n v="132"/>
    <x v="2"/>
    <x v="5"/>
    <n v="1600"/>
    <n v="157.5"/>
    <s v="Low"/>
  </r>
  <r>
    <s v="4873 SHERWELL Drive"/>
    <x v="0"/>
    <x v="0"/>
    <x v="243"/>
    <n v="3"/>
    <x v="2"/>
    <x v="2"/>
    <n v="1607"/>
    <n v="156.8139390168015"/>
    <s v="Low"/>
  </r>
  <r>
    <s v="1817 CASS Boulevard"/>
    <x v="25"/>
    <x v="0"/>
    <x v="243"/>
    <n v="83"/>
    <x v="2"/>
    <x v="1"/>
    <n v="1048"/>
    <n v="240.45801526717557"/>
    <s v="Medium"/>
  </r>
  <r>
    <s v="27319 PIERCE Street"/>
    <x v="12"/>
    <x v="0"/>
    <x v="243"/>
    <n v="48"/>
    <x v="2"/>
    <x v="3"/>
    <n v="1560"/>
    <n v="161.53846153846155"/>
    <s v="Low"/>
  </r>
  <r>
    <s v="24361 SCOTIA Road"/>
    <x v="15"/>
    <x v="0"/>
    <x v="244"/>
    <n v="7"/>
    <x v="2"/>
    <x v="1"/>
    <n v="1048"/>
    <n v="241.41221374045801"/>
    <s v="Medium"/>
  </r>
  <r>
    <s v="1384 DIANA Avenue"/>
    <x v="8"/>
    <x v="0"/>
    <x v="244"/>
    <n v="3"/>
    <x v="2"/>
    <x v="1"/>
    <n v="1056"/>
    <n v="239.58333333333334"/>
    <s v="Medium"/>
  </r>
  <r>
    <s v="28110 WILDWOOD Trail"/>
    <x v="11"/>
    <x v="0"/>
    <x v="245"/>
    <n v="4"/>
    <x v="2"/>
    <x v="3"/>
    <n v="1129"/>
    <n v="224.977856510186"/>
    <s v="Medium"/>
  </r>
  <r>
    <s v="8223 ARLIS Street"/>
    <x v="14"/>
    <x v="0"/>
    <x v="246"/>
    <n v="4"/>
    <x v="2"/>
    <x v="1"/>
    <n v="1068"/>
    <n v="238.29588014981275"/>
    <s v="Medium"/>
  </r>
  <r>
    <s v="9034 PATRICK Drive"/>
    <x v="28"/>
    <x v="0"/>
    <x v="247"/>
    <n v="2"/>
    <x v="2"/>
    <x v="1"/>
    <n v="1150"/>
    <n v="221.7391304347826"/>
    <s v="Medium"/>
  </r>
  <r>
    <s v="23011 Radclift Street"/>
    <x v="15"/>
    <x v="0"/>
    <x v="247"/>
    <n v="20"/>
    <x v="2"/>
    <x v="3"/>
    <n v="1218"/>
    <n v="209.35960591133005"/>
    <s v="Medium"/>
  </r>
  <r>
    <s v="21535 WHITTINGTON Street"/>
    <x v="11"/>
    <x v="0"/>
    <x v="247"/>
    <n v="13"/>
    <x v="2"/>
    <x v="2"/>
    <n v="1259"/>
    <n v="202.54169976171565"/>
    <s v="Medium"/>
  </r>
  <r>
    <s v="41 REGENTS Drive"/>
    <x v="22"/>
    <x v="0"/>
    <x v="247"/>
    <n v="66"/>
    <x v="2"/>
    <x v="1"/>
    <n v="1162"/>
    <n v="219.44922547332186"/>
    <s v="Medium"/>
  </r>
  <r>
    <s v="238 COLEMAN Drive"/>
    <x v="0"/>
    <x v="0"/>
    <x v="247"/>
    <n v="21"/>
    <x v="2"/>
    <x v="3"/>
    <n v="1154"/>
    <n v="220.97053726169844"/>
    <s v="Medium"/>
  </r>
  <r>
    <s v="22000 Stratford Street"/>
    <x v="15"/>
    <x v="0"/>
    <x v="247"/>
    <n v="62"/>
    <x v="2"/>
    <x v="2"/>
    <n v="1180"/>
    <n v="216.10169491525423"/>
    <s v="Medium"/>
  </r>
  <r>
    <s v="2000 WOODLAND Avenue"/>
    <x v="34"/>
    <x v="0"/>
    <x v="247"/>
    <n v="34"/>
    <x v="2"/>
    <x v="5"/>
    <n v="1579"/>
    <n v="161.49461684610512"/>
    <s v="Low"/>
  </r>
  <r>
    <s v="28335 Palmer Boulevard"/>
    <x v="8"/>
    <x v="0"/>
    <x v="247"/>
    <n v="50"/>
    <x v="2"/>
    <x v="11"/>
    <n v="1009"/>
    <n v="252.72547076313182"/>
    <s v="Medium"/>
  </r>
  <r>
    <s v="1722 SHANKIN Drive"/>
    <x v="32"/>
    <x v="0"/>
    <x v="247"/>
    <n v="26"/>
    <x v="2"/>
    <x v="3"/>
    <n v="1176"/>
    <n v="216.83673469387756"/>
    <s v="Medium"/>
  </r>
  <r>
    <s v="27312 HAMPDEN Street"/>
    <x v="8"/>
    <x v="0"/>
    <x v="247"/>
    <n v="8"/>
    <x v="2"/>
    <x v="2"/>
    <n v="1470"/>
    <n v="173.46938775510205"/>
    <s v="Low"/>
  </r>
  <r>
    <s v="2005 HEMPSTEAD Drive"/>
    <x v="22"/>
    <x v="0"/>
    <x v="247"/>
    <n v="34"/>
    <x v="2"/>
    <x v="2"/>
    <n v="1166"/>
    <n v="218.69639794168097"/>
    <s v="Medium"/>
  </r>
  <r>
    <s v="6219 S WILLIAMS LAKE Road S"/>
    <x v="0"/>
    <x v="0"/>
    <x v="247"/>
    <n v="35"/>
    <x v="2"/>
    <x v="3"/>
    <n v="1050"/>
    <n v="242.85714285714286"/>
    <s v="Medium"/>
  </r>
  <r>
    <s v="5271 WAYNE Road"/>
    <x v="10"/>
    <x v="0"/>
    <x v="247"/>
    <n v="152"/>
    <x v="2"/>
    <x v="1"/>
    <n v="991"/>
    <n v="257.31584258324926"/>
    <s v="Medium"/>
  </r>
  <r>
    <s v="1211 N SELFRIDGE Boulevard"/>
    <x v="30"/>
    <x v="0"/>
    <x v="247"/>
    <n v="7"/>
    <x v="2"/>
    <x v="1"/>
    <n v="1050"/>
    <n v="242.85714285714286"/>
    <s v="Medium"/>
  </r>
  <r>
    <s v="3364 KENWOOD Street"/>
    <x v="6"/>
    <x v="0"/>
    <x v="247"/>
    <n v="67"/>
    <x v="2"/>
    <x v="2"/>
    <n v="861"/>
    <n v="296.16724738675958"/>
    <s v="Medium"/>
  </r>
  <r>
    <s v="23488 BARFIELD Street"/>
    <x v="11"/>
    <x v="0"/>
    <x v="248"/>
    <n v="3"/>
    <x v="2"/>
    <x v="3"/>
    <n v="1215"/>
    <n v="210.69958847736626"/>
    <s v="Medium"/>
  </r>
  <r>
    <s v="307 UNIVERSITY Avenue"/>
    <x v="16"/>
    <x v="0"/>
    <x v="248"/>
    <n v="89"/>
    <x v="2"/>
    <x v="1"/>
    <n v="888"/>
    <n v="288.2882882882883"/>
    <s v="Medium"/>
  </r>
  <r>
    <s v="24801 SHERMAN Street"/>
    <x v="15"/>
    <x v="0"/>
    <x v="249"/>
    <n v="3"/>
    <x v="2"/>
    <x v="3"/>
    <n v="1021"/>
    <n v="251.22331047992165"/>
    <s v="Medium"/>
  </r>
  <r>
    <s v="8740 SARATOGA Street"/>
    <x v="15"/>
    <x v="0"/>
    <x v="250"/>
    <n v="9"/>
    <x v="2"/>
    <x v="3"/>
    <n v="960"/>
    <n v="267.1875"/>
    <s v="Medium"/>
  </r>
  <r>
    <s v="310 HILLCLIFF Drive"/>
    <x v="0"/>
    <x v="0"/>
    <x v="251"/>
    <n v="12"/>
    <x v="2"/>
    <x v="1"/>
    <n v="1026"/>
    <n v="250.48732943469787"/>
    <s v="Medium"/>
  </r>
  <r>
    <s v="1627 BEVERLY Avenue"/>
    <x v="8"/>
    <x v="0"/>
    <x v="251"/>
    <n v="6"/>
    <x v="2"/>
    <x v="3"/>
    <n v="1056"/>
    <n v="243.37121212121212"/>
    <s v="Medium"/>
  </r>
  <r>
    <s v="443 Trombley Drive"/>
    <x v="22"/>
    <x v="0"/>
    <x v="251"/>
    <n v="2"/>
    <x v="2"/>
    <x v="2"/>
    <n v="1200"/>
    <n v="214.16666666666666"/>
    <s v="Medium"/>
  </r>
  <r>
    <s v="3057 MOSS Street"/>
    <x v="21"/>
    <x v="0"/>
    <x v="252"/>
    <n v="64"/>
    <x v="0"/>
    <x v="5"/>
    <n v="1610"/>
    <n v="159.93788819875778"/>
    <s v="Low"/>
  </r>
  <r>
    <s v="29087 W 10 MILE Road"/>
    <x v="11"/>
    <x v="0"/>
    <x v="253"/>
    <n v="38"/>
    <x v="2"/>
    <x v="3"/>
    <n v="1260"/>
    <n v="205.23809523809524"/>
    <s v="Medium"/>
  </r>
  <r>
    <s v="1759 HOLLAND Street"/>
    <x v="40"/>
    <x v="0"/>
    <x v="254"/>
    <n v="16"/>
    <x v="2"/>
    <x v="2"/>
    <n v="882"/>
    <n v="293.65079365079367"/>
    <s v="Medium"/>
  </r>
  <r>
    <s v="7978 HOFFMAN Drive"/>
    <x v="0"/>
    <x v="0"/>
    <x v="255"/>
    <n v="4"/>
    <x v="2"/>
    <x v="2"/>
    <n v="1853"/>
    <n v="140.25903939557475"/>
    <s v="Low"/>
  </r>
  <r>
    <s v="17573 MOUNT VERNON Street"/>
    <x v="12"/>
    <x v="0"/>
    <x v="255"/>
    <n v="48"/>
    <x v="2"/>
    <x v="5"/>
    <n v="1724"/>
    <n v="150.75406032482599"/>
    <s v="Low"/>
  </r>
  <r>
    <s v="25800 Acacia Street"/>
    <x v="12"/>
    <x v="0"/>
    <x v="256"/>
    <n v="59"/>
    <x v="2"/>
    <x v="2"/>
    <n v="1511"/>
    <n v="172.07081403044342"/>
    <s v="Low"/>
  </r>
  <r>
    <s v="28236 DELTON Street"/>
    <x v="8"/>
    <x v="0"/>
    <x v="257"/>
    <n v="8"/>
    <x v="2"/>
    <x v="1"/>
    <n v="1008"/>
    <n v="257.93650793650795"/>
    <s v="Medium"/>
  </r>
  <r>
    <s v="5216 Frankwill  Avenue"/>
    <x v="29"/>
    <x v="0"/>
    <x v="257"/>
    <n v="8"/>
    <x v="2"/>
    <x v="2"/>
    <n v="1192"/>
    <n v="218.12080536912751"/>
    <s v="Medium"/>
  </r>
  <r>
    <s v="1257 CATALPA Drive"/>
    <x v="25"/>
    <x v="0"/>
    <x v="257"/>
    <n v="5"/>
    <x v="1"/>
    <x v="1"/>
    <n v="817"/>
    <n v="318.23745410036719"/>
    <s v="High"/>
  </r>
  <r>
    <s v="25220 Larkins Street"/>
    <x v="12"/>
    <x v="0"/>
    <x v="257"/>
    <n v="34"/>
    <x v="2"/>
    <x v="3"/>
    <n v="1878"/>
    <n v="138.44515441959533"/>
    <s v="Low"/>
  </r>
  <r>
    <s v="8823 KENBERTON Drive"/>
    <x v="15"/>
    <x v="0"/>
    <x v="257"/>
    <n v="5"/>
    <x v="2"/>
    <x v="2"/>
    <n v="1036"/>
    <n v="250.96525096525096"/>
    <s v="Medium"/>
  </r>
  <r>
    <s v="20620 WOODBURN Drive"/>
    <x v="12"/>
    <x v="0"/>
    <x v="257"/>
    <n v="5"/>
    <x v="0"/>
    <x v="2"/>
    <n v="1607"/>
    <n v="161.79215930304915"/>
    <s v="Low"/>
  </r>
  <r>
    <s v="32270 RED CLOVER Road"/>
    <x v="11"/>
    <x v="0"/>
    <x v="257"/>
    <n v="2"/>
    <x v="0"/>
    <x v="10"/>
    <n v="1934"/>
    <n v="134.4364012409514"/>
    <s v="Low"/>
  </r>
  <r>
    <s v="8197 VANDEN Drive"/>
    <x v="10"/>
    <x v="0"/>
    <x v="257"/>
    <n v="13"/>
    <x v="2"/>
    <x v="3"/>
    <n v="1386"/>
    <n v="187.59018759018758"/>
    <s v="Low"/>
  </r>
  <r>
    <s v="29094 HERBERT Street"/>
    <x v="8"/>
    <x v="0"/>
    <x v="257"/>
    <n v="35"/>
    <x v="2"/>
    <x v="2"/>
    <n v="1668"/>
    <n v="155.87529976019184"/>
    <s v="Low"/>
  </r>
  <r>
    <s v="234 CHARLEVOIX Street"/>
    <x v="30"/>
    <x v="0"/>
    <x v="257"/>
    <n v="20"/>
    <x v="2"/>
    <x v="1"/>
    <n v="922"/>
    <n v="281.99566160520607"/>
    <s v="Medium"/>
  </r>
  <r>
    <s v="3941 S ELLAMAE Road"/>
    <x v="35"/>
    <x v="0"/>
    <x v="257"/>
    <n v="72"/>
    <x v="1"/>
    <x v="1"/>
    <n v="742"/>
    <n v="350.4043126684636"/>
    <s v="High"/>
  </r>
  <r>
    <s v="6413 SNOW APPLE Drive"/>
    <x v="29"/>
    <x v="0"/>
    <x v="257"/>
    <n v="28"/>
    <x v="0"/>
    <x v="2"/>
    <n v="1274"/>
    <n v="204.08163265306123"/>
    <s v="Medium"/>
  </r>
  <r>
    <s v="1267 PARLIAMENT Avenue"/>
    <x v="8"/>
    <x v="0"/>
    <x v="257"/>
    <n v="139"/>
    <x v="2"/>
    <x v="3"/>
    <n v="1550"/>
    <n v="167.74193548387098"/>
    <s v="Low"/>
  </r>
  <r>
    <s v="28011 Tyler Street"/>
    <x v="12"/>
    <x v="0"/>
    <x v="257"/>
    <n v="141"/>
    <x v="2"/>
    <x v="2"/>
    <n v="1585"/>
    <n v="164.03785488958991"/>
    <s v="Low"/>
  </r>
  <r>
    <s v="801 HANNAH Drive"/>
    <x v="22"/>
    <x v="0"/>
    <x v="258"/>
    <n v="3"/>
    <x v="2"/>
    <x v="1"/>
    <n v="1008"/>
    <n v="258.4325396825397"/>
    <s v="Medium"/>
  </r>
  <r>
    <s v="1626 CAMBRIDGE Road"/>
    <x v="25"/>
    <x v="0"/>
    <x v="259"/>
    <n v="3"/>
    <x v="2"/>
    <x v="1"/>
    <n v="890"/>
    <n v="293.25842696629212"/>
    <s v="Medium"/>
  </r>
  <r>
    <s v="29604 E CHELMSFORD Road"/>
    <x v="12"/>
    <x v="0"/>
    <x v="259"/>
    <n v="42"/>
    <x v="2"/>
    <x v="3"/>
    <n v="1247"/>
    <n v="209.30232558139534"/>
    <s v="Medium"/>
  </r>
  <r>
    <s v="434 FARNSWORTH Road"/>
    <x v="10"/>
    <x v="0"/>
    <x v="260"/>
    <n v="102"/>
    <x v="2"/>
    <x v="1"/>
    <n v="1044"/>
    <n v="250.95785440613028"/>
    <s v="Medium"/>
  </r>
  <r>
    <s v="42503 PARK RIDGE Road"/>
    <x v="2"/>
    <x v="0"/>
    <x v="261"/>
    <n v="7"/>
    <x v="2"/>
    <x v="3"/>
    <n v="1639"/>
    <n v="160.15863331299573"/>
    <s v="Low"/>
  </r>
  <r>
    <s v="369 Pearson Street"/>
    <x v="6"/>
    <x v="0"/>
    <x v="261"/>
    <n v="47"/>
    <x v="2"/>
    <x v="2"/>
    <n v="1516"/>
    <n v="173.15303430079155"/>
    <s v="Low"/>
  </r>
  <r>
    <s v="510 SHEFFIELD Drive"/>
    <x v="8"/>
    <x v="0"/>
    <x v="262"/>
    <n v="15"/>
    <x v="2"/>
    <x v="3"/>
    <n v="1400"/>
    <n v="187.78571428571428"/>
    <s v="Low"/>
  </r>
  <r>
    <s v="27884 Wrenson Street"/>
    <x v="8"/>
    <x v="0"/>
    <x v="263"/>
    <n v="29"/>
    <x v="2"/>
    <x v="2"/>
    <n v="1287"/>
    <n v="204.35120435120436"/>
    <s v="Medium"/>
  </r>
  <r>
    <s v="309 HIRAM Street"/>
    <x v="13"/>
    <x v="0"/>
    <x v="263"/>
    <n v="18"/>
    <x v="2"/>
    <x v="2"/>
    <n v="1594"/>
    <n v="164.99372647427853"/>
    <s v="Low"/>
  </r>
  <r>
    <s v="312 E SARATOGA Street"/>
    <x v="6"/>
    <x v="0"/>
    <x v="264"/>
    <n v="7"/>
    <x v="2"/>
    <x v="2"/>
    <n v="1340"/>
    <n v="197.01492537313433"/>
    <s v="Low"/>
  </r>
  <r>
    <s v="2067 ISABELL Drive"/>
    <x v="22"/>
    <x v="0"/>
    <x v="264"/>
    <n v="15"/>
    <x v="2"/>
    <x v="3"/>
    <n v="1091"/>
    <n v="241.97983501374887"/>
    <s v="Medium"/>
  </r>
  <r>
    <s v="1044 PARKWAY"/>
    <x v="0"/>
    <x v="0"/>
    <x v="264"/>
    <n v="135"/>
    <x v="2"/>
    <x v="2"/>
    <n v="1670"/>
    <n v="158.08383233532933"/>
    <s v="Low"/>
  </r>
  <r>
    <s v="2261 PARIS Drive"/>
    <x v="22"/>
    <x v="0"/>
    <x v="265"/>
    <n v="8"/>
    <x v="2"/>
    <x v="1"/>
    <n v="1100"/>
    <n v="240.64545454545456"/>
    <s v="Medium"/>
  </r>
  <r>
    <s v="1295 Columbia Road"/>
    <x v="25"/>
    <x v="0"/>
    <x v="266"/>
    <n v="163"/>
    <x v="2"/>
    <x v="2"/>
    <n v="1052"/>
    <n v="251.90114068441065"/>
    <s v="Medium"/>
  </r>
  <r>
    <s v="5821 PLEASANT Drive"/>
    <x v="0"/>
    <x v="0"/>
    <x v="266"/>
    <n v="31"/>
    <x v="2"/>
    <x v="3"/>
    <n v="1367"/>
    <n v="193.85515727871251"/>
    <s v="Low"/>
  </r>
  <r>
    <s v="26096 HAMPDEN Street"/>
    <x v="8"/>
    <x v="0"/>
    <x v="266"/>
    <n v="13"/>
    <x v="2"/>
    <x v="2"/>
    <n v="990"/>
    <n v="267.67676767676767"/>
    <s v="Medium"/>
  </r>
  <r>
    <s v="28225 Delton Street"/>
    <x v="8"/>
    <x v="0"/>
    <x v="266"/>
    <n v="41"/>
    <x v="2"/>
    <x v="3"/>
    <n v="1008"/>
    <n v="262.89682539682542"/>
    <s v="Medium"/>
  </r>
  <r>
    <s v="25844 ARROWHEAD Street"/>
    <x v="12"/>
    <x v="0"/>
    <x v="266"/>
    <n v="8"/>
    <x v="0"/>
    <x v="5"/>
    <n v="2480"/>
    <n v="106.85483870967742"/>
    <s v="Low"/>
  </r>
  <r>
    <s v="550 GRANGE HALL Road"/>
    <x v="27"/>
    <x v="0"/>
    <x v="266"/>
    <n v="2"/>
    <x v="0"/>
    <x v="3"/>
    <n v="1404"/>
    <n v="188.74643874643874"/>
    <s v="Low"/>
  </r>
  <r>
    <s v="6252 WAKING Lane"/>
    <x v="0"/>
    <x v="0"/>
    <x v="266"/>
    <n v="2"/>
    <x v="2"/>
    <x v="3"/>
    <n v="1100"/>
    <n v="240.90909090909091"/>
    <s v="Medium"/>
  </r>
  <r>
    <s v="140 WOODLAND Drive"/>
    <x v="16"/>
    <x v="0"/>
    <x v="266"/>
    <n v="4"/>
    <x v="0"/>
    <x v="1"/>
    <n v="1116"/>
    <n v="237.45519713261649"/>
    <s v="Medium"/>
  </r>
  <r>
    <s v="5821 PLEASANT Drive"/>
    <x v="0"/>
    <x v="0"/>
    <x v="266"/>
    <n v="37"/>
    <x v="2"/>
    <x v="3"/>
    <n v="1367"/>
    <n v="193.85515727871251"/>
    <s v="Low"/>
  </r>
  <r>
    <s v="7272 IDEAL Terrace"/>
    <x v="0"/>
    <x v="0"/>
    <x v="266"/>
    <n v="21"/>
    <x v="2"/>
    <x v="3"/>
    <n v="1384"/>
    <n v="191.47398843930637"/>
    <s v="Low"/>
  </r>
  <r>
    <s v="4291 Marcus Road"/>
    <x v="0"/>
    <x v="0"/>
    <x v="266"/>
    <n v="5"/>
    <x v="0"/>
    <x v="3"/>
    <n v="1740"/>
    <n v="152.29885057471265"/>
    <s v="Low"/>
  </r>
  <r>
    <s v="316 E BERNHARD Avenue"/>
    <x v="7"/>
    <x v="0"/>
    <x v="266"/>
    <n v="69"/>
    <x v="0"/>
    <x v="5"/>
    <n v="1607"/>
    <n v="164.90354698195395"/>
    <s v="Low"/>
  </r>
  <r>
    <s v="502 BROADACRE Avenue"/>
    <x v="30"/>
    <x v="0"/>
    <x v="266"/>
    <n v="112"/>
    <x v="2"/>
    <x v="1"/>
    <n v="1100"/>
    <n v="240.90909090909091"/>
    <s v="Medium"/>
  </r>
  <r>
    <s v="4147 NORMANDY Road"/>
    <x v="18"/>
    <x v="0"/>
    <x v="266"/>
    <n v="7"/>
    <x v="1"/>
    <x v="3"/>
    <n v="1000"/>
    <n v="265"/>
    <s v="Medium"/>
  </r>
  <r>
    <s v="210 S WILSON Avenue"/>
    <x v="18"/>
    <x v="0"/>
    <x v="267"/>
    <n v="5"/>
    <x v="2"/>
    <x v="1"/>
    <n v="1000"/>
    <n v="267.5"/>
    <s v="Medium"/>
  </r>
  <r>
    <s v="1609 Inverness Street"/>
    <x v="34"/>
    <x v="0"/>
    <x v="267"/>
    <n v="105"/>
    <x v="2"/>
    <x v="1"/>
    <n v="1520"/>
    <n v="175.98684210526315"/>
    <s v="Low"/>
  </r>
  <r>
    <s v="2950 ONAGON Trail"/>
    <x v="0"/>
    <x v="0"/>
    <x v="268"/>
    <n v="5"/>
    <x v="2"/>
    <x v="2"/>
    <n v="1378"/>
    <n v="194.48476052249637"/>
    <s v="Low"/>
  </r>
  <r>
    <s v="14310 Lincoln Street"/>
    <x v="15"/>
    <x v="0"/>
    <x v="269"/>
    <n v="11"/>
    <x v="2"/>
    <x v="3"/>
    <n v="1246"/>
    <n v="215.8908507223114"/>
    <s v="Medium"/>
  </r>
  <r>
    <s v="15509 BIRWOOD Avenue"/>
    <x v="41"/>
    <x v="0"/>
    <x v="269"/>
    <n v="256"/>
    <x v="1"/>
    <x v="1"/>
    <n v="981"/>
    <n v="274.2099898063201"/>
    <s v="Medium"/>
  </r>
  <r>
    <s v="2927 ORANGE GROVE Road"/>
    <x v="0"/>
    <x v="0"/>
    <x v="269"/>
    <n v="68"/>
    <x v="2"/>
    <x v="2"/>
    <n v="1700"/>
    <n v="158.23529411764707"/>
    <s v="Low"/>
  </r>
  <r>
    <s v="15225 Rosemary Boulevard"/>
    <x v="15"/>
    <x v="0"/>
    <x v="270"/>
    <n v="23"/>
    <x v="2"/>
    <x v="5"/>
    <n v="1877"/>
    <n v="143.79328716036227"/>
    <s v="Low"/>
  </r>
  <r>
    <s v="609 BRADY Lane"/>
    <x v="1"/>
    <x v="0"/>
    <x v="271"/>
    <n v="120"/>
    <x v="0"/>
    <x v="10"/>
    <n v="2014"/>
    <n v="134.0566037735849"/>
    <s v="Low"/>
  </r>
  <r>
    <s v="22555 LEEWRIGHT Avenue"/>
    <x v="12"/>
    <x v="0"/>
    <x v="272"/>
    <n v="5"/>
    <x v="2"/>
    <x v="2"/>
    <n v="1304"/>
    <n v="207.05521472392638"/>
    <s v="Medium"/>
  </r>
  <r>
    <s v="2727  Walton  Boulevard"/>
    <x v="5"/>
    <x v="0"/>
    <x v="272"/>
    <n v="29"/>
    <x v="0"/>
    <x v="2"/>
    <n v="2005"/>
    <n v="134.66334164588528"/>
    <s v="Low"/>
  </r>
  <r>
    <s v="23541 Loomis Court"/>
    <x v="38"/>
    <x v="0"/>
    <x v="272"/>
    <n v="8"/>
    <x v="0"/>
    <x v="3"/>
    <n v="1080"/>
    <n v="250"/>
    <s v="Medium"/>
  </r>
  <r>
    <s v="4672 STRATHCONA"/>
    <x v="17"/>
    <x v="0"/>
    <x v="272"/>
    <n v="16"/>
    <x v="2"/>
    <x v="3"/>
    <n v="1361"/>
    <n v="198.38354151359295"/>
    <s v="Low"/>
  </r>
  <r>
    <s v="1936 HOLLAND Street"/>
    <x v="40"/>
    <x v="0"/>
    <x v="272"/>
    <n v="0"/>
    <x v="2"/>
    <x v="1"/>
    <n v="916"/>
    <n v="294.7598253275109"/>
    <s v="Medium"/>
  </r>
  <r>
    <s v="63 Glanworth"/>
    <x v="13"/>
    <x v="0"/>
    <x v="272"/>
    <n v="7"/>
    <x v="2"/>
    <x v="2"/>
    <n v="1200"/>
    <n v="225"/>
    <s v="Medium"/>
  </r>
  <r>
    <s v="20200 WINCHESTER Street"/>
    <x v="12"/>
    <x v="0"/>
    <x v="272"/>
    <n v="29"/>
    <x v="2"/>
    <x v="3"/>
    <n v="1240"/>
    <n v="217.74193548387098"/>
    <s v="Medium"/>
  </r>
  <r>
    <s v="4315  Oakvista"/>
    <x v="29"/>
    <x v="0"/>
    <x v="272"/>
    <n v="9"/>
    <x v="2"/>
    <x v="2"/>
    <n v="1498"/>
    <n v="180.24032042723633"/>
    <s v="Low"/>
  </r>
  <r>
    <s v="30366 WINTHROP Drive"/>
    <x v="8"/>
    <x v="0"/>
    <x v="272"/>
    <n v="7"/>
    <x v="2"/>
    <x v="3"/>
    <n v="1125"/>
    <n v="240"/>
    <s v="Medium"/>
  </r>
  <r>
    <s v="28374 Westerleigh Road"/>
    <x v="11"/>
    <x v="0"/>
    <x v="272"/>
    <n v="6"/>
    <x v="2"/>
    <x v="10"/>
    <n v="1361"/>
    <n v="198.38354151359295"/>
    <s v="Low"/>
  </r>
  <r>
    <s v="1360 NANCYWOOD Drive"/>
    <x v="0"/>
    <x v="0"/>
    <x v="272"/>
    <n v="69"/>
    <x v="2"/>
    <x v="3"/>
    <n v="1610"/>
    <n v="167.70186335403727"/>
    <s v="Low"/>
  </r>
  <r>
    <s v="1036 ROYAL Avenue"/>
    <x v="18"/>
    <x v="0"/>
    <x v="272"/>
    <n v="12"/>
    <x v="2"/>
    <x v="10"/>
    <n v="867"/>
    <n v="311.41868512110727"/>
    <s v="High"/>
  </r>
  <r>
    <s v="2515 Peters"/>
    <x v="13"/>
    <x v="0"/>
    <x v="272"/>
    <n v="3"/>
    <x v="2"/>
    <x v="2"/>
    <n v="925"/>
    <n v="291.89189189189187"/>
    <s v="Medium"/>
  </r>
  <r>
    <s v="6791 DANDISON Boulevard"/>
    <x v="24"/>
    <x v="0"/>
    <x v="272"/>
    <n v="53"/>
    <x v="2"/>
    <x v="1"/>
    <n v="1981"/>
    <n v="136.29480060575466"/>
    <s v="Low"/>
  </r>
  <r>
    <s v="4250 SEEDEN Street"/>
    <x v="0"/>
    <x v="0"/>
    <x v="272"/>
    <n v="38"/>
    <x v="0"/>
    <x v="5"/>
    <n v="1464"/>
    <n v="184.42622950819671"/>
    <s v="Low"/>
  </r>
  <r>
    <s v="201 E Harrison Avenue"/>
    <x v="18"/>
    <x v="0"/>
    <x v="272"/>
    <n v="102"/>
    <x v="2"/>
    <x v="2"/>
    <n v="1105"/>
    <n v="244.34389140271495"/>
    <s v="Medium"/>
  </r>
  <r>
    <s v="1936 LAKELAND Avenue"/>
    <x v="34"/>
    <x v="0"/>
    <x v="273"/>
    <n v="57"/>
    <x v="2"/>
    <x v="2"/>
    <n v="1356"/>
    <n v="199.57153392330383"/>
    <s v="Low"/>
  </r>
  <r>
    <s v="4802 Shoreline Court"/>
    <x v="0"/>
    <x v="0"/>
    <x v="274"/>
    <n v="8"/>
    <x v="2"/>
    <x v="2"/>
    <n v="1427"/>
    <n v="189.90889978976875"/>
    <s v="Low"/>
  </r>
  <r>
    <s v="5423 MIKEWOOD Drive"/>
    <x v="0"/>
    <x v="0"/>
    <x v="275"/>
    <n v="40"/>
    <x v="2"/>
    <x v="3"/>
    <n v="1394"/>
    <n v="194.76327116212337"/>
    <s v="Low"/>
  </r>
  <r>
    <s v="24112 S DUNCAN Circle"/>
    <x v="11"/>
    <x v="0"/>
    <x v="276"/>
    <n v="5"/>
    <x v="2"/>
    <x v="3"/>
    <n v="1422"/>
    <n v="191.27988748241913"/>
    <s v="Low"/>
  </r>
  <r>
    <s v="2972 PARLIAMENT Drive"/>
    <x v="22"/>
    <x v="0"/>
    <x v="277"/>
    <n v="2"/>
    <x v="2"/>
    <x v="3"/>
    <n v="1218"/>
    <n v="224.54844006568143"/>
    <s v="Medium"/>
  </r>
  <r>
    <s v="455  Paragon Drive"/>
    <x v="22"/>
    <x v="0"/>
    <x v="278"/>
    <n v="55"/>
    <x v="2"/>
    <x v="1"/>
    <n v="1303"/>
    <n v="210.28396009209516"/>
    <s v="Medium"/>
  </r>
  <r>
    <s v="714 Sweetbriar"/>
    <x v="39"/>
    <x v="0"/>
    <x v="279"/>
    <n v="4"/>
    <x v="2"/>
    <x v="3"/>
    <n v="1150"/>
    <n v="239.04347826086956"/>
    <s v="Medium"/>
  </r>
  <r>
    <s v="1720 Beaufield Street"/>
    <x v="6"/>
    <x v="0"/>
    <x v="280"/>
    <n v="5"/>
    <x v="2"/>
    <x v="1"/>
    <n v="1177"/>
    <n v="233.64485981308411"/>
    <s v="Medium"/>
  </r>
  <r>
    <s v="2330 KEITH Road"/>
    <x v="24"/>
    <x v="0"/>
    <x v="280"/>
    <n v="1"/>
    <x v="2"/>
    <x v="3"/>
    <n v="1056"/>
    <n v="260.41666666666669"/>
    <s v="Medium"/>
  </r>
  <r>
    <s v="3012 BENJAMIN Avenue"/>
    <x v="18"/>
    <x v="0"/>
    <x v="280"/>
    <n v="14"/>
    <x v="2"/>
    <x v="2"/>
    <n v="1176"/>
    <n v="233.84353741496599"/>
    <s v="Medium"/>
  </r>
  <r>
    <s v="3859 CUMMINGS Avenue"/>
    <x v="25"/>
    <x v="0"/>
    <x v="280"/>
    <n v="3"/>
    <x v="2"/>
    <x v="1"/>
    <n v="1100"/>
    <n v="250"/>
    <s v="Medium"/>
  </r>
  <r>
    <s v="237 LEROY Avenue"/>
    <x v="30"/>
    <x v="0"/>
    <x v="280"/>
    <n v="35"/>
    <x v="2"/>
    <x v="1"/>
    <n v="1100"/>
    <n v="250"/>
    <s v="Medium"/>
  </r>
  <r>
    <s v="4475 COUNTY LINE Road"/>
    <x v="27"/>
    <x v="0"/>
    <x v="280"/>
    <n v="10"/>
    <x v="2"/>
    <x v="2"/>
    <n v="1854"/>
    <n v="148.32793959007552"/>
    <s v="Low"/>
  </r>
  <r>
    <s v="23910 EDINBURGH Street"/>
    <x v="12"/>
    <x v="0"/>
    <x v="280"/>
    <n v="20"/>
    <x v="2"/>
    <x v="3"/>
    <n v="1595"/>
    <n v="172.41379310344828"/>
    <s v="Low"/>
  </r>
  <r>
    <s v="23481 WILDWOOD Street"/>
    <x v="15"/>
    <x v="0"/>
    <x v="280"/>
    <n v="6"/>
    <x v="2"/>
    <x v="5"/>
    <n v="1717"/>
    <n v="160.16307513104252"/>
    <s v="Low"/>
  </r>
  <r>
    <s v="2228 Virginia"/>
    <x v="22"/>
    <x v="0"/>
    <x v="280"/>
    <n v="143"/>
    <x v="2"/>
    <x v="3"/>
    <n v="1436"/>
    <n v="191.50417827298051"/>
    <s v="Low"/>
  </r>
  <r>
    <s v="6204  Belford Road"/>
    <x v="9"/>
    <x v="0"/>
    <x v="280"/>
    <n v="191"/>
    <x v="0"/>
    <x v="2"/>
    <n v="2831"/>
    <n v="97.138820204874605"/>
    <s v="Low"/>
  </r>
  <r>
    <s v="11610 DIXIE Highway"/>
    <x v="9"/>
    <x v="0"/>
    <x v="280"/>
    <n v="266"/>
    <x v="0"/>
    <x v="2"/>
    <n v="2831"/>
    <n v="97.138820204874605"/>
    <s v="Low"/>
  </r>
  <r>
    <s v="620 BRADY Lane"/>
    <x v="1"/>
    <x v="0"/>
    <x v="281"/>
    <n v="78"/>
    <x v="0"/>
    <x v="10"/>
    <n v="1774"/>
    <n v="155.57497181510709"/>
    <s v="Low"/>
  </r>
  <r>
    <s v="1277 HARVARD Road"/>
    <x v="25"/>
    <x v="0"/>
    <x v="282"/>
    <n v="144"/>
    <x v="2"/>
    <x v="1"/>
    <n v="1103"/>
    <n v="252.03989120580235"/>
    <s v="Medium"/>
  </r>
  <r>
    <s v="2355 CHELTINGHAM Street"/>
    <x v="34"/>
    <x v="0"/>
    <x v="283"/>
    <n v="3"/>
    <x v="2"/>
    <x v="3"/>
    <n v="1459"/>
    <n v="190.88416723783413"/>
    <s v="Low"/>
  </r>
  <r>
    <s v="2093 N Pontiac Trail"/>
    <x v="14"/>
    <x v="0"/>
    <x v="284"/>
    <n v="25"/>
    <x v="2"/>
    <x v="2"/>
    <n v="1248"/>
    <n v="223.55769230769232"/>
    <s v="Medium"/>
  </r>
  <r>
    <s v="2955 Kenford Road"/>
    <x v="0"/>
    <x v="0"/>
    <x v="284"/>
    <n v="88"/>
    <x v="2"/>
    <x v="2"/>
    <n v="2056"/>
    <n v="135.70038910505838"/>
    <s v="Low"/>
  </r>
  <r>
    <s v="22802 MONTCLAIR Street"/>
    <x v="11"/>
    <x v="0"/>
    <x v="285"/>
    <n v="6"/>
    <x v="1"/>
    <x v="2"/>
    <n v="1050"/>
    <n v="266.66666666666669"/>
    <s v="Medium"/>
  </r>
  <r>
    <s v="2196 Allerton"/>
    <x v="5"/>
    <x v="0"/>
    <x v="285"/>
    <n v="7"/>
    <x v="2"/>
    <x v="2"/>
    <n v="1212"/>
    <n v="231.02310231023102"/>
    <s v="Medium"/>
  </r>
  <r>
    <s v="1907 N Wilson"/>
    <x v="18"/>
    <x v="0"/>
    <x v="285"/>
    <n v="6"/>
    <x v="2"/>
    <x v="1"/>
    <n v="1124"/>
    <n v="249.11032028469751"/>
    <s v="Medium"/>
  </r>
  <r>
    <s v="5928 PICKBOURNE Street"/>
    <x v="14"/>
    <x v="0"/>
    <x v="285"/>
    <n v="4"/>
    <x v="2"/>
    <x v="2"/>
    <n v="1665"/>
    <n v="168.16816816816817"/>
    <s v="Low"/>
  </r>
  <r>
    <s v="9987 Sedlock Avenue"/>
    <x v="10"/>
    <x v="0"/>
    <x v="285"/>
    <n v="17"/>
    <x v="2"/>
    <x v="3"/>
    <n v="1144"/>
    <n v="244.75524475524475"/>
    <s v="Medium"/>
  </r>
  <r>
    <s v="4321 Lone Tree Road"/>
    <x v="17"/>
    <x v="0"/>
    <x v="285"/>
    <n v="6"/>
    <x v="2"/>
    <x v="2"/>
    <n v="1978"/>
    <n v="141.55712841253791"/>
    <s v="Low"/>
  </r>
  <r>
    <s v="196 S BALDWIN Road"/>
    <x v="13"/>
    <x v="0"/>
    <x v="285"/>
    <n v="55"/>
    <x v="2"/>
    <x v="1"/>
    <n v="1765"/>
    <n v="158.64022662889519"/>
    <s v="Low"/>
  </r>
  <r>
    <s v="2186 ALLERTON Road"/>
    <x v="5"/>
    <x v="0"/>
    <x v="285"/>
    <n v="53"/>
    <x v="0"/>
    <x v="3"/>
    <n v="1780"/>
    <n v="157.30337078651687"/>
    <s v="Low"/>
  </r>
  <r>
    <s v="1030 KURTZ ROAD"/>
    <x v="9"/>
    <x v="0"/>
    <x v="285"/>
    <n v="7"/>
    <x v="0"/>
    <x v="10"/>
    <n v="2607"/>
    <n v="107.40314537782892"/>
    <s v="Low"/>
  </r>
  <r>
    <s v="5277 OLD COVE Road"/>
    <x v="29"/>
    <x v="0"/>
    <x v="285"/>
    <n v="7"/>
    <x v="0"/>
    <x v="3"/>
    <n v="1326"/>
    <n v="211.16138763197586"/>
    <s v="Medium"/>
  </r>
  <r>
    <s v="18480 W 9 MILE Road"/>
    <x v="12"/>
    <x v="0"/>
    <x v="285"/>
    <n v="53"/>
    <x v="2"/>
    <x v="3"/>
    <n v="1566"/>
    <n v="178.79948914431674"/>
    <s v="Low"/>
  </r>
  <r>
    <s v="23745 McCall Street"/>
    <x v="12"/>
    <x v="0"/>
    <x v="285"/>
    <n v="76"/>
    <x v="2"/>
    <x v="2"/>
    <n v="1557"/>
    <n v="179.83301220295439"/>
    <s v="Low"/>
  </r>
  <r>
    <s v="9553 SUSIN Lane"/>
    <x v="28"/>
    <x v="0"/>
    <x v="285"/>
    <n v="44"/>
    <x v="2"/>
    <x v="2"/>
    <n v="1439"/>
    <n v="194.57956914523976"/>
    <s v="Low"/>
  </r>
  <r>
    <s v="13720 BORGMAN Street"/>
    <x v="15"/>
    <x v="0"/>
    <x v="285"/>
    <n v="75"/>
    <x v="2"/>
    <x v="2"/>
    <n v="1187"/>
    <n v="235.88879528222409"/>
    <s v="Medium"/>
  </r>
  <r>
    <s v="1323 LONGFELLOW Avenue"/>
    <x v="18"/>
    <x v="0"/>
    <x v="285"/>
    <n v="252"/>
    <x v="2"/>
    <x v="2"/>
    <n v="807"/>
    <n v="346.96406443618338"/>
    <s v="High"/>
  </r>
  <r>
    <s v="3400 Alisa Lane"/>
    <x v="0"/>
    <x v="0"/>
    <x v="286"/>
    <n v="24"/>
    <x v="1"/>
    <x v="3"/>
    <n v="1378"/>
    <n v="203.91872278664732"/>
    <s v="Medium"/>
  </r>
  <r>
    <s v="2219 BACON Avenue"/>
    <x v="25"/>
    <x v="0"/>
    <x v="286"/>
    <n v="69"/>
    <x v="2"/>
    <x v="3"/>
    <n v="1394"/>
    <n v="201.57819225251077"/>
    <s v="Medium"/>
  </r>
  <r>
    <s v="3625 THOMAS Avenue"/>
    <x v="25"/>
    <x v="0"/>
    <x v="287"/>
    <n v="4"/>
    <x v="2"/>
    <x v="1"/>
    <n v="1007"/>
    <n v="280.03972194637538"/>
    <s v="Medium"/>
  </r>
  <r>
    <s v="1558 MILLARD Avenue"/>
    <x v="8"/>
    <x v="0"/>
    <x v="287"/>
    <n v="3"/>
    <x v="2"/>
    <x v="3"/>
    <n v="1440"/>
    <n v="195.83333333333334"/>
    <s v="Low"/>
  </r>
  <r>
    <s v="3115 DEVONDALE Road"/>
    <x v="3"/>
    <x v="0"/>
    <x v="287"/>
    <n v="13"/>
    <x v="1"/>
    <x v="2"/>
    <n v="1339"/>
    <n v="210.604929051531"/>
    <s v="Medium"/>
  </r>
  <r>
    <s v="225 WILSON Avenue"/>
    <x v="30"/>
    <x v="0"/>
    <x v="288"/>
    <n v="14"/>
    <x v="2"/>
    <x v="3"/>
    <n v="1015"/>
    <n v="278.07881773399015"/>
    <s v="Medium"/>
  </r>
  <r>
    <s v="2443 IVANHOE Drive"/>
    <x v="24"/>
    <x v="0"/>
    <x v="289"/>
    <n v="13"/>
    <x v="2"/>
    <x v="10"/>
    <n v="1500"/>
    <n v="188.33333333333334"/>
    <s v="Low"/>
  </r>
  <r>
    <s v="535 SHEFFIELD Drive"/>
    <x v="8"/>
    <x v="0"/>
    <x v="290"/>
    <n v="6"/>
    <x v="0"/>
    <x v="5"/>
    <n v="1460"/>
    <n v="193.83561643835617"/>
    <s v="Low"/>
  </r>
  <r>
    <s v="1909 BROCKTON Avenue"/>
    <x v="18"/>
    <x v="0"/>
    <x v="291"/>
    <n v="4"/>
    <x v="2"/>
    <x v="1"/>
    <n v="997"/>
    <n v="284.85456369107322"/>
    <s v="Medium"/>
  </r>
  <r>
    <s v="20910 MADA Avenue"/>
    <x v="12"/>
    <x v="0"/>
    <x v="292"/>
    <n v="4"/>
    <x v="2"/>
    <x v="3"/>
    <n v="1692"/>
    <n v="168.43971631205673"/>
    <s v="Low"/>
  </r>
  <r>
    <s v="21719 Tulane Avenue"/>
    <x v="11"/>
    <x v="0"/>
    <x v="292"/>
    <n v="3"/>
    <x v="2"/>
    <x v="2"/>
    <n v="1533"/>
    <n v="185.90998043052838"/>
    <s v="Low"/>
  </r>
  <r>
    <s v="27045 MARSHALL Street"/>
    <x v="12"/>
    <x v="0"/>
    <x v="292"/>
    <n v="13"/>
    <x v="0"/>
    <x v="5"/>
    <n v="1919"/>
    <n v="148.51485148514851"/>
    <s v="Low"/>
  </r>
  <r>
    <s v="4025 S Shore Street"/>
    <x v="0"/>
    <x v="0"/>
    <x v="292"/>
    <n v="36"/>
    <x v="3"/>
    <x v="12"/>
    <n v="1364"/>
    <n v="208.94428152492668"/>
    <s v="Medium"/>
  </r>
  <r>
    <s v="3026 BENSTEIN Road"/>
    <x v="14"/>
    <x v="0"/>
    <x v="292"/>
    <n v="10"/>
    <x v="2"/>
    <x v="2"/>
    <n v="1400"/>
    <n v="203.57142857142858"/>
    <s v="Medium"/>
  </r>
  <r>
    <s v="29181 SHERRY Avenue"/>
    <x v="8"/>
    <x v="0"/>
    <x v="292"/>
    <n v="3"/>
    <x v="2"/>
    <x v="2"/>
    <n v="1013"/>
    <n v="281.3425468904245"/>
    <s v="Medium"/>
  </r>
  <r>
    <s v="927 N Edgeworth"/>
    <x v="18"/>
    <x v="0"/>
    <x v="292"/>
    <n v="19"/>
    <x v="2"/>
    <x v="1"/>
    <n v="989"/>
    <n v="288.16986855409505"/>
    <s v="Medium"/>
  </r>
  <r>
    <s v="23580 W NEWELL Circle"/>
    <x v="11"/>
    <x v="0"/>
    <x v="292"/>
    <n v="11"/>
    <x v="2"/>
    <x v="3"/>
    <n v="1390"/>
    <n v="205.03597122302159"/>
    <s v="Medium"/>
  </r>
  <r>
    <s v="195 HIRAM Street"/>
    <x v="13"/>
    <x v="0"/>
    <x v="292"/>
    <n v="8"/>
    <x v="2"/>
    <x v="3"/>
    <n v="1386"/>
    <n v="205.62770562770564"/>
    <s v="Medium"/>
  </r>
  <r>
    <s v="4080 FOREST GLEN"/>
    <x v="0"/>
    <x v="0"/>
    <x v="292"/>
    <n v="34"/>
    <x v="2"/>
    <x v="5"/>
    <n v="1786"/>
    <n v="159.57446808510639"/>
    <s v="Low"/>
  </r>
  <r>
    <s v="1811 ORCHID Street"/>
    <x v="0"/>
    <x v="0"/>
    <x v="292"/>
    <n v="25"/>
    <x v="2"/>
    <x v="2"/>
    <n v="1127"/>
    <n v="252.88376220053237"/>
    <s v="Medium"/>
  </r>
  <r>
    <s v="592 SHARON Street"/>
    <x v="0"/>
    <x v="0"/>
    <x v="292"/>
    <n v="37"/>
    <x v="2"/>
    <x v="3"/>
    <n v="2100"/>
    <n v="135.71428571428572"/>
    <s v="Low"/>
  </r>
  <r>
    <s v="1222 N SELFRIDGE Boulevard"/>
    <x v="30"/>
    <x v="0"/>
    <x v="292"/>
    <n v="53"/>
    <x v="0"/>
    <x v="1"/>
    <n v="1245"/>
    <n v="228.9156626506024"/>
    <s v="Medium"/>
  </r>
  <r>
    <s v="712 SAINT CHARLES"/>
    <x v="18"/>
    <x v="0"/>
    <x v="292"/>
    <n v="8"/>
    <x v="2"/>
    <x v="3"/>
    <n v="1314"/>
    <n v="216.89497716894977"/>
    <s v="Medium"/>
  </r>
  <r>
    <s v="30521 BALEWOOD Street"/>
    <x v="12"/>
    <x v="0"/>
    <x v="292"/>
    <n v="116"/>
    <x v="2"/>
    <x v="3"/>
    <n v="1663"/>
    <n v="171.37702946482261"/>
    <s v="Low"/>
  </r>
  <r>
    <s v="638 BRADY Lane"/>
    <x v="1"/>
    <x v="0"/>
    <x v="292"/>
    <n v="97"/>
    <x v="0"/>
    <x v="5"/>
    <n v="2014"/>
    <n v="141.50943396226415"/>
    <s v="Low"/>
  </r>
  <r>
    <s v="3790 FERNLEIGH Drive"/>
    <x v="22"/>
    <x v="0"/>
    <x v="292"/>
    <n v="109"/>
    <x v="0"/>
    <x v="3"/>
    <n v="1346"/>
    <n v="211.73848439821694"/>
    <s v="Medium"/>
  </r>
  <r>
    <s v="1260 CADMUS Drive"/>
    <x v="22"/>
    <x v="0"/>
    <x v="292"/>
    <n v="208"/>
    <x v="2"/>
    <x v="1"/>
    <n v="1280"/>
    <n v="222.65625"/>
    <s v="Medium"/>
  </r>
  <r>
    <s v="4086 IRONSIDE Drive"/>
    <x v="0"/>
    <x v="0"/>
    <x v="293"/>
    <n v="4"/>
    <x v="0"/>
    <x v="5"/>
    <n v="1820"/>
    <n v="157.25274725274724"/>
    <s v="Low"/>
  </r>
  <r>
    <s v="2789 HICKORY LAWN Road"/>
    <x v="3"/>
    <x v="0"/>
    <x v="294"/>
    <n v="5"/>
    <x v="2"/>
    <x v="2"/>
    <n v="1152"/>
    <n v="249.13194444444446"/>
    <s v="Medium"/>
  </r>
  <r>
    <s v="69 DENNISON Street"/>
    <x v="31"/>
    <x v="0"/>
    <x v="294"/>
    <n v="6"/>
    <x v="0"/>
    <x v="2"/>
    <n v="1692"/>
    <n v="169.62174940898345"/>
    <s v="Low"/>
  </r>
  <r>
    <s v="20 Kensington Boulevard"/>
    <x v="42"/>
    <x v="0"/>
    <x v="295"/>
    <n v="87"/>
    <x v="2"/>
    <x v="3"/>
    <n v="1551"/>
    <n v="185.33204384268214"/>
    <s v="Low"/>
  </r>
  <r>
    <s v="248 ALHAMBRA Street"/>
    <x v="1"/>
    <x v="0"/>
    <x v="296"/>
    <n v="269"/>
    <x v="0"/>
    <x v="5"/>
    <n v="2009"/>
    <n v="143.34992533598805"/>
    <s v="Low"/>
  </r>
  <r>
    <s v="15529 KIRKSHIRE Avenue"/>
    <x v="41"/>
    <x v="0"/>
    <x v="297"/>
    <n v="3"/>
    <x v="1"/>
    <x v="1"/>
    <n v="1050"/>
    <n v="274.28571428571428"/>
    <s v="Medium"/>
  </r>
  <r>
    <s v="604 Ardmore Drive"/>
    <x v="6"/>
    <x v="0"/>
    <x v="298"/>
    <n v="48"/>
    <x v="2"/>
    <x v="2"/>
    <n v="1139"/>
    <n v="253.64354697102721"/>
    <s v="Medium"/>
  </r>
  <r>
    <s v="1275 LARCH Place"/>
    <x v="0"/>
    <x v="0"/>
    <x v="299"/>
    <n v="4"/>
    <x v="2"/>
    <x v="2"/>
    <n v="1578"/>
    <n v="183.14321926489228"/>
    <s v="Low"/>
  </r>
  <r>
    <s v="921 Wise St"/>
    <x v="43"/>
    <x v="0"/>
    <x v="300"/>
    <n v="27"/>
    <x v="2"/>
    <x v="1"/>
    <n v="1032"/>
    <n v="280.91085271317831"/>
    <s v="Medium"/>
  </r>
  <r>
    <s v="1960 OLTESVIG Lane"/>
    <x v="17"/>
    <x v="0"/>
    <x v="300"/>
    <n v="161"/>
    <x v="2"/>
    <x v="2"/>
    <n v="2302"/>
    <n v="125.93397046046915"/>
    <s v="Low"/>
  </r>
  <r>
    <s v="3754 THOMAS Avenue"/>
    <x v="25"/>
    <x v="0"/>
    <x v="301"/>
    <n v="4"/>
    <x v="2"/>
    <x v="2"/>
    <n v="1196"/>
    <n v="242.47491638795987"/>
    <s v="Medium"/>
  </r>
  <r>
    <s v="23290 HARDING Street"/>
    <x v="15"/>
    <x v="0"/>
    <x v="301"/>
    <n v="4"/>
    <x v="2"/>
    <x v="5"/>
    <n v="1892"/>
    <n v="153.27695560253699"/>
    <s v="Low"/>
  </r>
  <r>
    <s v="501 S Edgeworth Avenue"/>
    <x v="18"/>
    <x v="0"/>
    <x v="301"/>
    <n v="7"/>
    <x v="2"/>
    <x v="1"/>
    <n v="1152"/>
    <n v="251.73611111111111"/>
    <s v="Medium"/>
  </r>
  <r>
    <s v="31656 LAMAR Drive"/>
    <x v="38"/>
    <x v="0"/>
    <x v="301"/>
    <n v="2"/>
    <x v="2"/>
    <x v="3"/>
    <n v="1018"/>
    <n v="284.87229862475442"/>
    <s v="Medium"/>
  </r>
  <r>
    <s v="731 N Cass Lake"/>
    <x v="0"/>
    <x v="0"/>
    <x v="301"/>
    <n v="38"/>
    <x v="3"/>
    <x v="5"/>
    <n v="2100"/>
    <n v="138.0952380952381"/>
    <s v="Low"/>
  </r>
  <r>
    <s v="8156 Kenwick Drive"/>
    <x v="10"/>
    <x v="0"/>
    <x v="301"/>
    <n v="17"/>
    <x v="2"/>
    <x v="3"/>
    <n v="650"/>
    <n v="446.15384615384613"/>
    <s v="High"/>
  </r>
  <r>
    <s v="5030 SHERWELL Drive"/>
    <x v="0"/>
    <x v="0"/>
    <x v="301"/>
    <n v="6"/>
    <x v="2"/>
    <x v="2"/>
    <n v="1778"/>
    <n v="163.10461192350957"/>
    <s v="Low"/>
  </r>
  <r>
    <s v="6620 WEDGEWOOD"/>
    <x v="0"/>
    <x v="0"/>
    <x v="301"/>
    <n v="25"/>
    <x v="2"/>
    <x v="2"/>
    <n v="1351"/>
    <n v="214.65581051073278"/>
    <s v="Medium"/>
  </r>
  <r>
    <s v="9605 VISTA Lane"/>
    <x v="14"/>
    <x v="0"/>
    <x v="301"/>
    <n v="25"/>
    <x v="2"/>
    <x v="3"/>
    <n v="1008"/>
    <n v="287.69841269841271"/>
    <s v="Medium"/>
  </r>
  <r>
    <s v="5610 AYLESBURY Drive"/>
    <x v="0"/>
    <x v="0"/>
    <x v="301"/>
    <n v="75"/>
    <x v="2"/>
    <x v="3"/>
    <n v="1636"/>
    <n v="177.26161369193153"/>
    <s v="Low"/>
  </r>
  <r>
    <s v="701 GARDENIA Avenue"/>
    <x v="18"/>
    <x v="0"/>
    <x v="301"/>
    <n v="84"/>
    <x v="0"/>
    <x v="1"/>
    <n v="1494"/>
    <n v="194.10977242302545"/>
    <s v="Low"/>
  </r>
  <r>
    <s v="1583 GIDDINGS Road"/>
    <x v="1"/>
    <x v="0"/>
    <x v="301"/>
    <n v="144"/>
    <x v="2"/>
    <x v="2"/>
    <n v="1628"/>
    <n v="178.13267813267814"/>
    <s v="Low"/>
  </r>
  <r>
    <s v="220 MASSOIT Street"/>
    <x v="30"/>
    <x v="0"/>
    <x v="302"/>
    <n v="4"/>
    <x v="2"/>
    <x v="1"/>
    <n v="968"/>
    <n v="300.61983471074382"/>
    <s v="High"/>
  </r>
  <r>
    <s v="22040 TREDWELL Avenue"/>
    <x v="11"/>
    <x v="0"/>
    <x v="302"/>
    <n v="7"/>
    <x v="2"/>
    <x v="3"/>
    <n v="1204"/>
    <n v="241.69435215946845"/>
    <s v="Medium"/>
  </r>
  <r>
    <s v="31560 LEELANE"/>
    <x v="38"/>
    <x v="0"/>
    <x v="303"/>
    <n v="17"/>
    <x v="2"/>
    <x v="3"/>
    <n v="1030"/>
    <n v="283.00970873786406"/>
    <s v="Medium"/>
  </r>
  <r>
    <s v="819 Hawthorn Avenue"/>
    <x v="18"/>
    <x v="0"/>
    <x v="304"/>
    <n v="10"/>
    <x v="1"/>
    <x v="1"/>
    <n v="968"/>
    <n v="301.65289256198349"/>
    <s v="High"/>
  </r>
  <r>
    <s v="3494 Cummings Avenue"/>
    <x v="25"/>
    <x v="0"/>
    <x v="304"/>
    <n v="81"/>
    <x v="2"/>
    <x v="1"/>
    <n v="1028"/>
    <n v="284.04669260700388"/>
    <s v="Medium"/>
  </r>
  <r>
    <s v="664 JAMESTOWN Road"/>
    <x v="5"/>
    <x v="0"/>
    <x v="305"/>
    <n v="33"/>
    <x v="2"/>
    <x v="3"/>
    <n v="1900"/>
    <n v="153.94736842105263"/>
    <s v="Low"/>
  </r>
  <r>
    <s v="3312 HARVARD Road"/>
    <x v="18"/>
    <x v="0"/>
    <x v="305"/>
    <n v="12"/>
    <x v="2"/>
    <x v="2"/>
    <n v="1010"/>
    <n v="289.60396039603961"/>
    <s v="Medium"/>
  </r>
  <r>
    <s v="125 S Washington Avenue"/>
    <x v="30"/>
    <x v="0"/>
    <x v="305"/>
    <n v="6"/>
    <x v="2"/>
    <x v="2"/>
    <n v="1069"/>
    <n v="273.62020579981294"/>
    <s v="Medium"/>
  </r>
  <r>
    <s v="4419 ELMHURST Avenue"/>
    <x v="18"/>
    <x v="0"/>
    <x v="306"/>
    <n v="22"/>
    <x v="2"/>
    <x v="2"/>
    <n v="1099"/>
    <n v="266.60600545950865"/>
    <s v="Medium"/>
  </r>
  <r>
    <s v="1432 S COMMERCE Road"/>
    <x v="33"/>
    <x v="0"/>
    <x v="307"/>
    <n v="33"/>
    <x v="2"/>
    <x v="2"/>
    <n v="1689"/>
    <n v="173.97631734754293"/>
    <s v="Low"/>
  </r>
  <r>
    <s v="1210 COLUMBIA Road"/>
    <x v="25"/>
    <x v="0"/>
    <x v="308"/>
    <n v="4"/>
    <x v="2"/>
    <x v="3"/>
    <n v="1075"/>
    <n v="274.32558139534882"/>
    <s v="Medium"/>
  </r>
  <r>
    <s v="4136 Springer Avenue"/>
    <x v="18"/>
    <x v="0"/>
    <x v="309"/>
    <n v="29"/>
    <x v="2"/>
    <x v="3"/>
    <n v="1279"/>
    <n v="230.64894448788115"/>
    <s v="Medium"/>
  </r>
  <r>
    <s v="22931 Glenmoor Heights"/>
    <x v="11"/>
    <x v="0"/>
    <x v="309"/>
    <n v="10"/>
    <x v="2"/>
    <x v="5"/>
    <n v="804"/>
    <n v="366.91542288557213"/>
    <s v="High"/>
  </r>
  <r>
    <s v="4136 Springer"/>
    <x v="18"/>
    <x v="0"/>
    <x v="309"/>
    <n v="8"/>
    <x v="2"/>
    <x v="3"/>
    <n v="1279"/>
    <n v="230.64894448788115"/>
    <s v="Medium"/>
  </r>
  <r>
    <s v="30618 Shiawassee Street"/>
    <x v="11"/>
    <x v="0"/>
    <x v="309"/>
    <n v="24"/>
    <x v="2"/>
    <x v="5"/>
    <n v="1275"/>
    <n v="231.37254901960785"/>
    <s v="Medium"/>
  </r>
  <r>
    <s v="3259 YORK Road"/>
    <x v="3"/>
    <x v="0"/>
    <x v="309"/>
    <n v="89"/>
    <x v="2"/>
    <x v="1"/>
    <n v="1120"/>
    <n v="263.39285714285717"/>
    <s v="Medium"/>
  </r>
  <r>
    <s v="207 W Tienken Road"/>
    <x v="3"/>
    <x v="0"/>
    <x v="309"/>
    <n v="29"/>
    <x v="2"/>
    <x v="3"/>
    <n v="1044"/>
    <n v="282.56704980842915"/>
    <s v="Medium"/>
  </r>
  <r>
    <s v="24002 COLCHESTER Drive"/>
    <x v="38"/>
    <x v="0"/>
    <x v="309"/>
    <n v="98"/>
    <x v="2"/>
    <x v="3"/>
    <n v="1303"/>
    <n v="226.4006139677667"/>
    <s v="Medium"/>
  </r>
  <r>
    <s v="878 CANYON CREEK Drive"/>
    <x v="9"/>
    <x v="0"/>
    <x v="309"/>
    <n v="33"/>
    <x v="2"/>
    <x v="5"/>
    <n v="1835"/>
    <n v="160.76294277929156"/>
    <s v="Low"/>
  </r>
  <r>
    <s v="644 Brady Lane"/>
    <x v="1"/>
    <x v="0"/>
    <x v="310"/>
    <n v="44"/>
    <x v="0"/>
    <x v="5"/>
    <n v="2014"/>
    <n v="147.46276067527307"/>
    <s v="Low"/>
  </r>
  <r>
    <s v="892 PRINCETON Road"/>
    <x v="25"/>
    <x v="0"/>
    <x v="311"/>
    <n v="55"/>
    <x v="2"/>
    <x v="2"/>
    <n v="1199"/>
    <n v="247.70642201834863"/>
    <s v="Medium"/>
  </r>
  <r>
    <s v="1746 S HICKORY RIDGE Road"/>
    <x v="17"/>
    <x v="0"/>
    <x v="312"/>
    <n v="6"/>
    <x v="2"/>
    <x v="3"/>
    <n v="1110"/>
    <n v="268.01801801801804"/>
    <s v="Medium"/>
  </r>
  <r>
    <s v="4468 MAJOR Avenue"/>
    <x v="0"/>
    <x v="0"/>
    <x v="313"/>
    <n v="53"/>
    <x v="2"/>
    <x v="5"/>
    <n v="1640"/>
    <n v="181.70731707317074"/>
    <s v="Low"/>
  </r>
  <r>
    <s v="1023 N VERMONT Avenue"/>
    <x v="18"/>
    <x v="0"/>
    <x v="314"/>
    <n v="22"/>
    <x v="2"/>
    <x v="2"/>
    <n v="1298"/>
    <n v="229.96918335901387"/>
    <s v="Medium"/>
  </r>
  <r>
    <s v="629 S Alexander Avenue"/>
    <x v="18"/>
    <x v="0"/>
    <x v="315"/>
    <n v="7"/>
    <x v="2"/>
    <x v="2"/>
    <n v="1088"/>
    <n v="274.81617647058823"/>
    <s v="Medium"/>
  </r>
  <r>
    <s v="1040 Buster Drive"/>
    <x v="0"/>
    <x v="0"/>
    <x v="315"/>
    <n v="6"/>
    <x v="2"/>
    <x v="2"/>
    <n v="1430"/>
    <n v="209.09090909090909"/>
    <s v="Medium"/>
  </r>
  <r>
    <s v="237 Buckhorn Drive"/>
    <x v="13"/>
    <x v="0"/>
    <x v="315"/>
    <n v="3"/>
    <x v="2"/>
    <x v="3"/>
    <n v="1200"/>
    <n v="249.16666666666666"/>
    <s v="Medium"/>
  </r>
  <r>
    <s v="1882 BACON Avenue"/>
    <x v="25"/>
    <x v="0"/>
    <x v="315"/>
    <n v="39"/>
    <x v="2"/>
    <x v="2"/>
    <n v="1201"/>
    <n v="248.95920066611157"/>
    <s v="Medium"/>
  </r>
  <r>
    <s v="1037 Cobalt Avenue"/>
    <x v="0"/>
    <x v="0"/>
    <x v="315"/>
    <n v="7"/>
    <x v="2"/>
    <x v="5"/>
    <n v="1656"/>
    <n v="180.55555555555554"/>
    <s v="Low"/>
  </r>
  <r>
    <s v="26550 Meadowood"/>
    <x v="44"/>
    <x v="0"/>
    <x v="316"/>
    <n v="9"/>
    <x v="0"/>
    <x v="5"/>
    <n v="2062"/>
    <n v="145.32250242483028"/>
    <s v="Low"/>
  </r>
  <r>
    <s v="16390 E RUTHERLAND Street"/>
    <x v="12"/>
    <x v="0"/>
    <x v="317"/>
    <n v="28"/>
    <x v="2"/>
    <x v="9"/>
    <n v="1747"/>
    <n v="171.66571265025757"/>
    <s v="Low"/>
  </r>
  <r>
    <s v="8866 WOODSHIRE Drive"/>
    <x v="10"/>
    <x v="0"/>
    <x v="317"/>
    <n v="65"/>
    <x v="2"/>
    <x v="3"/>
    <n v="1667"/>
    <n v="179.90401919616076"/>
    <s v="Low"/>
  </r>
  <r>
    <s v="14245 Oak Park Boulevard"/>
    <x v="15"/>
    <x v="0"/>
    <x v="317"/>
    <n v="15"/>
    <x v="2"/>
    <x v="2"/>
    <n v="1777"/>
    <n v="168.76758581879571"/>
    <s v="Low"/>
  </r>
  <r>
    <s v="2625 CAMPBELLGATE Drive"/>
    <x v="0"/>
    <x v="0"/>
    <x v="317"/>
    <n v="30"/>
    <x v="0"/>
    <x v="3"/>
    <n v="1707"/>
    <n v="175.68834212067955"/>
    <s v="Low"/>
  </r>
  <r>
    <s v="2855 ELLWOOD Avenue"/>
    <x v="25"/>
    <x v="0"/>
    <x v="318"/>
    <n v="5"/>
    <x v="2"/>
    <x v="1"/>
    <n v="1047"/>
    <n v="286.53295128939828"/>
    <s v="Medium"/>
  </r>
  <r>
    <s v="3952 SAGINAW Trail"/>
    <x v="0"/>
    <x v="0"/>
    <x v="318"/>
    <n v="4"/>
    <x v="2"/>
    <x v="3"/>
    <n v="1585"/>
    <n v="189.2744479495268"/>
    <s v="Low"/>
  </r>
  <r>
    <s v="241 LINDEN Avenue"/>
    <x v="18"/>
    <x v="0"/>
    <x v="318"/>
    <n v="61"/>
    <x v="0"/>
    <x v="3"/>
    <n v="1462"/>
    <n v="205.19835841313269"/>
    <s v="Medium"/>
  </r>
  <r>
    <s v="3088 SYLVAN Drive"/>
    <x v="18"/>
    <x v="0"/>
    <x v="318"/>
    <n v="14"/>
    <x v="2"/>
    <x v="2"/>
    <n v="1053"/>
    <n v="284.90028490028487"/>
    <s v="Medium"/>
  </r>
  <r>
    <s v="3721 KENT Road"/>
    <x v="18"/>
    <x v="0"/>
    <x v="318"/>
    <n v="8"/>
    <x v="2"/>
    <x v="2"/>
    <n v="1091"/>
    <n v="274.97708524289641"/>
    <s v="Medium"/>
  </r>
  <r>
    <s v="1487 S HOLLY Road"/>
    <x v="45"/>
    <x v="0"/>
    <x v="318"/>
    <n v="8"/>
    <x v="2"/>
    <x v="3"/>
    <n v="1530"/>
    <n v="196.07843137254903"/>
    <s v="Low"/>
  </r>
  <r>
    <s v="85 BOYKEN Road"/>
    <x v="3"/>
    <x v="0"/>
    <x v="318"/>
    <n v="5"/>
    <x v="0"/>
    <x v="10"/>
    <n v="1691"/>
    <n v="177.40981667652278"/>
    <s v="Low"/>
  </r>
  <r>
    <s v="921 W 14 Mile Road"/>
    <x v="30"/>
    <x v="0"/>
    <x v="318"/>
    <n v="23"/>
    <x v="7"/>
    <x v="13"/>
    <n v="1000"/>
    <n v="300"/>
    <s v="Medium"/>
  </r>
  <r>
    <s v="3275 CHENOA Street"/>
    <x v="14"/>
    <x v="0"/>
    <x v="318"/>
    <n v="4"/>
    <x v="2"/>
    <x v="5"/>
    <n v="1200"/>
    <n v="250"/>
    <s v="Medium"/>
  </r>
  <r>
    <s v="24560 ORCHARD LAKE Road"/>
    <x v="11"/>
    <x v="0"/>
    <x v="318"/>
    <n v="26"/>
    <x v="1"/>
    <x v="3"/>
    <n v="1378"/>
    <n v="217.70682148040638"/>
    <s v="Medium"/>
  </r>
  <r>
    <s v="22826 FREDERICK Avenue"/>
    <x v="38"/>
    <x v="0"/>
    <x v="318"/>
    <n v="5"/>
    <x v="2"/>
    <x v="2"/>
    <n v="1025"/>
    <n v="292.6829268292683"/>
    <s v="Medium"/>
  </r>
  <r>
    <s v="46 SMITH Court"/>
    <x v="36"/>
    <x v="0"/>
    <x v="318"/>
    <n v="71"/>
    <x v="0"/>
    <x v="10"/>
    <n v="1684"/>
    <n v="178.14726840855107"/>
    <s v="Low"/>
  </r>
  <r>
    <s v="61801 FAIRLAND Drive"/>
    <x v="37"/>
    <x v="0"/>
    <x v="318"/>
    <n v="12"/>
    <x v="3"/>
    <x v="2"/>
    <n v="1121"/>
    <n v="267.61819803746653"/>
    <s v="Medium"/>
  </r>
  <r>
    <s v="770 MCMUNN Street"/>
    <x v="16"/>
    <x v="0"/>
    <x v="318"/>
    <n v="6"/>
    <x v="2"/>
    <x v="2"/>
    <n v="1464"/>
    <n v="204.91803278688525"/>
    <s v="Medium"/>
  </r>
  <r>
    <s v="921 W 14 Mile Road"/>
    <x v="30"/>
    <x v="0"/>
    <x v="318"/>
    <n v="7"/>
    <x v="2"/>
    <x v="5"/>
    <n v="1250"/>
    <n v="240"/>
    <s v="Medium"/>
  </r>
  <r>
    <s v="928 W 3RD Street"/>
    <x v="46"/>
    <x v="0"/>
    <x v="318"/>
    <n v="29"/>
    <x v="0"/>
    <x v="3"/>
    <n v="1088"/>
    <n v="275.73529411764707"/>
    <s v="Medium"/>
  </r>
  <r>
    <s v="1216 KEBLE Lane"/>
    <x v="43"/>
    <x v="0"/>
    <x v="318"/>
    <n v="55"/>
    <x v="2"/>
    <x v="2"/>
    <n v="1537"/>
    <n v="195.18542615484711"/>
    <s v="Low"/>
  </r>
  <r>
    <s v="18184 NEW HAMPSHIRE Drive"/>
    <x v="12"/>
    <x v="0"/>
    <x v="318"/>
    <n v="35"/>
    <x v="0"/>
    <x v="3"/>
    <n v="2300"/>
    <n v="130.43478260869566"/>
    <s v="Low"/>
  </r>
  <r>
    <s v="2143 S HAMMOND LAKE Road"/>
    <x v="24"/>
    <x v="0"/>
    <x v="318"/>
    <n v="65"/>
    <x v="2"/>
    <x v="5"/>
    <n v="2246"/>
    <n v="133.57079252003561"/>
    <s v="Low"/>
  </r>
  <r>
    <s v="11980 DAVISBURG Road"/>
    <x v="28"/>
    <x v="0"/>
    <x v="318"/>
    <n v="150"/>
    <x v="2"/>
    <x v="3"/>
    <n v="1446"/>
    <n v="207.46887966804979"/>
    <s v="Medium"/>
  </r>
  <r>
    <s v="783 DEER PATH Trail"/>
    <x v="0"/>
    <x v="0"/>
    <x v="318"/>
    <n v="31"/>
    <x v="0"/>
    <x v="5"/>
    <n v="2112"/>
    <n v="142.04545454545453"/>
    <s v="Low"/>
  </r>
  <r>
    <s v="100 Broadway"/>
    <x v="28"/>
    <x v="0"/>
    <x v="318"/>
    <n v="115"/>
    <x v="2"/>
    <x v="2"/>
    <n v="2015"/>
    <n v="148.8833746898263"/>
    <s v="Low"/>
  </r>
  <r>
    <s v="3407 S FENTON Road"/>
    <x v="45"/>
    <x v="0"/>
    <x v="319"/>
    <n v="5"/>
    <x v="2"/>
    <x v="3"/>
    <n v="1550"/>
    <n v="194.19354838709677"/>
    <s v="Low"/>
  </r>
  <r>
    <s v="23959 Springbrook Drive"/>
    <x v="11"/>
    <x v="0"/>
    <x v="319"/>
    <n v="3"/>
    <x v="2"/>
    <x v="2"/>
    <n v="1049"/>
    <n v="286.93994280266924"/>
    <s v="Medium"/>
  </r>
  <r>
    <s v="1587 S MADDOX Street E"/>
    <x v="24"/>
    <x v="0"/>
    <x v="319"/>
    <n v="7"/>
    <x v="2"/>
    <x v="2"/>
    <n v="930"/>
    <n v="323.6559139784946"/>
    <s v="High"/>
  </r>
  <r>
    <s v="4165 SASHABAW Road"/>
    <x v="0"/>
    <x v="0"/>
    <x v="320"/>
    <n v="6"/>
    <x v="2"/>
    <x v="2"/>
    <n v="1400"/>
    <n v="215.71428571428572"/>
    <s v="Medium"/>
  </r>
  <r>
    <s v="3221 SYLVAN Drive"/>
    <x v="18"/>
    <x v="0"/>
    <x v="320"/>
    <n v="123"/>
    <x v="0"/>
    <x v="2"/>
    <n v="1102"/>
    <n v="274.04718693284934"/>
    <s v="Medium"/>
  </r>
  <r>
    <s v="655 OVERLOOK Street"/>
    <x v="10"/>
    <x v="0"/>
    <x v="321"/>
    <n v="4"/>
    <x v="2"/>
    <x v="3"/>
    <n v="1008"/>
    <n v="300.59523809523807"/>
    <s v="High"/>
  </r>
  <r>
    <s v="429 COVE VIEW DRIVE"/>
    <x v="0"/>
    <x v="0"/>
    <x v="322"/>
    <n v="6"/>
    <x v="2"/>
    <x v="3"/>
    <n v="1352"/>
    <n v="224.85207100591717"/>
    <s v="Medium"/>
  </r>
  <r>
    <s v="3673 TARA Drive"/>
    <x v="17"/>
    <x v="0"/>
    <x v="323"/>
    <n v="3"/>
    <x v="2"/>
    <x v="2"/>
    <n v="1384"/>
    <n v="220.01445086705203"/>
    <s v="Medium"/>
  </r>
  <r>
    <s v="2406 ISLAND VIEW Drive"/>
    <x v="24"/>
    <x v="0"/>
    <x v="324"/>
    <n v="4"/>
    <x v="0"/>
    <x v="5"/>
    <n v="1895"/>
    <n v="160.94986807387863"/>
    <s v="Low"/>
  </r>
  <r>
    <s v="417 N VERMONT Avenue"/>
    <x v="18"/>
    <x v="0"/>
    <x v="324"/>
    <n v="2"/>
    <x v="2"/>
    <x v="2"/>
    <n v="1015"/>
    <n v="300.49261083743841"/>
    <s v="High"/>
  </r>
  <r>
    <s v="25505 Farmbrook Road"/>
    <x v="12"/>
    <x v="0"/>
    <x v="324"/>
    <n v="79"/>
    <x v="0"/>
    <x v="2"/>
    <n v="2006"/>
    <n v="152.04386839481555"/>
    <s v="Low"/>
  </r>
  <r>
    <s v="130 N EDISON Avenue"/>
    <x v="18"/>
    <x v="0"/>
    <x v="324"/>
    <n v="37"/>
    <x v="2"/>
    <x v="1"/>
    <n v="1056"/>
    <n v="288.82575757575756"/>
    <s v="Medium"/>
  </r>
  <r>
    <s v="23632 Lake Ravines Drive"/>
    <x v="12"/>
    <x v="0"/>
    <x v="324"/>
    <n v="8"/>
    <x v="0"/>
    <x v="2"/>
    <n v="2778"/>
    <n v="109.79121670266379"/>
    <s v="Low"/>
  </r>
  <r>
    <s v="550 ALBERTA Street"/>
    <x v="6"/>
    <x v="0"/>
    <x v="324"/>
    <n v="2"/>
    <x v="2"/>
    <x v="2"/>
    <n v="1136"/>
    <n v="268.48591549295776"/>
    <s v="Medium"/>
  </r>
  <r>
    <s v="319 ALPEANA Street"/>
    <x v="5"/>
    <x v="0"/>
    <x v="324"/>
    <n v="36"/>
    <x v="2"/>
    <x v="2"/>
    <n v="1544"/>
    <n v="197.53886010362694"/>
    <s v="Low"/>
  </r>
  <r>
    <s v="33166 Raphael Road"/>
    <x v="11"/>
    <x v="0"/>
    <x v="324"/>
    <n v="7"/>
    <x v="0"/>
    <x v="2"/>
    <n v="1684"/>
    <n v="181.11638954869358"/>
    <s v="Low"/>
  </r>
  <r>
    <s v="1033 Hickory Avenue"/>
    <x v="18"/>
    <x v="0"/>
    <x v="324"/>
    <n v="4"/>
    <x v="2"/>
    <x v="3"/>
    <n v="1221"/>
    <n v="249.79524979524979"/>
    <s v="Medium"/>
  </r>
  <r>
    <s v="14271 ELGIN Street"/>
    <x v="15"/>
    <x v="0"/>
    <x v="324"/>
    <n v="117"/>
    <x v="2"/>
    <x v="3"/>
    <n v="1620"/>
    <n v="188.27160493827159"/>
    <s v="Low"/>
  </r>
  <r>
    <s v="4897 FOOTHILLS Drive"/>
    <x v="14"/>
    <x v="0"/>
    <x v="324"/>
    <n v="38"/>
    <x v="0"/>
    <x v="5"/>
    <n v="1833"/>
    <n v="166.39388979814512"/>
    <s v="Low"/>
  </r>
  <r>
    <s v="4523 SEDGEMOOR Avenue"/>
    <x v="18"/>
    <x v="0"/>
    <x v="325"/>
    <n v="6"/>
    <x v="2"/>
    <x v="1"/>
    <n v="988"/>
    <n v="309.71659919028338"/>
    <s v="High"/>
  </r>
  <r>
    <s v="8205 OLD WHITE LAKE Road"/>
    <x v="10"/>
    <x v="0"/>
    <x v="325"/>
    <n v="20"/>
    <x v="2"/>
    <x v="5"/>
    <n v="1768"/>
    <n v="173.07692307692307"/>
    <s v="Low"/>
  </r>
  <r>
    <s v="30580 BALEWOOD Street"/>
    <x v="12"/>
    <x v="0"/>
    <x v="326"/>
    <n v="4"/>
    <x v="2"/>
    <x v="2"/>
    <n v="1669"/>
    <n v="183.64289994008388"/>
    <s v="Low"/>
  </r>
  <r>
    <s v="1875 West Boulevard"/>
    <x v="25"/>
    <x v="0"/>
    <x v="326"/>
    <n v="79"/>
    <x v="0"/>
    <x v="2"/>
    <n v="1223"/>
    <n v="250.61324611610794"/>
    <s v="Medium"/>
  </r>
  <r>
    <s v="1194 FIELDSTONE Drive"/>
    <x v="1"/>
    <x v="0"/>
    <x v="327"/>
    <n v="13"/>
    <x v="3"/>
    <x v="10"/>
    <n v="2256"/>
    <n v="136.08156028368793"/>
    <s v="Low"/>
  </r>
  <r>
    <s v="19760 Wildhern Court"/>
    <x v="12"/>
    <x v="0"/>
    <x v="328"/>
    <n v="46"/>
    <x v="2"/>
    <x v="5"/>
    <n v="1444"/>
    <n v="212.95013850415512"/>
    <s v="Medium"/>
  </r>
  <r>
    <s v="30237 Shiawassee Road"/>
    <x v="11"/>
    <x v="0"/>
    <x v="329"/>
    <n v="4"/>
    <x v="2"/>
    <x v="5"/>
    <n v="1050"/>
    <n v="293.33333333333331"/>
    <s v="Medium"/>
  </r>
  <r>
    <s v="1022 Marshfield"/>
    <x v="6"/>
    <x v="0"/>
    <x v="330"/>
    <n v="8"/>
    <x v="2"/>
    <x v="3"/>
    <n v="1103"/>
    <n v="279.51042611060745"/>
    <s v="Medium"/>
  </r>
  <r>
    <s v="1317 KEY WEST Drive"/>
    <x v="22"/>
    <x v="0"/>
    <x v="331"/>
    <n v="8"/>
    <x v="2"/>
    <x v="5"/>
    <n v="1738"/>
    <n v="177.50287686996549"/>
    <s v="Low"/>
  </r>
  <r>
    <s v="6685 Cooley Lake"/>
    <x v="10"/>
    <x v="0"/>
    <x v="332"/>
    <n v="7"/>
    <x v="2"/>
    <x v="4"/>
    <n v="2340"/>
    <n v="132.05128205128204"/>
    <s v="Low"/>
  </r>
  <r>
    <s v="1070 MARSHFIELD Street"/>
    <x v="6"/>
    <x v="0"/>
    <x v="333"/>
    <n v="7"/>
    <x v="2"/>
    <x v="3"/>
    <n v="1020"/>
    <n v="303.92156862745099"/>
    <s v="High"/>
  </r>
  <r>
    <s v="9403 BUCKINGHAM Street"/>
    <x v="10"/>
    <x v="0"/>
    <x v="333"/>
    <n v="28"/>
    <x v="2"/>
    <x v="2"/>
    <n v="1607"/>
    <n v="192.90603609209708"/>
    <s v="Low"/>
  </r>
  <r>
    <s v="1947 Green Meadow Drive"/>
    <x v="33"/>
    <x v="0"/>
    <x v="333"/>
    <n v="3"/>
    <x v="0"/>
    <x v="5"/>
    <n v="1460"/>
    <n v="212.32876712328766"/>
    <s v="Medium"/>
  </r>
  <r>
    <s v="23117 DAVEY Avenue"/>
    <x v="7"/>
    <x v="0"/>
    <x v="333"/>
    <n v="7"/>
    <x v="2"/>
    <x v="5"/>
    <n v="1450"/>
    <n v="213.79310344827587"/>
    <s v="Medium"/>
  </r>
  <r>
    <s v="183 TEXAS Avenue"/>
    <x v="3"/>
    <x v="0"/>
    <x v="333"/>
    <n v="15"/>
    <x v="2"/>
    <x v="1"/>
    <n v="1216"/>
    <n v="254.93421052631578"/>
    <s v="Medium"/>
  </r>
  <r>
    <s v="17211 LOCHERBIE Avenue"/>
    <x v="41"/>
    <x v="0"/>
    <x v="333"/>
    <n v="0"/>
    <x v="2"/>
    <x v="3"/>
    <n v="1375"/>
    <n v="225.45454545454547"/>
    <s v="Medium"/>
  </r>
  <r>
    <s v="468 Otter Run Road"/>
    <x v="9"/>
    <x v="0"/>
    <x v="333"/>
    <n v="7"/>
    <x v="0"/>
    <x v="5"/>
    <n v="1822"/>
    <n v="170.14270032930844"/>
    <s v="Low"/>
  </r>
  <r>
    <s v="468 OTTER RUN Road"/>
    <x v="9"/>
    <x v="0"/>
    <x v="333"/>
    <n v="7"/>
    <x v="0"/>
    <x v="5"/>
    <n v="1755"/>
    <n v="176.63817663817665"/>
    <s v="Low"/>
  </r>
  <r>
    <s v="3328 CHESTER Road"/>
    <x v="18"/>
    <x v="0"/>
    <x v="333"/>
    <n v="7"/>
    <x v="2"/>
    <x v="1"/>
    <n v="1009"/>
    <n v="307.23488602576811"/>
    <s v="High"/>
  </r>
  <r>
    <s v="4096 IRONSIDE Drive"/>
    <x v="0"/>
    <x v="0"/>
    <x v="333"/>
    <n v="38"/>
    <x v="2"/>
    <x v="2"/>
    <n v="1960"/>
    <n v="158.16326530612244"/>
    <s v="Low"/>
  </r>
  <r>
    <s v="2178 EVA Drive"/>
    <x v="22"/>
    <x v="0"/>
    <x v="333"/>
    <n v="4"/>
    <x v="2"/>
    <x v="3"/>
    <n v="1282"/>
    <n v="241.80967238689547"/>
    <s v="Medium"/>
  </r>
  <r>
    <s v="29444 GUY Street"/>
    <x v="12"/>
    <x v="0"/>
    <x v="333"/>
    <n v="78"/>
    <x v="0"/>
    <x v="3"/>
    <n v="1568"/>
    <n v="197.70408163265307"/>
    <s v="Low"/>
  </r>
  <r>
    <s v="614 E FARNUM Avenue"/>
    <x v="18"/>
    <x v="0"/>
    <x v="333"/>
    <n v="77"/>
    <x v="2"/>
    <x v="1"/>
    <n v="1200"/>
    <n v="258.33333333333331"/>
    <s v="Medium"/>
  </r>
  <r>
    <s v="2021 SEYMOUR LAKE Road"/>
    <x v="20"/>
    <x v="0"/>
    <x v="333"/>
    <n v="130"/>
    <x v="3"/>
    <x v="12"/>
    <n v="3112"/>
    <n v="99.614395886889454"/>
    <s v="Low"/>
  </r>
  <r>
    <s v="2554 EDGEVALE Drive"/>
    <x v="0"/>
    <x v="0"/>
    <x v="334"/>
    <n v="4"/>
    <x v="2"/>
    <x v="3"/>
    <n v="1733"/>
    <n v="179.45758799769186"/>
    <s v="Low"/>
  </r>
  <r>
    <s v="488 RANDALL Drive"/>
    <x v="22"/>
    <x v="0"/>
    <x v="334"/>
    <n v="4"/>
    <x v="2"/>
    <x v="3"/>
    <n v="1494"/>
    <n v="208.16599732262384"/>
    <s v="Medium"/>
  </r>
  <r>
    <s v="1700 LADD Road"/>
    <x v="32"/>
    <x v="0"/>
    <x v="335"/>
    <n v="5"/>
    <x v="2"/>
    <x v="2"/>
    <n v="1448"/>
    <n v="215.12430939226519"/>
    <s v="Medium"/>
  </r>
  <r>
    <s v="990 Muer Drive"/>
    <x v="22"/>
    <x v="0"/>
    <x v="336"/>
    <n v="19"/>
    <x v="0"/>
    <x v="5"/>
    <n v="1688"/>
    <n v="184.83412322274881"/>
    <s v="Low"/>
  </r>
  <r>
    <s v="3047 CUMMINGS Avenue"/>
    <x v="25"/>
    <x v="0"/>
    <x v="336"/>
    <n v="19"/>
    <x v="2"/>
    <x v="2"/>
    <n v="918"/>
    <n v="339.86928104575162"/>
    <s v="High"/>
  </r>
  <r>
    <s v="28467 KENDALLWOOD Drive"/>
    <x v="11"/>
    <x v="0"/>
    <x v="336"/>
    <n v="89"/>
    <x v="2"/>
    <x v="3"/>
    <n v="1340"/>
    <n v="232.83582089552237"/>
    <s v="Medium"/>
  </r>
  <r>
    <s v="1373 NOLTA Road"/>
    <x v="33"/>
    <x v="0"/>
    <x v="336"/>
    <n v="6"/>
    <x v="0"/>
    <x v="2"/>
    <n v="1802"/>
    <n v="173.14095449500556"/>
    <s v="Low"/>
  </r>
  <r>
    <s v="1636 Pearson Street"/>
    <x v="6"/>
    <x v="0"/>
    <x v="337"/>
    <n v="38"/>
    <x v="7"/>
    <x v="7"/>
    <n v="1250"/>
    <n v="250"/>
    <s v="Medium"/>
  </r>
  <r>
    <s v="44149 DURSON Street"/>
    <x v="2"/>
    <x v="0"/>
    <x v="337"/>
    <n v="52"/>
    <x v="0"/>
    <x v="2"/>
    <n v="1338"/>
    <n v="233.5575485799701"/>
    <s v="Medium"/>
  </r>
  <r>
    <s v="3676 BARBERRY Circle"/>
    <x v="47"/>
    <x v="0"/>
    <x v="338"/>
    <n v="4"/>
    <x v="2"/>
    <x v="2"/>
    <n v="1172"/>
    <n v="267.06484641638224"/>
    <s v="Medium"/>
  </r>
  <r>
    <s v="1327 PEARSON Street"/>
    <x v="6"/>
    <x v="0"/>
    <x v="338"/>
    <n v="11"/>
    <x v="2"/>
    <x v="1"/>
    <n v="1178"/>
    <n v="265.70458404074702"/>
    <s v="Medium"/>
  </r>
  <r>
    <s v="6210 WALDON Road"/>
    <x v="29"/>
    <x v="0"/>
    <x v="339"/>
    <n v="10"/>
    <x v="3"/>
    <x v="4"/>
    <n v="2046"/>
    <n v="153.36021505376345"/>
    <s v="Low"/>
  </r>
  <r>
    <s v="60436 LAMPLIGHTER Drive"/>
    <x v="37"/>
    <x v="0"/>
    <x v="340"/>
    <n v="15"/>
    <x v="2"/>
    <x v="3"/>
    <n v="1416"/>
    <n v="222.38700564971751"/>
    <s v="Medium"/>
  </r>
  <r>
    <s v="1529 S SASHABAW Road"/>
    <x v="20"/>
    <x v="0"/>
    <x v="340"/>
    <n v="11"/>
    <x v="0"/>
    <x v="5"/>
    <n v="1904"/>
    <n v="165.38865546218489"/>
    <s v="Low"/>
  </r>
  <r>
    <s v="16 AVONWOOD Boulevard"/>
    <x v="3"/>
    <x v="0"/>
    <x v="341"/>
    <n v="6"/>
    <x v="0"/>
    <x v="3"/>
    <n v="1768"/>
    <n v="178.16742081447964"/>
    <s v="Low"/>
  </r>
  <r>
    <s v="28705 INKSTER Road"/>
    <x v="11"/>
    <x v="0"/>
    <x v="341"/>
    <n v="8"/>
    <x v="2"/>
    <x v="2"/>
    <n v="2044"/>
    <n v="154.10958904109589"/>
    <s v="Low"/>
  </r>
  <r>
    <s v="2117 DALLAS Avenue"/>
    <x v="18"/>
    <x v="0"/>
    <x v="341"/>
    <n v="10"/>
    <x v="2"/>
    <x v="2"/>
    <n v="1075"/>
    <n v="293.02325581395348"/>
    <s v="Medium"/>
  </r>
  <r>
    <s v="335 MARLIN Avenue"/>
    <x v="18"/>
    <x v="0"/>
    <x v="341"/>
    <n v="19"/>
    <x v="2"/>
    <x v="2"/>
    <n v="1027"/>
    <n v="306.71859785783835"/>
    <s v="High"/>
  </r>
  <r>
    <s v="326 HUNTLEY Avenue"/>
    <x v="30"/>
    <x v="0"/>
    <x v="341"/>
    <n v="5"/>
    <x v="2"/>
    <x v="3"/>
    <n v="1350"/>
    <n v="233.33333333333334"/>
    <s v="Medium"/>
  </r>
  <r>
    <s v="2476 Browning Drive"/>
    <x v="13"/>
    <x v="0"/>
    <x v="341"/>
    <n v="21"/>
    <x v="0"/>
    <x v="5"/>
    <n v="2076"/>
    <n v="151.73410404624278"/>
    <s v="Low"/>
  </r>
  <r>
    <s v="2470 Emerson Avenue"/>
    <x v="48"/>
    <x v="0"/>
    <x v="341"/>
    <n v="6"/>
    <x v="0"/>
    <x v="2"/>
    <n v="1183"/>
    <n v="266.27218934911241"/>
    <s v="Medium"/>
  </r>
  <r>
    <s v="3303 GARDEN Avenue"/>
    <x v="18"/>
    <x v="0"/>
    <x v="341"/>
    <n v="25"/>
    <x v="0"/>
    <x v="5"/>
    <n v="1150"/>
    <n v="273.91304347826087"/>
    <s v="Medium"/>
  </r>
  <r>
    <s v="211 Blanche  Drive"/>
    <x v="22"/>
    <x v="0"/>
    <x v="341"/>
    <n v="2"/>
    <x v="2"/>
    <x v="1"/>
    <n v="1346"/>
    <n v="234.02674591381873"/>
    <s v="Medium"/>
  </r>
  <r>
    <s v="1656 Crooks"/>
    <x v="3"/>
    <x v="0"/>
    <x v="341"/>
    <n v="52"/>
    <x v="0"/>
    <x v="3"/>
    <n v="1557"/>
    <n v="202.3121387283237"/>
    <s v="Medium"/>
  </r>
  <r>
    <s v="15290 RIVIERA SHORES Drive"/>
    <x v="9"/>
    <x v="0"/>
    <x v="341"/>
    <n v="31"/>
    <x v="2"/>
    <x v="5"/>
    <n v="1802"/>
    <n v="174.80577136514984"/>
    <s v="Low"/>
  </r>
  <r>
    <s v="2858 BIRCHWOOD Drive"/>
    <x v="0"/>
    <x v="0"/>
    <x v="342"/>
    <n v="8"/>
    <x v="0"/>
    <x v="2"/>
    <n v="1394"/>
    <n v="226.6857962697274"/>
    <s v="Medium"/>
  </r>
  <r>
    <s v="16007 MADOLINE Street"/>
    <x v="41"/>
    <x v="0"/>
    <x v="343"/>
    <n v="92"/>
    <x v="1"/>
    <x v="1"/>
    <n v="1528"/>
    <n v="206.87172774869109"/>
    <s v="Medium"/>
  </r>
  <r>
    <s v="833 TANGLEWOOD Drive"/>
    <x v="8"/>
    <x v="0"/>
    <x v="344"/>
    <n v="5"/>
    <x v="2"/>
    <x v="5"/>
    <n v="1371"/>
    <n v="230.85339168490154"/>
    <s v="Medium"/>
  </r>
  <r>
    <s v="1963 COLE Street"/>
    <x v="40"/>
    <x v="0"/>
    <x v="345"/>
    <n v="2"/>
    <x v="2"/>
    <x v="2"/>
    <n v="1116"/>
    <n v="284.05017921146953"/>
    <s v="Medium"/>
  </r>
  <r>
    <s v="2120 SEYMOUR LAKE Road"/>
    <x v="20"/>
    <x v="0"/>
    <x v="345"/>
    <n v="8"/>
    <x v="2"/>
    <x v="2"/>
    <n v="1712"/>
    <n v="185.16355140186917"/>
    <s v="Low"/>
  </r>
  <r>
    <s v="4170 EDMORE Road"/>
    <x v="0"/>
    <x v="0"/>
    <x v="346"/>
    <n v="16"/>
    <x v="0"/>
    <x v="4"/>
    <n v="1782"/>
    <n v="178.17059483726149"/>
    <s v="Low"/>
  </r>
  <r>
    <s v="25140 PARSONS Drive"/>
    <x v="12"/>
    <x v="0"/>
    <x v="347"/>
    <n v="20"/>
    <x v="0"/>
    <x v="5"/>
    <n v="2250"/>
    <n v="141.33333333333334"/>
    <s v="Low"/>
  </r>
  <r>
    <s v="819 N CAMPBELL Road W"/>
    <x v="18"/>
    <x v="0"/>
    <x v="347"/>
    <n v="36"/>
    <x v="2"/>
    <x v="2"/>
    <n v="1126"/>
    <n v="282.41563055062164"/>
    <s v="Medium"/>
  </r>
  <r>
    <s v="1260 KIRKWOOD Street"/>
    <x v="0"/>
    <x v="0"/>
    <x v="347"/>
    <n v="5"/>
    <x v="2"/>
    <x v="3"/>
    <n v="1775"/>
    <n v="179.1549295774648"/>
    <s v="Low"/>
  </r>
  <r>
    <s v="1951 OAKSHIRE Avenue"/>
    <x v="25"/>
    <x v="0"/>
    <x v="347"/>
    <n v="107"/>
    <x v="2"/>
    <x v="2"/>
    <n v="1153"/>
    <n v="275.80225498699048"/>
    <s v="Medium"/>
  </r>
  <r>
    <s v="9875 S Ortonville Road"/>
    <x v="4"/>
    <x v="0"/>
    <x v="348"/>
    <n v="48"/>
    <x v="2"/>
    <x v="3"/>
    <n v="2823"/>
    <n v="113.00035423308537"/>
    <s v="Low"/>
  </r>
  <r>
    <s v="2220 N VERMONT Avenue"/>
    <x v="18"/>
    <x v="0"/>
    <x v="348"/>
    <n v="11"/>
    <x v="2"/>
    <x v="1"/>
    <n v="1252"/>
    <n v="254.79233226837061"/>
    <s v="Medium"/>
  </r>
  <r>
    <s v="9875 ORTONVILLE Road"/>
    <x v="4"/>
    <x v="0"/>
    <x v="348"/>
    <n v="55"/>
    <x v="2"/>
    <x v="3"/>
    <n v="1882"/>
    <n v="169.50053134962806"/>
    <s v="Low"/>
  </r>
  <r>
    <s v="5394 EVANS Road"/>
    <x v="9"/>
    <x v="0"/>
    <x v="349"/>
    <n v="1"/>
    <x v="2"/>
    <x v="5"/>
    <n v="1775"/>
    <n v="180.22535211267606"/>
    <s v="Low"/>
  </r>
  <r>
    <s v="2119 Kalama"/>
    <x v="18"/>
    <x v="0"/>
    <x v="349"/>
    <n v="16"/>
    <x v="2"/>
    <x v="2"/>
    <n v="1045"/>
    <n v="306.1244019138756"/>
    <s v="High"/>
  </r>
  <r>
    <s v="709 BUTTERNUT Avenue"/>
    <x v="18"/>
    <x v="0"/>
    <x v="349"/>
    <n v="28"/>
    <x v="2"/>
    <x v="2"/>
    <n v="1100"/>
    <n v="290.81818181818181"/>
    <s v="Medium"/>
  </r>
  <r>
    <s v="3965 Lotus Landing Circle"/>
    <x v="0"/>
    <x v="0"/>
    <x v="349"/>
    <n v="106"/>
    <x v="2"/>
    <x v="5"/>
    <n v="1800"/>
    <n v="177.72222222222223"/>
    <s v="Low"/>
  </r>
  <r>
    <s v="4283 LAKE KNOLLS Drive"/>
    <x v="20"/>
    <x v="0"/>
    <x v="350"/>
    <n v="1"/>
    <x v="2"/>
    <x v="3"/>
    <n v="1582"/>
    <n v="202.275600505689"/>
    <s v="Medium"/>
  </r>
  <r>
    <s v="127 S Alice"/>
    <x v="46"/>
    <x v="0"/>
    <x v="350"/>
    <n v="5"/>
    <x v="2"/>
    <x v="3"/>
    <n v="1014"/>
    <n v="315.58185404339252"/>
    <s v="High"/>
  </r>
  <r>
    <s v="15300 Stone Henge Drive"/>
    <x v="9"/>
    <x v="0"/>
    <x v="350"/>
    <n v="6"/>
    <x v="2"/>
    <x v="2"/>
    <n v="2442"/>
    <n v="131.04013104013103"/>
    <s v="Low"/>
  </r>
  <r>
    <s v="4912 ANNETTE Road"/>
    <x v="0"/>
    <x v="0"/>
    <x v="350"/>
    <n v="6"/>
    <x v="2"/>
    <x v="5"/>
    <n v="1606"/>
    <n v="199.25280199252802"/>
    <s v="Low"/>
  </r>
  <r>
    <s v="2864 MAJESTIC"/>
    <x v="22"/>
    <x v="0"/>
    <x v="350"/>
    <n v="55"/>
    <x v="0"/>
    <x v="3"/>
    <n v="1665"/>
    <n v="192.19219219219218"/>
    <s v="Low"/>
  </r>
  <r>
    <s v="28430 BAYBERRY Road"/>
    <x v="11"/>
    <x v="0"/>
    <x v="350"/>
    <n v="5"/>
    <x v="2"/>
    <x v="5"/>
    <n v="1195"/>
    <n v="267.78242677824267"/>
    <s v="Medium"/>
  </r>
  <r>
    <s v="23717 Plumbrooke Drive"/>
    <x v="12"/>
    <x v="0"/>
    <x v="350"/>
    <n v="27"/>
    <x v="0"/>
    <x v="5"/>
    <n v="2840"/>
    <n v="112.67605633802818"/>
    <s v="Low"/>
  </r>
  <r>
    <s v="381 W Hazelhurst Street"/>
    <x v="6"/>
    <x v="0"/>
    <x v="350"/>
    <n v="42"/>
    <x v="0"/>
    <x v="2"/>
    <n v="1490"/>
    <n v="214.76510067114094"/>
    <s v="Medium"/>
  </r>
  <r>
    <s v="509 N Minerva Avenue"/>
    <x v="18"/>
    <x v="0"/>
    <x v="350"/>
    <n v="8"/>
    <x v="1"/>
    <x v="2"/>
    <n v="1036"/>
    <n v="308.88030888030886"/>
    <s v="High"/>
  </r>
  <r>
    <s v="1548 N BYWOOD Avenue"/>
    <x v="30"/>
    <x v="0"/>
    <x v="350"/>
    <n v="7"/>
    <x v="2"/>
    <x v="2"/>
    <n v="987"/>
    <n v="324.2147922998987"/>
    <s v="High"/>
  </r>
  <r>
    <s v="3111 FERRIS Avenue"/>
    <x v="18"/>
    <x v="0"/>
    <x v="350"/>
    <n v="27"/>
    <x v="2"/>
    <x v="1"/>
    <n v="1388"/>
    <n v="230.54755043227667"/>
    <s v="Medium"/>
  </r>
  <r>
    <s v="5133 CHESTERSHIRE"/>
    <x v="24"/>
    <x v="0"/>
    <x v="350"/>
    <n v="21"/>
    <x v="0"/>
    <x v="5"/>
    <n v="2003"/>
    <n v="159.76035946080879"/>
    <s v="Low"/>
  </r>
  <r>
    <s v="907 MAXWELL Avenue"/>
    <x v="18"/>
    <x v="0"/>
    <x v="350"/>
    <n v="101"/>
    <x v="2"/>
    <x v="5"/>
    <n v="1102"/>
    <n v="290.38112522686026"/>
    <s v="Medium"/>
  </r>
  <r>
    <s v="511 Coolidge Road"/>
    <x v="40"/>
    <x v="0"/>
    <x v="351"/>
    <n v="10"/>
    <x v="1"/>
    <x v="1"/>
    <n v="1031"/>
    <n v="312.3181377303589"/>
    <s v="High"/>
  </r>
  <r>
    <s v="18131 MELROSE Avenue"/>
    <x v="12"/>
    <x v="0"/>
    <x v="351"/>
    <n v="10"/>
    <x v="0"/>
    <x v="5"/>
    <n v="1915"/>
    <n v="168.14621409921671"/>
    <s v="Low"/>
  </r>
  <r>
    <s v="801 Oakgrove"/>
    <x v="17"/>
    <x v="0"/>
    <x v="352"/>
    <n v="38"/>
    <x v="0"/>
    <x v="3"/>
    <n v="1800"/>
    <n v="179.11111111111111"/>
    <s v="Low"/>
  </r>
  <r>
    <s v="29932 WOODHAVEN Lane"/>
    <x v="12"/>
    <x v="0"/>
    <x v="353"/>
    <n v="10"/>
    <x v="2"/>
    <x v="14"/>
    <n v="2654"/>
    <n v="121.55237377543331"/>
    <s v="Low"/>
  </r>
  <r>
    <s v="537 RANDALL Drive"/>
    <x v="22"/>
    <x v="0"/>
    <x v="354"/>
    <n v="5"/>
    <x v="2"/>
    <x v="2"/>
    <n v="1581"/>
    <n v="204.30107526881721"/>
    <s v="Medium"/>
  </r>
  <r>
    <s v="2425 FOXFIELD Lane"/>
    <x v="17"/>
    <x v="0"/>
    <x v="355"/>
    <n v="7"/>
    <x v="2"/>
    <x v="2"/>
    <n v="1452"/>
    <n v="222.58953168044079"/>
    <s v="Medium"/>
  </r>
  <r>
    <s v="334 S AVERY Road"/>
    <x v="0"/>
    <x v="0"/>
    <x v="356"/>
    <n v="3"/>
    <x v="2"/>
    <x v="2"/>
    <n v="1247"/>
    <n v="259.42261427425819"/>
    <s v="Medium"/>
  </r>
  <r>
    <s v="28805 RAVENWOOD Street"/>
    <x v="11"/>
    <x v="0"/>
    <x v="357"/>
    <n v="5"/>
    <x v="2"/>
    <x v="3"/>
    <n v="1601"/>
    <n v="202.68582136164898"/>
    <s v="Medium"/>
  </r>
  <r>
    <s v="407 Winchester Street"/>
    <x v="16"/>
    <x v="0"/>
    <x v="358"/>
    <n v="27"/>
    <x v="2"/>
    <x v="5"/>
    <n v="1673"/>
    <n v="194.20203227734609"/>
    <s v="Low"/>
  </r>
  <r>
    <s v="569 LERNER Avenue"/>
    <x v="30"/>
    <x v="0"/>
    <x v="359"/>
    <n v="5"/>
    <x v="2"/>
    <x v="1"/>
    <n v="1231"/>
    <n v="264.01299756295697"/>
    <s v="Medium"/>
  </r>
  <r>
    <s v="19245 ELDRIDGE Lane"/>
    <x v="12"/>
    <x v="0"/>
    <x v="359"/>
    <n v="2"/>
    <x v="2"/>
    <x v="5"/>
    <n v="2158"/>
    <n v="150.60240963855421"/>
    <s v="Low"/>
  </r>
  <r>
    <s v="35155 GARY Street"/>
    <x v="11"/>
    <x v="0"/>
    <x v="359"/>
    <n v="10"/>
    <x v="2"/>
    <x v="3"/>
    <n v="1485"/>
    <n v="218.85521885521885"/>
    <s v="Medium"/>
  </r>
  <r>
    <s v="2317 N Wilson Avenue"/>
    <x v="18"/>
    <x v="0"/>
    <x v="359"/>
    <n v="38"/>
    <x v="2"/>
    <x v="2"/>
    <n v="1037"/>
    <n v="313.40405014464801"/>
    <s v="High"/>
  </r>
  <r>
    <s v="3375 Maybee"/>
    <x v="13"/>
    <x v="0"/>
    <x v="359"/>
    <n v="2"/>
    <x v="0"/>
    <x v="2"/>
    <n v="1964"/>
    <n v="165.47861507128309"/>
    <s v="Low"/>
  </r>
  <r>
    <s v="307 DUANA Street"/>
    <x v="2"/>
    <x v="0"/>
    <x v="359"/>
    <n v="8"/>
    <x v="2"/>
    <x v="1"/>
    <n v="2156"/>
    <n v="150.7421150278293"/>
    <s v="Low"/>
  </r>
  <r>
    <s v="22201 BROOKSIDE Drive"/>
    <x v="12"/>
    <x v="0"/>
    <x v="359"/>
    <n v="2"/>
    <x v="0"/>
    <x v="2"/>
    <n v="2176"/>
    <n v="149.35661764705881"/>
    <s v="Low"/>
  </r>
  <r>
    <s v="3320 E CLARICE Avenue"/>
    <x v="17"/>
    <x v="0"/>
    <x v="359"/>
    <n v="1"/>
    <x v="2"/>
    <x v="3"/>
    <n v="1410"/>
    <n v="230.49645390070921"/>
    <s v="Medium"/>
  </r>
  <r>
    <s v="1503 HUNTWOOD PARK Drive"/>
    <x v="24"/>
    <x v="0"/>
    <x v="359"/>
    <n v="21"/>
    <x v="2"/>
    <x v="3"/>
    <n v="1729"/>
    <n v="187.96992481203009"/>
    <s v="Low"/>
  </r>
  <r>
    <s v="3103 N WILSON Avenue"/>
    <x v="18"/>
    <x v="0"/>
    <x v="359"/>
    <n v="41"/>
    <x v="2"/>
    <x v="1"/>
    <n v="1005"/>
    <n v="323.3830845771144"/>
    <s v="High"/>
  </r>
  <r>
    <s v="21950 NORMANDALE Street"/>
    <x v="41"/>
    <x v="0"/>
    <x v="359"/>
    <n v="97"/>
    <x v="1"/>
    <x v="5"/>
    <n v="1510"/>
    <n v="215.23178807947019"/>
    <s v="Medium"/>
  </r>
  <r>
    <s v="3033 Woodslee Drive"/>
    <x v="18"/>
    <x v="0"/>
    <x v="359"/>
    <n v="124"/>
    <x v="2"/>
    <x v="3"/>
    <n v="1173"/>
    <n v="277.06734867860189"/>
    <s v="Medium"/>
  </r>
  <r>
    <s v="6409 LAKE MEADOW Drive"/>
    <x v="0"/>
    <x v="0"/>
    <x v="359"/>
    <n v="10"/>
    <x v="0"/>
    <x v="5"/>
    <n v="1962"/>
    <n v="165.6472986748216"/>
    <s v="Low"/>
  </r>
  <r>
    <s v="27721 BLOOMFIELD Drive"/>
    <x v="44"/>
    <x v="0"/>
    <x v="359"/>
    <n v="12"/>
    <x v="2"/>
    <x v="2"/>
    <n v="1420"/>
    <n v="228.87323943661971"/>
    <s v="Medium"/>
  </r>
  <r>
    <s v="2317 N WILSON Avenue"/>
    <x v="18"/>
    <x v="0"/>
    <x v="359"/>
    <n v="22"/>
    <x v="2"/>
    <x v="2"/>
    <n v="1034"/>
    <n v="314.31334622823982"/>
    <s v="High"/>
  </r>
  <r>
    <s v="3839 Pinnock Avenue"/>
    <x v="24"/>
    <x v="0"/>
    <x v="359"/>
    <n v="56"/>
    <x v="0"/>
    <x v="2"/>
    <n v="1689"/>
    <n v="192.42155121373594"/>
    <s v="Low"/>
  </r>
  <r>
    <s v="603 E BLOOMFIELD Avenue"/>
    <x v="18"/>
    <x v="0"/>
    <x v="359"/>
    <n v="19"/>
    <x v="2"/>
    <x v="3"/>
    <n v="1025"/>
    <n v="317.07317073170731"/>
    <s v="High"/>
  </r>
  <r>
    <s v="10155 N BIG SCHOOL LOT LAKE Road"/>
    <x v="45"/>
    <x v="0"/>
    <x v="359"/>
    <n v="68"/>
    <x v="1"/>
    <x v="2"/>
    <n v="1201"/>
    <n v="270.60782681099084"/>
    <s v="Medium"/>
  </r>
  <r>
    <s v="4176 ALSTON Boulevard"/>
    <x v="24"/>
    <x v="0"/>
    <x v="359"/>
    <n v="39"/>
    <x v="2"/>
    <x v="10"/>
    <n v="2122"/>
    <n v="153.1573986804901"/>
    <s v="Low"/>
  </r>
  <r>
    <s v="733 TROMBLEY Drive"/>
    <x v="22"/>
    <x v="0"/>
    <x v="360"/>
    <n v="3"/>
    <x v="2"/>
    <x v="1"/>
    <n v="1008"/>
    <n v="324.40476190476193"/>
    <s v="High"/>
  </r>
  <r>
    <s v="211 BOSTON Avenue"/>
    <x v="13"/>
    <x v="0"/>
    <x v="360"/>
    <n v="27"/>
    <x v="0"/>
    <x v="5"/>
    <n v="1688"/>
    <n v="193.72037914691944"/>
    <s v="Low"/>
  </r>
  <r>
    <s v="14287 FAGAN Road"/>
    <x v="9"/>
    <x v="0"/>
    <x v="361"/>
    <n v="6"/>
    <x v="2"/>
    <x v="2"/>
    <n v="1932"/>
    <n v="169.77225672877847"/>
    <s v="Low"/>
  </r>
  <r>
    <s v="3036 Oakshire Avenue"/>
    <x v="25"/>
    <x v="0"/>
    <x v="362"/>
    <n v="2"/>
    <x v="2"/>
    <x v="3"/>
    <n v="1092"/>
    <n v="301.28205128205127"/>
    <s v="High"/>
  </r>
  <r>
    <s v="46543 DEQUINDRE Road"/>
    <x v="3"/>
    <x v="0"/>
    <x v="363"/>
    <n v="6"/>
    <x v="0"/>
    <x v="2"/>
    <n v="1878"/>
    <n v="175.71884984025559"/>
    <s v="Low"/>
  </r>
  <r>
    <s v="19771 Hickory Leaf Street"/>
    <x v="12"/>
    <x v="0"/>
    <x v="363"/>
    <n v="13"/>
    <x v="0"/>
    <x v="3"/>
    <n v="1410"/>
    <n v="234.04255319148936"/>
    <s v="Medium"/>
  </r>
  <r>
    <s v="416 Otter Run"/>
    <x v="9"/>
    <x v="0"/>
    <x v="363"/>
    <n v="43"/>
    <x v="0"/>
    <x v="4"/>
    <n v="1837"/>
    <n v="179.64071856287424"/>
    <s v="Low"/>
  </r>
  <r>
    <s v="2915 N WILSON Avenue"/>
    <x v="18"/>
    <x v="0"/>
    <x v="363"/>
    <n v="8"/>
    <x v="2"/>
    <x v="2"/>
    <n v="1036"/>
    <n v="318.53281853281851"/>
    <s v="High"/>
  </r>
  <r>
    <s v="894 N Conklin"/>
    <x v="36"/>
    <x v="0"/>
    <x v="363"/>
    <n v="3"/>
    <x v="0"/>
    <x v="2"/>
    <n v="1768"/>
    <n v="186.65158371040724"/>
    <s v="Low"/>
  </r>
  <r>
    <s v="29616 SPOON Avenue"/>
    <x v="8"/>
    <x v="0"/>
    <x v="363"/>
    <n v="26"/>
    <x v="0"/>
    <x v="10"/>
    <n v="2022"/>
    <n v="163.20474777448072"/>
    <s v="Low"/>
  </r>
  <r>
    <s v="3585 LAKEVIEW Drive"/>
    <x v="17"/>
    <x v="0"/>
    <x v="363"/>
    <n v="5"/>
    <x v="0"/>
    <x v="2"/>
    <n v="1500"/>
    <n v="220"/>
    <s v="Medium"/>
  </r>
  <r>
    <s v="4007 ALBERT Avenue"/>
    <x v="18"/>
    <x v="0"/>
    <x v="363"/>
    <n v="6"/>
    <x v="0"/>
    <x v="5"/>
    <n v="1092"/>
    <n v="302.19780219780222"/>
    <s v="High"/>
  </r>
  <r>
    <s v="30390 RED MAPLE Lane"/>
    <x v="12"/>
    <x v="0"/>
    <x v="363"/>
    <n v="4"/>
    <x v="0"/>
    <x v="5"/>
    <n v="2158"/>
    <n v="152.91936978683967"/>
    <s v="Low"/>
  </r>
  <r>
    <s v="796 Heights Road"/>
    <x v="13"/>
    <x v="0"/>
    <x v="363"/>
    <n v="44"/>
    <x v="2"/>
    <x v="5"/>
    <n v="2092"/>
    <n v="157.74378585086043"/>
    <s v="Low"/>
  </r>
  <r>
    <s v="29711 W 13 MILE Road"/>
    <x v="11"/>
    <x v="0"/>
    <x v="364"/>
    <n v="4"/>
    <x v="2"/>
    <x v="5"/>
    <n v="2169"/>
    <n v="152.60488704472107"/>
    <s v="Low"/>
  </r>
  <r>
    <s v="3423 HUNTER Avenue"/>
    <x v="18"/>
    <x v="0"/>
    <x v="365"/>
    <n v="5"/>
    <x v="2"/>
    <x v="2"/>
    <n v="1040"/>
    <n v="319.71153846153845"/>
    <s v="High"/>
  </r>
  <r>
    <s v="3308 HARVARD Road"/>
    <x v="18"/>
    <x v="0"/>
    <x v="365"/>
    <n v="3"/>
    <x v="2"/>
    <x v="2"/>
    <n v="1280"/>
    <n v="259.765625"/>
    <s v="Medium"/>
  </r>
  <r>
    <s v="3330 LONGVIEW Avenue"/>
    <x v="3"/>
    <x v="0"/>
    <x v="366"/>
    <n v="8"/>
    <x v="2"/>
    <x v="5"/>
    <n v="1589"/>
    <n v="210.19509125235999"/>
    <s v="Medium"/>
  </r>
  <r>
    <s v="1244 Alhi Street"/>
    <x v="0"/>
    <x v="0"/>
    <x v="367"/>
    <n v="18"/>
    <x v="8"/>
    <x v="15"/>
    <n v="1970"/>
    <n v="170.05076142131981"/>
    <s v="Low"/>
  </r>
  <r>
    <s v="348 Princeton Drive"/>
    <x v="16"/>
    <x v="0"/>
    <x v="367"/>
    <n v="7"/>
    <x v="2"/>
    <x v="3"/>
    <n v="1552"/>
    <n v="215.85051546391753"/>
    <s v="Medium"/>
  </r>
  <r>
    <s v="777 DRESSLER Lane"/>
    <x v="3"/>
    <x v="0"/>
    <x v="367"/>
    <n v="8"/>
    <x v="0"/>
    <x v="5"/>
    <n v="1734"/>
    <n v="193.19492502883506"/>
    <s v="Low"/>
  </r>
  <r>
    <s v="2248 ISABELL Drive"/>
    <x v="22"/>
    <x v="0"/>
    <x v="367"/>
    <n v="5"/>
    <x v="2"/>
    <x v="3"/>
    <n v="1274"/>
    <n v="262.9513343799058"/>
    <s v="Medium"/>
  </r>
  <r>
    <s v="3157 MERRILL Avenue"/>
    <x v="18"/>
    <x v="0"/>
    <x v="367"/>
    <n v="11"/>
    <x v="2"/>
    <x v="1"/>
    <n v="1125"/>
    <n v="297.77777777777777"/>
    <s v="Medium"/>
  </r>
  <r>
    <s v="52 DENNISON Street"/>
    <x v="31"/>
    <x v="0"/>
    <x v="367"/>
    <n v="5"/>
    <x v="0"/>
    <x v="5"/>
    <n v="2054"/>
    <n v="163.09639727361247"/>
    <s v="Low"/>
  </r>
  <r>
    <s v="3622 ROYAL Avenue"/>
    <x v="25"/>
    <x v="0"/>
    <x v="367"/>
    <n v="44"/>
    <x v="2"/>
    <x v="2"/>
    <n v="1125"/>
    <n v="297.77777777777777"/>
    <s v="Medium"/>
  </r>
  <r>
    <s v="23581 NILAN Drive"/>
    <x v="2"/>
    <x v="0"/>
    <x v="367"/>
    <n v="5"/>
    <x v="2"/>
    <x v="2"/>
    <n v="1418"/>
    <n v="236.24823695345557"/>
    <s v="Medium"/>
  </r>
  <r>
    <s v="6133 Paramus "/>
    <x v="29"/>
    <x v="0"/>
    <x v="367"/>
    <n v="6"/>
    <x v="1"/>
    <x v="3"/>
    <n v="1423"/>
    <n v="235.41813070976809"/>
    <s v="Medium"/>
  </r>
  <r>
    <s v="2439 E Commerce"/>
    <x v="49"/>
    <x v="0"/>
    <x v="367"/>
    <n v="8"/>
    <x v="2"/>
    <x v="3"/>
    <n v="1520"/>
    <n v="220.39473684210526"/>
    <s v="Medium"/>
  </r>
  <r>
    <s v="223 ALBANY Street"/>
    <x v="6"/>
    <x v="0"/>
    <x v="367"/>
    <n v="94"/>
    <x v="2"/>
    <x v="2"/>
    <n v="1385"/>
    <n v="241.87725631768953"/>
    <s v="Medium"/>
  </r>
  <r>
    <s v="32040 LEELANE"/>
    <x v="38"/>
    <x v="0"/>
    <x v="368"/>
    <n v="6"/>
    <x v="2"/>
    <x v="2"/>
    <n v="1201"/>
    <n v="279.76686094920899"/>
    <s v="Medium"/>
  </r>
  <r>
    <s v="7355 HEATHER HEATH"/>
    <x v="24"/>
    <x v="0"/>
    <x v="368"/>
    <n v="17"/>
    <x v="2"/>
    <x v="5"/>
    <n v="2304"/>
    <n v="145.83333333333334"/>
    <s v="Low"/>
  </r>
  <r>
    <s v="2069 Alexander Drive"/>
    <x v="22"/>
    <x v="0"/>
    <x v="369"/>
    <n v="38"/>
    <x v="2"/>
    <x v="2"/>
    <n v="1404"/>
    <n v="240.38461538461539"/>
    <s v="Medium"/>
  </r>
  <r>
    <s v="2069 ALEXANDER Drive"/>
    <x v="22"/>
    <x v="0"/>
    <x v="369"/>
    <n v="8"/>
    <x v="2"/>
    <x v="2"/>
    <n v="1404"/>
    <n v="240.38461538461539"/>
    <s v="Medium"/>
  </r>
  <r>
    <s v="670 MARKET Street"/>
    <x v="43"/>
    <x v="0"/>
    <x v="369"/>
    <n v="61"/>
    <x v="2"/>
    <x v="5"/>
    <n v="1686"/>
    <n v="200.1779359430605"/>
    <s v="Medium"/>
  </r>
  <r>
    <s v="3221 Grange Hall Road"/>
    <x v="23"/>
    <x v="0"/>
    <x v="370"/>
    <n v="5"/>
    <x v="0"/>
    <x v="2"/>
    <n v="1841"/>
    <n v="183.59587180879956"/>
    <s v="Low"/>
  </r>
  <r>
    <s v="2655 COMPTON Drive"/>
    <x v="0"/>
    <x v="0"/>
    <x v="370"/>
    <n v="69"/>
    <x v="2"/>
    <x v="5"/>
    <n v="1940"/>
    <n v="174.22680412371133"/>
    <s v="Low"/>
  </r>
  <r>
    <s v="22169 Averhill Street"/>
    <x v="11"/>
    <x v="0"/>
    <x v="371"/>
    <n v="4"/>
    <x v="0"/>
    <x v="5"/>
    <n v="2028"/>
    <n v="167.15976331360946"/>
    <s v="Low"/>
  </r>
  <r>
    <s v="709 S EDISON Avenue"/>
    <x v="18"/>
    <x v="0"/>
    <x v="372"/>
    <n v="32"/>
    <x v="2"/>
    <x v="1"/>
    <n v="1003"/>
    <n v="338.68394815553341"/>
    <s v="High"/>
  </r>
  <r>
    <s v="57701 Kelly Drive"/>
    <x v="37"/>
    <x v="0"/>
    <x v="372"/>
    <n v="44"/>
    <x v="2"/>
    <x v="10"/>
    <n v="1644"/>
    <n v="206.6301703163017"/>
    <s v="Medium"/>
  </r>
  <r>
    <s v="102 Forest Way"/>
    <x v="45"/>
    <x v="0"/>
    <x v="373"/>
    <n v="12"/>
    <x v="0"/>
    <x v="5"/>
    <n v="2062"/>
    <n v="164.83996120271581"/>
    <s v="Low"/>
  </r>
  <r>
    <s v="90 STARK Road"/>
    <x v="3"/>
    <x v="0"/>
    <x v="373"/>
    <n v="130"/>
    <x v="2"/>
    <x v="5"/>
    <n v="1574"/>
    <n v="215.94663278271918"/>
    <s v="Medium"/>
  </r>
  <r>
    <s v="17532 Taylor Lake"/>
    <x v="45"/>
    <x v="0"/>
    <x v="374"/>
    <n v="28"/>
    <x v="2"/>
    <x v="2"/>
    <n v="1439"/>
    <n v="236.27519110493398"/>
    <s v="Medium"/>
  </r>
  <r>
    <s v="393 N Conklin"/>
    <x v="13"/>
    <x v="0"/>
    <x v="374"/>
    <n v="23"/>
    <x v="2"/>
    <x v="10"/>
    <n v="1997"/>
    <n v="170.25538307461193"/>
    <s v="Low"/>
  </r>
  <r>
    <s v="393 N CONKLIN Road"/>
    <x v="13"/>
    <x v="0"/>
    <x v="374"/>
    <n v="13"/>
    <x v="2"/>
    <x v="10"/>
    <n v="1997"/>
    <n v="170.25538307461193"/>
    <s v="Low"/>
  </r>
  <r>
    <s v="5180 WOODCREEK Trail"/>
    <x v="29"/>
    <x v="0"/>
    <x v="374"/>
    <n v="5"/>
    <x v="0"/>
    <x v="2"/>
    <n v="1564"/>
    <n v="217.39130434782609"/>
    <s v="Medium"/>
  </r>
  <r>
    <s v="8900 Thendara Boulevard"/>
    <x v="29"/>
    <x v="0"/>
    <x v="374"/>
    <n v="3"/>
    <x v="2"/>
    <x v="2"/>
    <n v="1140"/>
    <n v="298.24561403508773"/>
    <s v="Medium"/>
  </r>
  <r>
    <s v="1889 E LINCOLN Street"/>
    <x v="40"/>
    <x v="0"/>
    <x v="374"/>
    <n v="0"/>
    <x v="2"/>
    <x v="1"/>
    <n v="1062"/>
    <n v="320.15065913371001"/>
    <s v="High"/>
  </r>
  <r>
    <s v="8665 Tindall"/>
    <x v="28"/>
    <x v="0"/>
    <x v="374"/>
    <n v="2"/>
    <x v="2"/>
    <x v="3"/>
    <n v="1648"/>
    <n v="206.3106796116505"/>
    <s v="Medium"/>
  </r>
  <r>
    <s v="31502 MADISON Avenue"/>
    <x v="8"/>
    <x v="0"/>
    <x v="374"/>
    <n v="4"/>
    <x v="0"/>
    <x v="3"/>
    <n v="1672"/>
    <n v="203.34928229665073"/>
    <s v="Medium"/>
  </r>
  <r>
    <s v="763  HUNTCLUB"/>
    <x v="5"/>
    <x v="0"/>
    <x v="374"/>
    <n v="10"/>
    <x v="0"/>
    <x v="5"/>
    <n v="2065"/>
    <n v="164.64891041162227"/>
    <s v="Low"/>
  </r>
  <r>
    <s v="3833 EDGAR Avenue"/>
    <x v="18"/>
    <x v="0"/>
    <x v="374"/>
    <n v="3"/>
    <x v="1"/>
    <x v="2"/>
    <n v="900"/>
    <n v="377.77777777777777"/>
    <s v="High"/>
  </r>
  <r>
    <s v="32 W Hayes Avenue"/>
    <x v="7"/>
    <x v="0"/>
    <x v="374"/>
    <n v="5"/>
    <x v="0"/>
    <x v="5"/>
    <n v="2400"/>
    <n v="141.66666666666666"/>
    <s v="Low"/>
  </r>
  <r>
    <s v="1759 COLE Street"/>
    <x v="40"/>
    <x v="0"/>
    <x v="374"/>
    <n v="44"/>
    <x v="2"/>
    <x v="1"/>
    <n v="1021"/>
    <n v="333.00685602350637"/>
    <s v="High"/>
  </r>
  <r>
    <s v="3154 Branch Court"/>
    <x v="47"/>
    <x v="0"/>
    <x v="374"/>
    <n v="56"/>
    <x v="2"/>
    <x v="3"/>
    <n v="1500"/>
    <n v="226.66666666666666"/>
    <s v="Medium"/>
  </r>
  <r>
    <s v="29529 GILCHREST Street"/>
    <x v="11"/>
    <x v="0"/>
    <x v="374"/>
    <n v="82"/>
    <x v="2"/>
    <x v="2"/>
    <n v="1945"/>
    <n v="174.80719794344472"/>
    <s v="Low"/>
  </r>
  <r>
    <s v="410 N Chocolay"/>
    <x v="30"/>
    <x v="0"/>
    <x v="374"/>
    <n v="117"/>
    <x v="2"/>
    <x v="3"/>
    <n v="1306"/>
    <n v="260.33690658499233"/>
    <s v="Medium"/>
  </r>
  <r>
    <s v="2876 N DUCK LAKE Road"/>
    <x v="17"/>
    <x v="0"/>
    <x v="374"/>
    <n v="179"/>
    <x v="1"/>
    <x v="1"/>
    <n v="964"/>
    <n v="352.69709543568467"/>
    <s v="High"/>
  </r>
  <r>
    <s v="4995 Lockhart"/>
    <x v="24"/>
    <x v="0"/>
    <x v="374"/>
    <n v="152"/>
    <x v="2"/>
    <x v="1"/>
    <n v="1000"/>
    <n v="340"/>
    <s v="High"/>
  </r>
  <r>
    <s v="10014 BURGESS Court"/>
    <x v="10"/>
    <x v="0"/>
    <x v="375"/>
    <n v="5"/>
    <x v="2"/>
    <x v="2"/>
    <n v="1603"/>
    <n v="212.72613849033064"/>
    <s v="Medium"/>
  </r>
  <r>
    <s v="2510 LINWOOD Avenue"/>
    <x v="18"/>
    <x v="0"/>
    <x v="375"/>
    <n v="45"/>
    <x v="2"/>
    <x v="2"/>
    <n v="1247"/>
    <n v="273.45629510825984"/>
    <s v="Medium"/>
  </r>
  <r>
    <s v="322 DOUGLAS Drive"/>
    <x v="48"/>
    <x v="0"/>
    <x v="376"/>
    <n v="123"/>
    <x v="0"/>
    <x v="5"/>
    <n v="2023"/>
    <n v="168.70983687592684"/>
    <s v="Low"/>
  </r>
  <r>
    <s v="628 E OXHILL Drive"/>
    <x v="10"/>
    <x v="0"/>
    <x v="377"/>
    <n v="14"/>
    <x v="0"/>
    <x v="3"/>
    <n v="1750"/>
    <n v="196"/>
    <s v="Low"/>
  </r>
  <r>
    <s v="31810 BELMONT Street"/>
    <x v="11"/>
    <x v="0"/>
    <x v="378"/>
    <n v="6"/>
    <x v="2"/>
    <x v="3"/>
    <n v="1748"/>
    <n v="197.36842105263159"/>
    <s v="Low"/>
  </r>
  <r>
    <s v="1524 HURON Avenue"/>
    <x v="18"/>
    <x v="0"/>
    <x v="378"/>
    <n v="5"/>
    <x v="2"/>
    <x v="3"/>
    <n v="1283"/>
    <n v="268.90101325019486"/>
    <s v="Medium"/>
  </r>
  <r>
    <s v="2764 SAINT CLAIR Drive"/>
    <x v="3"/>
    <x v="0"/>
    <x v="378"/>
    <n v="2"/>
    <x v="2"/>
    <x v="2"/>
    <n v="1453"/>
    <n v="237.43977976600138"/>
    <s v="Medium"/>
  </r>
  <r>
    <s v="21256 BIRCHWOOD Street"/>
    <x v="38"/>
    <x v="0"/>
    <x v="378"/>
    <n v="6"/>
    <x v="0"/>
    <x v="5"/>
    <n v="1756"/>
    <n v="196.46924829157174"/>
    <s v="Low"/>
  </r>
  <r>
    <s v="1040 Boyd"/>
    <x v="22"/>
    <x v="0"/>
    <x v="378"/>
    <n v="29"/>
    <x v="0"/>
    <x v="2"/>
    <n v="1613"/>
    <n v="213.8871667699938"/>
    <s v="Medium"/>
  </r>
  <r>
    <s v="1105 KEY WEST Drive"/>
    <x v="30"/>
    <x v="0"/>
    <x v="378"/>
    <n v="3"/>
    <x v="2"/>
    <x v="3"/>
    <n v="1703"/>
    <n v="202.58367586611863"/>
    <s v="Medium"/>
  </r>
  <r>
    <s v="1947 HARVARD Road"/>
    <x v="25"/>
    <x v="0"/>
    <x v="378"/>
    <n v="12"/>
    <x v="2"/>
    <x v="5"/>
    <n v="1090"/>
    <n v="316.51376146788994"/>
    <s v="High"/>
  </r>
  <r>
    <s v="8350 Buckell Lake"/>
    <x v="9"/>
    <x v="0"/>
    <x v="378"/>
    <n v="8"/>
    <x v="2"/>
    <x v="2"/>
    <n v="1644"/>
    <n v="209.85401459854015"/>
    <s v="Medium"/>
  </r>
  <r>
    <s v="3494 samuel"/>
    <x v="3"/>
    <x v="0"/>
    <x v="378"/>
    <n v="7"/>
    <x v="2"/>
    <x v="2"/>
    <n v="1700"/>
    <n v="202.94117647058823"/>
    <s v="Medium"/>
  </r>
  <r>
    <s v="876 DAHLIA Lane"/>
    <x v="3"/>
    <x v="0"/>
    <x v="378"/>
    <n v="11"/>
    <x v="0"/>
    <x v="2"/>
    <n v="2258"/>
    <n v="152.79007971656333"/>
    <s v="Low"/>
  </r>
  <r>
    <s v="383 W DALLAS Avenue"/>
    <x v="8"/>
    <x v="0"/>
    <x v="378"/>
    <n v="34"/>
    <x v="2"/>
    <x v="5"/>
    <n v="1786"/>
    <n v="193.16909294512877"/>
    <s v="Low"/>
  </r>
  <r>
    <s v="891 CANYON CREEK Drive"/>
    <x v="9"/>
    <x v="0"/>
    <x v="378"/>
    <n v="50"/>
    <x v="0"/>
    <x v="5"/>
    <n v="1826"/>
    <n v="188.93756845564076"/>
    <s v="Low"/>
  </r>
  <r>
    <s v="28510 SUNSET Boulevard W"/>
    <x v="44"/>
    <x v="0"/>
    <x v="378"/>
    <n v="76"/>
    <x v="2"/>
    <x v="5"/>
    <n v="2060"/>
    <n v="167.47572815533979"/>
    <s v="Low"/>
  </r>
  <r>
    <s v="488 SHENANDOAH Drive"/>
    <x v="30"/>
    <x v="0"/>
    <x v="379"/>
    <n v="5"/>
    <x v="2"/>
    <x v="3"/>
    <n v="1554"/>
    <n v="222.65122265122264"/>
    <s v="Medium"/>
  </r>
  <r>
    <s v="2514 N CONNECTICUT Avenue"/>
    <x v="18"/>
    <x v="0"/>
    <x v="380"/>
    <n v="22"/>
    <x v="2"/>
    <x v="3"/>
    <n v="1055"/>
    <n v="328.43601895734599"/>
    <s v="High"/>
  </r>
  <r>
    <s v="2090 PRIMROSE Lane"/>
    <x v="45"/>
    <x v="0"/>
    <x v="380"/>
    <n v="52"/>
    <x v="2"/>
    <x v="5"/>
    <n v="1815"/>
    <n v="190.90909090909091"/>
    <s v="Low"/>
  </r>
  <r>
    <s v="1605 N VERMONT Avenue"/>
    <x v="18"/>
    <x v="0"/>
    <x v="381"/>
    <n v="29"/>
    <x v="0"/>
    <x v="2"/>
    <n v="1341"/>
    <n v="258.76211782252051"/>
    <s v="Medium"/>
  </r>
  <r>
    <s v="9155 SATELITE Drive"/>
    <x v="10"/>
    <x v="0"/>
    <x v="381"/>
    <n v="12"/>
    <x v="3"/>
    <x v="2"/>
    <n v="1400"/>
    <n v="247.85714285714286"/>
    <s v="Medium"/>
  </r>
  <r>
    <s v="560 Willard"/>
    <x v="3"/>
    <x v="0"/>
    <x v="382"/>
    <n v="36"/>
    <x v="2"/>
    <x v="5"/>
    <n v="1924"/>
    <n v="180.87318087318087"/>
    <s v="Low"/>
  </r>
  <r>
    <s v="749 PRINCETON Road"/>
    <x v="25"/>
    <x v="0"/>
    <x v="382"/>
    <n v="24"/>
    <x v="2"/>
    <x v="2"/>
    <n v="1176"/>
    <n v="295.91836734693879"/>
    <s v="Medium"/>
  </r>
  <r>
    <s v="419 RIDGEWOOD Drive S"/>
    <x v="20"/>
    <x v="0"/>
    <x v="382"/>
    <n v="103"/>
    <x v="0"/>
    <x v="5"/>
    <n v="1840"/>
    <n v="189.13043478260869"/>
    <s v="Low"/>
  </r>
  <r>
    <s v="1623 ENGLEWOOD Avenue"/>
    <x v="18"/>
    <x v="0"/>
    <x v="383"/>
    <n v="9"/>
    <x v="2"/>
    <x v="3"/>
    <n v="1003"/>
    <n v="347.95613160518445"/>
    <s v="High"/>
  </r>
  <r>
    <s v="829 Trombley Drive"/>
    <x v="22"/>
    <x v="0"/>
    <x v="384"/>
    <n v="101"/>
    <x v="2"/>
    <x v="2"/>
    <n v="1624"/>
    <n v="215.20935960591132"/>
    <s v="Medium"/>
  </r>
  <r>
    <s v="10897 HILLWAY Drive"/>
    <x v="10"/>
    <x v="0"/>
    <x v="385"/>
    <n v="30"/>
    <x v="2"/>
    <x v="2"/>
    <n v="1587"/>
    <n v="220.47889098928798"/>
    <s v="Medium"/>
  </r>
  <r>
    <s v="628 W Hudson"/>
    <x v="8"/>
    <x v="0"/>
    <x v="385"/>
    <n v="6"/>
    <x v="2"/>
    <x v="5"/>
    <n v="1550"/>
    <n v="225.74193548387098"/>
    <s v="Medium"/>
  </r>
  <r>
    <s v="486 River Ridge Drive"/>
    <x v="0"/>
    <x v="0"/>
    <x v="385"/>
    <n v="13"/>
    <x v="2"/>
    <x v="5"/>
    <n v="1669"/>
    <n v="209.64649490713001"/>
    <s v="Medium"/>
  </r>
  <r>
    <s v="22214 SUNRISE Boulevard"/>
    <x v="2"/>
    <x v="0"/>
    <x v="386"/>
    <n v="6"/>
    <x v="2"/>
    <x v="2"/>
    <n v="1533"/>
    <n v="228.31050228310502"/>
    <s v="Medium"/>
  </r>
  <r>
    <s v="33705 James"/>
    <x v="38"/>
    <x v="0"/>
    <x v="386"/>
    <n v="6"/>
    <x v="2"/>
    <x v="5"/>
    <n v="1607"/>
    <n v="217.79713752333541"/>
    <s v="Medium"/>
  </r>
  <r>
    <s v="40661 OAKWOOD Drive"/>
    <x v="2"/>
    <x v="0"/>
    <x v="386"/>
    <n v="7"/>
    <x v="2"/>
    <x v="3"/>
    <n v="1484"/>
    <n v="235.84905660377359"/>
    <s v="Medium"/>
  </r>
  <r>
    <s v="623 S ALEXANDER Avenue"/>
    <x v="18"/>
    <x v="0"/>
    <x v="386"/>
    <n v="4"/>
    <x v="2"/>
    <x v="2"/>
    <n v="1284"/>
    <n v="272.58566978193147"/>
    <s v="Medium"/>
  </r>
  <r>
    <s v="127 LA PLAZA Court"/>
    <x v="18"/>
    <x v="0"/>
    <x v="386"/>
    <n v="3"/>
    <x v="2"/>
    <x v="3"/>
    <n v="1249"/>
    <n v="280.22417934347476"/>
    <s v="Medium"/>
  </r>
  <r>
    <s v="3226 HARVARD Road"/>
    <x v="18"/>
    <x v="0"/>
    <x v="386"/>
    <n v="12"/>
    <x v="0"/>
    <x v="1"/>
    <n v="1500"/>
    <n v="233.33333333333334"/>
    <s v="Medium"/>
  </r>
  <r>
    <s v="4565 MILL POND Drive"/>
    <x v="22"/>
    <x v="0"/>
    <x v="386"/>
    <n v="39"/>
    <x v="0"/>
    <x v="2"/>
    <n v="1807"/>
    <n v="193.69120088544548"/>
    <s v="Low"/>
  </r>
  <r>
    <s v="1487 COLONY Drive"/>
    <x v="3"/>
    <x v="0"/>
    <x v="386"/>
    <n v="29"/>
    <x v="2"/>
    <x v="2"/>
    <n v="1191"/>
    <n v="293.87069689336693"/>
    <s v="Medium"/>
  </r>
  <r>
    <s v="136 TERRY Avenue"/>
    <x v="46"/>
    <x v="0"/>
    <x v="386"/>
    <n v="6"/>
    <x v="2"/>
    <x v="1"/>
    <n v="1031"/>
    <n v="339.47623666343355"/>
    <s v="High"/>
  </r>
  <r>
    <s v="417 OAKDALE Street"/>
    <x v="18"/>
    <x v="0"/>
    <x v="386"/>
    <n v="9"/>
    <x v="2"/>
    <x v="2"/>
    <n v="1182"/>
    <n v="296.10829103214888"/>
    <s v="Medium"/>
  </r>
  <r>
    <s v="27720 STANFORD"/>
    <x v="44"/>
    <x v="0"/>
    <x v="386"/>
    <n v="15"/>
    <x v="0"/>
    <x v="4"/>
    <n v="2070"/>
    <n v="169.08212560386474"/>
    <s v="Low"/>
  </r>
  <r>
    <s v="9495 GARFORTH Drive"/>
    <x v="10"/>
    <x v="0"/>
    <x v="386"/>
    <n v="175"/>
    <x v="1"/>
    <x v="1"/>
    <n v="1224"/>
    <n v="285.94771241830063"/>
    <s v="Medium"/>
  </r>
  <r>
    <s v="600 SEDGEFIELD Drive"/>
    <x v="48"/>
    <x v="0"/>
    <x v="386"/>
    <n v="8"/>
    <x v="3"/>
    <x v="8"/>
    <n v="2713"/>
    <n v="129.00847769996315"/>
    <s v="Low"/>
  </r>
  <r>
    <s v="23180 LAUREL VALLEY Street"/>
    <x v="12"/>
    <x v="0"/>
    <x v="386"/>
    <n v="7"/>
    <x v="0"/>
    <x v="8"/>
    <n v="3376"/>
    <n v="103.67298578199052"/>
    <s v="Low"/>
  </r>
  <r>
    <s v="1210 HOFFMAN Avenue"/>
    <x v="18"/>
    <x v="0"/>
    <x v="386"/>
    <n v="123"/>
    <x v="2"/>
    <x v="2"/>
    <n v="1409"/>
    <n v="248.40312278211496"/>
    <s v="Medium"/>
  </r>
  <r>
    <s v="329 NIPPIGON Street"/>
    <x v="43"/>
    <x v="0"/>
    <x v="386"/>
    <n v="27"/>
    <x v="2"/>
    <x v="10"/>
    <n v="1826"/>
    <n v="191.67579408543264"/>
    <s v="Low"/>
  </r>
  <r>
    <s v="30 GRANADA Drive"/>
    <x v="10"/>
    <x v="0"/>
    <x v="386"/>
    <n v="60"/>
    <x v="2"/>
    <x v="5"/>
    <n v="1831"/>
    <n v="191.15237575095577"/>
    <s v="Low"/>
  </r>
  <r>
    <s v="2105 CHALET Drive"/>
    <x v="3"/>
    <x v="0"/>
    <x v="386"/>
    <n v="33"/>
    <x v="0"/>
    <x v="5"/>
    <n v="2398"/>
    <n v="145.95496246872395"/>
    <s v="Low"/>
  </r>
  <r>
    <s v="142 W BERNHARD Avenue"/>
    <x v="7"/>
    <x v="0"/>
    <x v="386"/>
    <n v="35"/>
    <x v="0"/>
    <x v="2"/>
    <n v="2205"/>
    <n v="158.73015873015873"/>
    <s v="Low"/>
  </r>
  <r>
    <s v="560 ORCHARD Ridge"/>
    <x v="16"/>
    <x v="0"/>
    <x v="386"/>
    <n v="145"/>
    <x v="2"/>
    <x v="2"/>
    <n v="1746"/>
    <n v="200.4581901489118"/>
    <s v="Medium"/>
  </r>
  <r>
    <s v="1440 Ruffner"/>
    <x v="40"/>
    <x v="0"/>
    <x v="386"/>
    <n v="82"/>
    <x v="1"/>
    <x v="1"/>
    <n v="815"/>
    <n v="429.44785276073617"/>
    <s v="High"/>
  </r>
  <r>
    <s v="1735 N DUCK LAKE Road"/>
    <x v="17"/>
    <x v="0"/>
    <x v="386"/>
    <n v="12"/>
    <x v="0"/>
    <x v="2"/>
    <n v="1852"/>
    <n v="188.98488120950324"/>
    <s v="Low"/>
  </r>
  <r>
    <s v="18830 SAN QUENTIN Drive"/>
    <x v="44"/>
    <x v="0"/>
    <x v="386"/>
    <n v="64"/>
    <x v="0"/>
    <x v="8"/>
    <n v="2537"/>
    <n v="137.95821836815136"/>
    <s v="Low"/>
  </r>
  <r>
    <s v="564 KNOLLWOOD Drive"/>
    <x v="20"/>
    <x v="0"/>
    <x v="386"/>
    <n v="43"/>
    <x v="0"/>
    <x v="5"/>
    <n v="1864"/>
    <n v="187.76824034334763"/>
    <s v="Low"/>
  </r>
  <r>
    <s v="7806 CIRCLE Boulevard"/>
    <x v="24"/>
    <x v="0"/>
    <x v="387"/>
    <n v="98"/>
    <x v="0"/>
    <x v="5"/>
    <n v="2278"/>
    <n v="154.08252853380159"/>
    <s v="Low"/>
  </r>
  <r>
    <s v="38996 Holsworth"/>
    <x v="11"/>
    <x v="0"/>
    <x v="388"/>
    <n v="24"/>
    <x v="2"/>
    <x v="5"/>
    <n v="2479"/>
    <n v="141.99273900766437"/>
    <s v="Low"/>
  </r>
  <r>
    <s v="10075 ELGIN Avenue"/>
    <x v="50"/>
    <x v="0"/>
    <x v="389"/>
    <n v="50"/>
    <x v="2"/>
    <x v="1"/>
    <n v="1271"/>
    <n v="277.34067663257275"/>
    <s v="Medium"/>
  </r>
  <r>
    <s v="7690 PLEASANT BROOK Drive"/>
    <x v="0"/>
    <x v="0"/>
    <x v="390"/>
    <n v="24"/>
    <x v="2"/>
    <x v="5"/>
    <n v="1592"/>
    <n v="222.04773869346732"/>
    <s v="Medium"/>
  </r>
  <r>
    <s v="991 BROOKLAWN Drive"/>
    <x v="22"/>
    <x v="0"/>
    <x v="391"/>
    <n v="3"/>
    <x v="0"/>
    <x v="3"/>
    <n v="1322"/>
    <n v="268.5325264750378"/>
    <s v="Medium"/>
  </r>
  <r>
    <s v="723 POPLAR Avenue"/>
    <x v="18"/>
    <x v="0"/>
    <x v="391"/>
    <n v="10"/>
    <x v="2"/>
    <x v="2"/>
    <n v="1200"/>
    <n v="295.83333333333331"/>
    <s v="Medium"/>
  </r>
  <r>
    <s v="32379 Hearthstone Road"/>
    <x v="11"/>
    <x v="0"/>
    <x v="391"/>
    <n v="13"/>
    <x v="0"/>
    <x v="10"/>
    <n v="2183"/>
    <n v="162.62024736601009"/>
    <s v="Low"/>
  </r>
  <r>
    <s v="704 Albany Street"/>
    <x v="6"/>
    <x v="0"/>
    <x v="391"/>
    <n v="87"/>
    <x v="2"/>
    <x v="2"/>
    <n v="1699"/>
    <n v="208.94643908181283"/>
    <s v="Medium"/>
  </r>
  <r>
    <s v="1895 PRINCETON Road"/>
    <x v="25"/>
    <x v="0"/>
    <x v="391"/>
    <n v="8"/>
    <x v="2"/>
    <x v="2"/>
    <n v="1057"/>
    <n v="335.85619678334911"/>
    <s v="High"/>
  </r>
  <r>
    <s v="2711 Woodland Avenue"/>
    <x v="18"/>
    <x v="0"/>
    <x v="391"/>
    <n v="27"/>
    <x v="2"/>
    <x v="2"/>
    <n v="1319"/>
    <n v="269.14329037149355"/>
    <s v="Medium"/>
  </r>
  <r>
    <s v="23767 Maude Lea Street"/>
    <x v="2"/>
    <x v="0"/>
    <x v="391"/>
    <n v="54"/>
    <x v="2"/>
    <x v="3"/>
    <n v="1250"/>
    <n v="284"/>
    <s v="Medium"/>
  </r>
  <r>
    <s v="6086 Hillsboro Road"/>
    <x v="28"/>
    <x v="0"/>
    <x v="391"/>
    <n v="12"/>
    <x v="2"/>
    <x v="2"/>
    <n v="1550"/>
    <n v="229.03225806451613"/>
    <s v="Medium"/>
  </r>
  <r>
    <s v="601 FERNWOOD Road"/>
    <x v="18"/>
    <x v="0"/>
    <x v="391"/>
    <n v="12"/>
    <x v="2"/>
    <x v="2"/>
    <n v="1248"/>
    <n v="284.45512820512823"/>
    <s v="Medium"/>
  </r>
  <r>
    <s v="3809 SLOAN Drive"/>
    <x v="9"/>
    <x v="0"/>
    <x v="391"/>
    <n v="32"/>
    <x v="2"/>
    <x v="5"/>
    <n v="2063"/>
    <n v="172.07949587978672"/>
    <s v="Low"/>
  </r>
  <r>
    <s v="750 PINE RIDGE Lane"/>
    <x v="8"/>
    <x v="0"/>
    <x v="391"/>
    <n v="28"/>
    <x v="0"/>
    <x v="5"/>
    <n v="2183"/>
    <n v="162.62024736601009"/>
    <s v="Low"/>
  </r>
  <r>
    <s v="1799 Enterprise"/>
    <x v="22"/>
    <x v="0"/>
    <x v="391"/>
    <n v="118"/>
    <x v="3"/>
    <x v="2"/>
    <n v="1866"/>
    <n v="190.2465166130761"/>
    <s v="Low"/>
  </r>
  <r>
    <s v="5189 OLD COVE Road"/>
    <x v="29"/>
    <x v="0"/>
    <x v="392"/>
    <n v="23"/>
    <x v="0"/>
    <x v="3"/>
    <n v="1945"/>
    <n v="182.77634961439588"/>
    <s v="Low"/>
  </r>
  <r>
    <s v="1365 E LINCOLN Street"/>
    <x v="40"/>
    <x v="0"/>
    <x v="393"/>
    <n v="2"/>
    <x v="1"/>
    <x v="1"/>
    <n v="772"/>
    <n v="461.78756476683935"/>
    <s v="High"/>
  </r>
  <r>
    <s v="1315 GETTYSBURG"/>
    <x v="3"/>
    <x v="0"/>
    <x v="394"/>
    <n v="4"/>
    <x v="2"/>
    <x v="2"/>
    <n v="1424"/>
    <n v="250.70224719101122"/>
    <s v="Medium"/>
  </r>
  <r>
    <s v="1354 BAYVIEW Street"/>
    <x v="10"/>
    <x v="0"/>
    <x v="395"/>
    <n v="6"/>
    <x v="2"/>
    <x v="3"/>
    <n v="1092"/>
    <n v="327.83882783882785"/>
    <s v="High"/>
  </r>
  <r>
    <s v="4355 Moonlight Drive"/>
    <x v="9"/>
    <x v="0"/>
    <x v="395"/>
    <n v="55"/>
    <x v="2"/>
    <x v="10"/>
    <n v="1697"/>
    <n v="210.96051856216855"/>
    <s v="Medium"/>
  </r>
  <r>
    <s v="2063 WARRINGTON Road"/>
    <x v="3"/>
    <x v="0"/>
    <x v="396"/>
    <n v="3"/>
    <x v="2"/>
    <x v="2"/>
    <n v="1436"/>
    <n v="250.69637883008357"/>
    <s v="Medium"/>
  </r>
  <r>
    <s v="7990 LITTLE FARM Lane"/>
    <x v="24"/>
    <x v="0"/>
    <x v="396"/>
    <n v="78"/>
    <x v="0"/>
    <x v="13"/>
    <n v="1793"/>
    <n v="200.7808142777468"/>
    <s v="Medium"/>
  </r>
  <r>
    <s v="788 DRESSLER Lane"/>
    <x v="3"/>
    <x v="0"/>
    <x v="396"/>
    <n v="6"/>
    <x v="2"/>
    <x v="5"/>
    <n v="1468"/>
    <n v="245.2316076294278"/>
    <s v="Medium"/>
  </r>
  <r>
    <s v="1262 JUDY Drive"/>
    <x v="22"/>
    <x v="0"/>
    <x v="396"/>
    <n v="8"/>
    <x v="0"/>
    <x v="5"/>
    <n v="2476"/>
    <n v="145.39579967689824"/>
    <s v="Low"/>
  </r>
  <r>
    <s v="2197 GRANGE HALL Road"/>
    <x v="9"/>
    <x v="0"/>
    <x v="396"/>
    <n v="108"/>
    <x v="0"/>
    <x v="5"/>
    <n v="2239"/>
    <n v="160.78606520768201"/>
    <s v="Low"/>
  </r>
  <r>
    <s v="555 E RIDGE Drive"/>
    <x v="51"/>
    <x v="0"/>
    <x v="396"/>
    <n v="7"/>
    <x v="2"/>
    <x v="2"/>
    <n v="1770"/>
    <n v="203.38983050847457"/>
    <s v="Medium"/>
  </r>
  <r>
    <s v="35095 Savannah Lane"/>
    <x v="11"/>
    <x v="0"/>
    <x v="396"/>
    <n v="21"/>
    <x v="7"/>
    <x v="13"/>
    <n v="2544"/>
    <n v="141.50943396226415"/>
    <s v="Low"/>
  </r>
  <r>
    <s v="23112 Vassar Avenue"/>
    <x v="7"/>
    <x v="0"/>
    <x v="396"/>
    <n v="12"/>
    <x v="2"/>
    <x v="5"/>
    <n v="2000"/>
    <n v="180"/>
    <s v="Low"/>
  </r>
  <r>
    <s v="2716 Mercury"/>
    <x v="13"/>
    <x v="0"/>
    <x v="396"/>
    <n v="0"/>
    <x v="2"/>
    <x v="5"/>
    <n v="1872"/>
    <n v="192.30769230769232"/>
    <s v="Low"/>
  </r>
  <r>
    <s v="1474 Catalpa  Drive"/>
    <x v="25"/>
    <x v="0"/>
    <x v="396"/>
    <n v="5"/>
    <x v="0"/>
    <x v="1"/>
    <n v="1843"/>
    <n v="195.33369506239828"/>
    <s v="Low"/>
  </r>
  <r>
    <s v="7000 EAGLE Road"/>
    <x v="28"/>
    <x v="0"/>
    <x v="396"/>
    <n v="7"/>
    <x v="1"/>
    <x v="2"/>
    <n v="1616"/>
    <n v="222.77227722772278"/>
    <s v="Medium"/>
  </r>
  <r>
    <s v="1694 E Melton Road"/>
    <x v="40"/>
    <x v="0"/>
    <x v="396"/>
    <n v="84"/>
    <x v="2"/>
    <x v="2"/>
    <n v="992"/>
    <n v="362.90322580645159"/>
    <s v="High"/>
  </r>
  <r>
    <s v="2020 ELSIE Drive"/>
    <x v="24"/>
    <x v="0"/>
    <x v="396"/>
    <n v="154"/>
    <x v="2"/>
    <x v="2"/>
    <n v="1800"/>
    <n v="200"/>
    <s v="Low"/>
  </r>
  <r>
    <s v="7990 LITTLE FARM Lane"/>
    <x v="24"/>
    <x v="0"/>
    <x v="396"/>
    <n v="235"/>
    <x v="0"/>
    <x v="5"/>
    <n v="1793"/>
    <n v="200.7808142777468"/>
    <s v="Medium"/>
  </r>
  <r>
    <s v="936 S PARKWOOD Drive"/>
    <x v="16"/>
    <x v="0"/>
    <x v="397"/>
    <n v="10"/>
    <x v="7"/>
    <x v="6"/>
    <n v="1482"/>
    <n v="243.58974358974359"/>
    <s v="Medium"/>
  </r>
  <r>
    <s v="26735 Westmeath Street"/>
    <x v="11"/>
    <x v="0"/>
    <x v="398"/>
    <n v="7"/>
    <x v="0"/>
    <x v="5"/>
    <n v="2129"/>
    <n v="170.03287928604979"/>
    <s v="Low"/>
  </r>
  <r>
    <s v="6821 Nashway E"/>
    <x v="24"/>
    <x v="0"/>
    <x v="398"/>
    <n v="13"/>
    <x v="0"/>
    <x v="10"/>
    <n v="2498"/>
    <n v="144.91593274619694"/>
    <s v="Low"/>
  </r>
  <r>
    <s v="1863 BOWERS Street"/>
    <x v="40"/>
    <x v="0"/>
    <x v="398"/>
    <n v="70"/>
    <x v="2"/>
    <x v="1"/>
    <n v="1057"/>
    <n v="342.47871333964048"/>
    <s v="High"/>
  </r>
  <r>
    <s v="2934 N ALEXANDER Avenue"/>
    <x v="18"/>
    <x v="0"/>
    <x v="398"/>
    <n v="172"/>
    <x v="2"/>
    <x v="5"/>
    <n v="1234"/>
    <n v="293.35494327390597"/>
    <s v="Medium"/>
  </r>
  <r>
    <s v="28629 Kendallwood Drive"/>
    <x v="11"/>
    <x v="0"/>
    <x v="399"/>
    <n v="9"/>
    <x v="2"/>
    <x v="5"/>
    <n v="2226"/>
    <n v="162.848158131177"/>
    <s v="Low"/>
  </r>
  <r>
    <s v="16016 MADOLINE Street"/>
    <x v="41"/>
    <x v="0"/>
    <x v="400"/>
    <n v="9"/>
    <x v="2"/>
    <x v="3"/>
    <n v="1435"/>
    <n v="254.28571428571428"/>
    <s v="Medium"/>
  </r>
  <r>
    <s v="300 Samantha Way"/>
    <x v="45"/>
    <x v="0"/>
    <x v="400"/>
    <n v="150"/>
    <x v="0"/>
    <x v="5"/>
    <n v="1822"/>
    <n v="200.27442371020857"/>
    <s v="Medium"/>
  </r>
  <r>
    <s v="305 E LINCOLN Avenue"/>
    <x v="8"/>
    <x v="0"/>
    <x v="401"/>
    <n v="6"/>
    <x v="2"/>
    <x v="10"/>
    <n v="2511"/>
    <n v="145.36041417761848"/>
    <s v="Low"/>
  </r>
  <r>
    <s v="1515 ASHTON Drive"/>
    <x v="3"/>
    <x v="0"/>
    <x v="401"/>
    <n v="5"/>
    <x v="0"/>
    <x v="5"/>
    <n v="2116"/>
    <n v="172.49527410207941"/>
    <s v="Low"/>
  </r>
  <r>
    <s v="4306 SAMOSET Road"/>
    <x v="18"/>
    <x v="0"/>
    <x v="401"/>
    <n v="2"/>
    <x v="0"/>
    <x v="9"/>
    <n v="1550"/>
    <n v="235.48387096774192"/>
    <s v="Medium"/>
  </r>
  <r>
    <s v="60408 Lamplighter Drive"/>
    <x v="37"/>
    <x v="0"/>
    <x v="401"/>
    <n v="21"/>
    <x v="2"/>
    <x v="5"/>
    <n v="1697"/>
    <n v="215.08544490276958"/>
    <s v="Medium"/>
  </r>
  <r>
    <s v="5495 ORMOND Road"/>
    <x v="28"/>
    <x v="0"/>
    <x v="401"/>
    <n v="3"/>
    <x v="1"/>
    <x v="2"/>
    <n v="1302"/>
    <n v="280.33794162826422"/>
    <s v="Medium"/>
  </r>
  <r>
    <s v="545 Fox River Drive"/>
    <x v="48"/>
    <x v="0"/>
    <x v="401"/>
    <n v="24"/>
    <x v="2"/>
    <x v="5"/>
    <n v="2035"/>
    <n v="179.36117936117935"/>
    <s v="Low"/>
  </r>
  <r>
    <s v="540 OLD PERCH Road"/>
    <x v="3"/>
    <x v="0"/>
    <x v="401"/>
    <n v="15"/>
    <x v="0"/>
    <x v="5"/>
    <n v="2240"/>
    <n v="162.94642857142858"/>
    <s v="Low"/>
  </r>
  <r>
    <s v="702 DEER PATH Trail"/>
    <x v="0"/>
    <x v="0"/>
    <x v="401"/>
    <n v="6"/>
    <x v="0"/>
    <x v="5"/>
    <n v="1747"/>
    <n v="208.92959358900973"/>
    <s v="Medium"/>
  </r>
  <r>
    <s v="1675 Northumberland Drive"/>
    <x v="3"/>
    <x v="0"/>
    <x v="401"/>
    <n v="12"/>
    <x v="2"/>
    <x v="10"/>
    <n v="2061"/>
    <n v="177.09849587578844"/>
    <s v="Low"/>
  </r>
  <r>
    <s v="457 Knollwood Drive"/>
    <x v="20"/>
    <x v="0"/>
    <x v="401"/>
    <n v="14"/>
    <x v="2"/>
    <x v="5"/>
    <n v="1870"/>
    <n v="195.18716577540107"/>
    <s v="Low"/>
  </r>
  <r>
    <s v="10088 HART Avenue"/>
    <x v="50"/>
    <x v="0"/>
    <x v="401"/>
    <n v="86"/>
    <x v="2"/>
    <x v="3"/>
    <n v="1478"/>
    <n v="246.95534506089311"/>
    <s v="Medium"/>
  </r>
  <r>
    <s v="8821 Thendara"/>
    <x v="29"/>
    <x v="0"/>
    <x v="401"/>
    <n v="101"/>
    <x v="2"/>
    <x v="10"/>
    <n v="1335"/>
    <n v="273.40823970037451"/>
    <s v="Medium"/>
  </r>
  <r>
    <s v="3611 HUNTER Avenue"/>
    <x v="18"/>
    <x v="0"/>
    <x v="401"/>
    <n v="27"/>
    <x v="0"/>
    <x v="2"/>
    <n v="903"/>
    <n v="404.20819490586933"/>
    <s v="High"/>
  </r>
  <r>
    <s v="2365 LOCHAVEN Road"/>
    <x v="24"/>
    <x v="0"/>
    <x v="401"/>
    <n v="72"/>
    <x v="2"/>
    <x v="5"/>
    <n v="2023"/>
    <n v="180.42511122095897"/>
    <s v="Low"/>
  </r>
  <r>
    <s v="1227 Queens Drive"/>
    <x v="43"/>
    <x v="0"/>
    <x v="402"/>
    <n v="6"/>
    <x v="2"/>
    <x v="3"/>
    <n v="1676"/>
    <n v="218.97374701670645"/>
    <s v="Medium"/>
  </r>
  <r>
    <s v="1011 STELLMA Lane"/>
    <x v="3"/>
    <x v="0"/>
    <x v="402"/>
    <n v="87"/>
    <x v="2"/>
    <x v="2"/>
    <n v="1963"/>
    <n v="186.95873662761079"/>
    <s v="Low"/>
  </r>
  <r>
    <s v="781 FORESTBERRY"/>
    <x v="39"/>
    <x v="0"/>
    <x v="403"/>
    <n v="144"/>
    <x v="2"/>
    <x v="5"/>
    <n v="1781"/>
    <n v="206.34475014037056"/>
    <s v="Medium"/>
  </r>
  <r>
    <s v="751 MARTINDALE"/>
    <x v="49"/>
    <x v="0"/>
    <x v="404"/>
    <n v="139"/>
    <x v="0"/>
    <x v="9"/>
    <n v="1719"/>
    <n v="214.07795229784759"/>
    <s v="Medium"/>
  </r>
  <r>
    <s v="626 GOLF Avenue"/>
    <x v="18"/>
    <x v="0"/>
    <x v="405"/>
    <n v="56"/>
    <x v="2"/>
    <x v="10"/>
    <n v="1424"/>
    <n v="259.12921348314609"/>
    <s v="Medium"/>
  </r>
  <r>
    <s v="3072 GARDNER Avenue"/>
    <x v="25"/>
    <x v="0"/>
    <x v="406"/>
    <n v="2"/>
    <x v="2"/>
    <x v="3"/>
    <n v="1210"/>
    <n v="304.97685950413222"/>
    <s v="High"/>
  </r>
  <r>
    <s v="60450 Town Square"/>
    <x v="37"/>
    <x v="0"/>
    <x v="407"/>
    <n v="7"/>
    <x v="2"/>
    <x v="3"/>
    <n v="1348"/>
    <n v="274.48071216617211"/>
    <s v="Medium"/>
  </r>
  <r>
    <s v="5245 BERWYCK Drive"/>
    <x v="22"/>
    <x v="0"/>
    <x v="407"/>
    <n v="51"/>
    <x v="0"/>
    <x v="2"/>
    <n v="1834"/>
    <n v="201.74482006543076"/>
    <s v="Medium"/>
  </r>
  <r>
    <s v="965 Watersedge"/>
    <x v="43"/>
    <x v="0"/>
    <x v="407"/>
    <n v="16"/>
    <x v="0"/>
    <x v="4"/>
    <n v="1835"/>
    <n v="201.63487738419619"/>
    <s v="Medium"/>
  </r>
  <r>
    <s v="4240 E COMMERCE Road"/>
    <x v="14"/>
    <x v="0"/>
    <x v="407"/>
    <n v="6"/>
    <x v="2"/>
    <x v="2"/>
    <n v="1500"/>
    <n v="246.66666666666666"/>
    <s v="Medium"/>
  </r>
  <r>
    <s v="6150 ODESSA  Drive"/>
    <x v="24"/>
    <x v="0"/>
    <x v="407"/>
    <n v="73"/>
    <x v="2"/>
    <x v="5"/>
    <n v="1871"/>
    <n v="197.7552111170497"/>
    <s v="Low"/>
  </r>
  <r>
    <s v="8135 ENGLEWOOD Drive"/>
    <x v="28"/>
    <x v="0"/>
    <x v="407"/>
    <n v="23"/>
    <x v="0"/>
    <x v="10"/>
    <n v="2162"/>
    <n v="171.13783533765033"/>
    <s v="Low"/>
  </r>
  <r>
    <s v="29989 WOODHAVEN Lane"/>
    <x v="12"/>
    <x v="0"/>
    <x v="407"/>
    <n v="127"/>
    <x v="0"/>
    <x v="10"/>
    <n v="2495"/>
    <n v="148.29659318637275"/>
    <s v="Low"/>
  </r>
  <r>
    <s v="3443 Ellenboro Drive"/>
    <x v="22"/>
    <x v="0"/>
    <x v="407"/>
    <n v="69"/>
    <x v="0"/>
    <x v="2"/>
    <n v="1709"/>
    <n v="216.50087770626098"/>
    <s v="Medium"/>
  </r>
  <r>
    <s v="3968 KNOX Court"/>
    <x v="22"/>
    <x v="0"/>
    <x v="407"/>
    <n v="35"/>
    <x v="2"/>
    <x v="5"/>
    <n v="2186"/>
    <n v="169.25892040256176"/>
    <s v="Low"/>
  </r>
  <r>
    <s v="2002 LINWOOD Avenue"/>
    <x v="18"/>
    <x v="0"/>
    <x v="407"/>
    <n v="46"/>
    <x v="0"/>
    <x v="2"/>
    <n v="1633"/>
    <n v="226.57685241886099"/>
    <s v="Medium"/>
  </r>
  <r>
    <s v="792 LAGUNA Drive"/>
    <x v="32"/>
    <x v="0"/>
    <x v="407"/>
    <n v="44"/>
    <x v="0"/>
    <x v="5"/>
    <n v="2772"/>
    <n v="133.47763347763347"/>
    <s v="Low"/>
  </r>
  <r>
    <s v="5500 Murland"/>
    <x v="10"/>
    <x v="0"/>
    <x v="407"/>
    <n v="113"/>
    <x v="2"/>
    <x v="5"/>
    <n v="2418"/>
    <n v="153.01902398676592"/>
    <s v="Low"/>
  </r>
  <r>
    <s v="23500 Middlebelt Road"/>
    <x v="11"/>
    <x v="0"/>
    <x v="408"/>
    <n v="5"/>
    <x v="0"/>
    <x v="5"/>
    <n v="1021"/>
    <n v="364.34867776689521"/>
    <s v="High"/>
  </r>
  <r>
    <s v="1424 Smith Avenue"/>
    <x v="18"/>
    <x v="0"/>
    <x v="409"/>
    <n v="2"/>
    <x v="2"/>
    <x v="2"/>
    <n v="1428"/>
    <n v="260.71428571428572"/>
    <s v="Medium"/>
  </r>
  <r>
    <s v="28118 Forestbrook Drive"/>
    <x v="11"/>
    <x v="0"/>
    <x v="410"/>
    <n v="7"/>
    <x v="2"/>
    <x v="5"/>
    <n v="2452"/>
    <n v="152.12071778140293"/>
    <s v="Low"/>
  </r>
  <r>
    <s v="563 W LEWISTON Avenue"/>
    <x v="6"/>
    <x v="0"/>
    <x v="411"/>
    <n v="5"/>
    <x v="2"/>
    <x v="2"/>
    <n v="1397"/>
    <n v="267.17967072297779"/>
    <s v="Medium"/>
  </r>
  <r>
    <s v="624 MILLER Avenue"/>
    <x v="46"/>
    <x v="0"/>
    <x v="412"/>
    <n v="3"/>
    <x v="1"/>
    <x v="2"/>
    <n v="960"/>
    <n v="389.58333333333331"/>
    <s v="High"/>
  </r>
  <r>
    <s v="27425 Aberdeen"/>
    <x v="12"/>
    <x v="0"/>
    <x v="412"/>
    <n v="33"/>
    <x v="0"/>
    <x v="5"/>
    <n v="1980"/>
    <n v="188.88888888888889"/>
    <s v="Low"/>
  </r>
  <r>
    <s v="507 S VERMONT Avenue"/>
    <x v="18"/>
    <x v="0"/>
    <x v="412"/>
    <n v="7"/>
    <x v="2"/>
    <x v="2"/>
    <n v="1184"/>
    <n v="315.87837837837839"/>
    <s v="High"/>
  </r>
  <r>
    <s v="2011 DECKER Road"/>
    <x v="33"/>
    <x v="0"/>
    <x v="412"/>
    <n v="75"/>
    <x v="2"/>
    <x v="10"/>
    <n v="1453"/>
    <n v="257.39848589125944"/>
    <s v="Medium"/>
  </r>
  <r>
    <s v="25770 Farmington Road"/>
    <x v="11"/>
    <x v="0"/>
    <x v="413"/>
    <n v="39"/>
    <x v="2"/>
    <x v="3"/>
    <n v="1685"/>
    <n v="222.49258160237389"/>
    <s v="Medium"/>
  </r>
  <r>
    <s v="5180 EASTVIEW Road"/>
    <x v="29"/>
    <x v="0"/>
    <x v="413"/>
    <n v="4"/>
    <x v="0"/>
    <x v="2"/>
    <n v="1827"/>
    <n v="205.19978106185002"/>
    <s v="Medium"/>
  </r>
  <r>
    <s v="25770 FARMINGTON Road"/>
    <x v="11"/>
    <x v="0"/>
    <x v="413"/>
    <n v="14"/>
    <x v="2"/>
    <x v="3"/>
    <n v="1685"/>
    <n v="222.49258160237389"/>
    <s v="Medium"/>
  </r>
  <r>
    <s v="2535 E Commerce Street"/>
    <x v="49"/>
    <x v="0"/>
    <x v="414"/>
    <n v="7"/>
    <x v="2"/>
    <x v="5"/>
    <n v="1290"/>
    <n v="290.69767441860466"/>
    <s v="Medium"/>
  </r>
  <r>
    <s v="1440 N Stephen Ave."/>
    <x v="30"/>
    <x v="0"/>
    <x v="414"/>
    <n v="2"/>
    <x v="2"/>
    <x v="2"/>
    <n v="1131"/>
    <n v="331.56498673740055"/>
    <s v="High"/>
  </r>
  <r>
    <s v="397 W Lewiston Avenue"/>
    <x v="6"/>
    <x v="0"/>
    <x v="414"/>
    <n v="5"/>
    <x v="2"/>
    <x v="2"/>
    <n v="1202"/>
    <n v="311.98003327787023"/>
    <s v="High"/>
  </r>
  <r>
    <s v="9701 KENYON LAKE Court"/>
    <x v="45"/>
    <x v="0"/>
    <x v="414"/>
    <n v="31"/>
    <x v="0"/>
    <x v="2"/>
    <n v="1364"/>
    <n v="274.92668621700881"/>
    <s v="Medium"/>
  </r>
  <r>
    <s v="4087 SILVER VALLEY Drive"/>
    <x v="13"/>
    <x v="0"/>
    <x v="414"/>
    <n v="9"/>
    <x v="3"/>
    <x v="5"/>
    <n v="1540"/>
    <n v="243.50649350649351"/>
    <s v="Medium"/>
  </r>
  <r>
    <s v="435 NEWTON Drive"/>
    <x v="36"/>
    <x v="0"/>
    <x v="414"/>
    <n v="4"/>
    <x v="0"/>
    <x v="2"/>
    <n v="1456"/>
    <n v="257.55494505494505"/>
    <s v="Medium"/>
  </r>
  <r>
    <s v="6060 CHESHIRE PARK Drive"/>
    <x v="29"/>
    <x v="0"/>
    <x v="414"/>
    <n v="8"/>
    <x v="0"/>
    <x v="5"/>
    <n v="2068"/>
    <n v="181.33462282398452"/>
    <s v="Low"/>
  </r>
  <r>
    <s v="2909 HARVARD Road"/>
    <x v="25"/>
    <x v="0"/>
    <x v="414"/>
    <n v="7"/>
    <x v="2"/>
    <x v="2"/>
    <n v="1118"/>
    <n v="335.42039355992847"/>
    <s v="High"/>
  </r>
  <r>
    <s v="876 W DRAYTON Street"/>
    <x v="6"/>
    <x v="0"/>
    <x v="414"/>
    <n v="99"/>
    <x v="2"/>
    <x v="5"/>
    <n v="1536"/>
    <n v="244.140625"/>
    <s v="Medium"/>
  </r>
  <r>
    <s v="1719 Morningside"/>
    <x v="3"/>
    <x v="0"/>
    <x v="414"/>
    <n v="52"/>
    <x v="0"/>
    <x v="5"/>
    <n v="1719"/>
    <n v="218.15008726003489"/>
    <s v="Medium"/>
  </r>
  <r>
    <s v="537 ALSUP Lane"/>
    <x v="0"/>
    <x v="0"/>
    <x v="414"/>
    <n v="187"/>
    <x v="0"/>
    <x v="5"/>
    <n v="2482"/>
    <n v="151.08783239323125"/>
    <s v="Low"/>
  </r>
  <r>
    <s v="267 SANDHILL Lane"/>
    <x v="10"/>
    <x v="0"/>
    <x v="415"/>
    <n v="91"/>
    <x v="2"/>
    <x v="5"/>
    <n v="1879"/>
    <n v="199.90420436402343"/>
    <s v="Low"/>
  </r>
  <r>
    <s v="947 Beckley Avenue"/>
    <x v="43"/>
    <x v="0"/>
    <x v="416"/>
    <n v="15"/>
    <x v="2"/>
    <x v="2"/>
    <n v="1537"/>
    <n v="245.28301886792454"/>
    <s v="Medium"/>
  </r>
  <r>
    <s v="680 CRESCENT Court"/>
    <x v="51"/>
    <x v="0"/>
    <x v="417"/>
    <n v="5"/>
    <x v="2"/>
    <x v="5"/>
    <n v="1729"/>
    <n v="218.05957200694044"/>
    <s v="Medium"/>
  </r>
  <r>
    <s v="3295 SCHOOLHOUSE Drive"/>
    <x v="0"/>
    <x v="0"/>
    <x v="418"/>
    <n v="73"/>
    <x v="0"/>
    <x v="5"/>
    <n v="2448"/>
    <n v="154.15482026143792"/>
    <s v="Low"/>
  </r>
  <r>
    <s v="2177 ALEXANDER Drive"/>
    <x v="22"/>
    <x v="0"/>
    <x v="419"/>
    <n v="82"/>
    <x v="2"/>
    <x v="3"/>
    <n v="1753"/>
    <n v="215.63034797490016"/>
    <s v="Medium"/>
  </r>
  <r>
    <s v="2848 SUNRIDGE Drive"/>
    <x v="22"/>
    <x v="0"/>
    <x v="420"/>
    <n v="2"/>
    <x v="3"/>
    <x v="5"/>
    <n v="2128"/>
    <n v="178.1015037593985"/>
    <s v="Low"/>
  </r>
  <r>
    <s v="3340 HADDEN Road"/>
    <x v="35"/>
    <x v="0"/>
    <x v="420"/>
    <n v="124"/>
    <x v="2"/>
    <x v="2"/>
    <n v="1724"/>
    <n v="219.83758700696055"/>
    <s v="Medium"/>
  </r>
  <r>
    <s v="5337 Weston  Court"/>
    <x v="14"/>
    <x v="0"/>
    <x v="421"/>
    <n v="7"/>
    <x v="2"/>
    <x v="2"/>
    <n v="1752"/>
    <n v="216.837899543379"/>
    <s v="Medium"/>
  </r>
  <r>
    <s v="2170 STRATFORD Drive"/>
    <x v="22"/>
    <x v="0"/>
    <x v="421"/>
    <n v="12"/>
    <x v="2"/>
    <x v="5"/>
    <n v="1402"/>
    <n v="270.97004279600571"/>
    <s v="Medium"/>
  </r>
  <r>
    <s v="44784 HUNTINGTON Drive"/>
    <x v="2"/>
    <x v="0"/>
    <x v="421"/>
    <n v="9"/>
    <x v="2"/>
    <x v="2"/>
    <n v="1262"/>
    <n v="301.0301109350238"/>
    <s v="High"/>
  </r>
  <r>
    <s v="7373 KATRIN Drive"/>
    <x v="24"/>
    <x v="0"/>
    <x v="422"/>
    <n v="8"/>
    <x v="7"/>
    <x v="6"/>
    <n v="2750"/>
    <n v="138.18181818181819"/>
    <s v="Low"/>
  </r>
  <r>
    <s v="28935 SAN CARLOS Street"/>
    <x v="12"/>
    <x v="0"/>
    <x v="422"/>
    <n v="5"/>
    <x v="6"/>
    <x v="0"/>
    <n v="2636"/>
    <n v="144.15781487101668"/>
    <s v="Low"/>
  </r>
  <r>
    <s v="1925 LIBERTY Lane"/>
    <x v="20"/>
    <x v="0"/>
    <x v="422"/>
    <n v="47"/>
    <x v="2"/>
    <x v="5"/>
    <n v="2336"/>
    <n v="162.67123287671234"/>
    <s v="Low"/>
  </r>
  <r>
    <s v="3801 CORRAN COURT"/>
    <x v="47"/>
    <x v="0"/>
    <x v="422"/>
    <n v="7"/>
    <x v="2"/>
    <x v="5"/>
    <n v="2055"/>
    <n v="184.91484184914842"/>
    <s v="Low"/>
  </r>
  <r>
    <s v="3233 Chenoa Street"/>
    <x v="14"/>
    <x v="0"/>
    <x v="423"/>
    <n v="29"/>
    <x v="0"/>
    <x v="10"/>
    <n v="2048"/>
    <n v="186.03515625"/>
    <s v="Low"/>
  </r>
  <r>
    <s v="1300 Parkside Court"/>
    <x v="43"/>
    <x v="0"/>
    <x v="424"/>
    <n v="52"/>
    <x v="2"/>
    <x v="8"/>
    <n v="1992"/>
    <n v="191.76706827309238"/>
    <s v="Low"/>
  </r>
  <r>
    <s v="17320 Beverly Road"/>
    <x v="41"/>
    <x v="0"/>
    <x v="425"/>
    <n v="6"/>
    <x v="2"/>
    <x v="3"/>
    <n v="1554"/>
    <n v="246.46074646074646"/>
    <s v="Medium"/>
  </r>
  <r>
    <s v="3900 OAKWOOD Road"/>
    <x v="20"/>
    <x v="0"/>
    <x v="426"/>
    <n v="10"/>
    <x v="2"/>
    <x v="5"/>
    <n v="2028"/>
    <n v="189.84220907297831"/>
    <s v="Low"/>
  </r>
  <r>
    <s v="895 N PEMBERTON Road"/>
    <x v="48"/>
    <x v="0"/>
    <x v="426"/>
    <n v="5"/>
    <x v="2"/>
    <x v="2"/>
    <n v="1900"/>
    <n v="202.63157894736841"/>
    <s v="Medium"/>
  </r>
  <r>
    <s v="1884 Heron View"/>
    <x v="24"/>
    <x v="0"/>
    <x v="426"/>
    <n v="5"/>
    <x v="2"/>
    <x v="2"/>
    <n v="1671"/>
    <n v="230.40095751047278"/>
    <s v="Medium"/>
  </r>
  <r>
    <s v="5371 Kingsfield Drive"/>
    <x v="24"/>
    <x v="0"/>
    <x v="426"/>
    <n v="10"/>
    <x v="0"/>
    <x v="5"/>
    <n v="2594"/>
    <n v="148.41942945258288"/>
    <s v="Low"/>
  </r>
  <r>
    <s v="1721 FORESTDALE Court"/>
    <x v="18"/>
    <x v="0"/>
    <x v="426"/>
    <n v="13"/>
    <x v="2"/>
    <x v="5"/>
    <n v="1678"/>
    <n v="229.43980929678187"/>
    <s v="Medium"/>
  </r>
  <r>
    <s v="4866 Walnut Lake Road"/>
    <x v="48"/>
    <x v="0"/>
    <x v="426"/>
    <n v="4"/>
    <x v="0"/>
    <x v="10"/>
    <n v="2768"/>
    <n v="139.08959537572255"/>
    <s v="Low"/>
  </r>
  <r>
    <s v="2428 LANERGAN Drive"/>
    <x v="22"/>
    <x v="0"/>
    <x v="426"/>
    <n v="8"/>
    <x v="0"/>
    <x v="2"/>
    <n v="1814"/>
    <n v="212.23814773980155"/>
    <s v="Medium"/>
  </r>
  <r>
    <s v="795 HIDDEN RIVER Drive"/>
    <x v="20"/>
    <x v="0"/>
    <x v="426"/>
    <n v="11"/>
    <x v="0"/>
    <x v="5"/>
    <n v="2368"/>
    <n v="162.58445945945945"/>
    <s v="Low"/>
  </r>
  <r>
    <s v="7159 MARCO Drive"/>
    <x v="0"/>
    <x v="0"/>
    <x v="426"/>
    <n v="29"/>
    <x v="2"/>
    <x v="5"/>
    <n v="1871"/>
    <n v="205.77231427044362"/>
    <s v="Medium"/>
  </r>
  <r>
    <s v="73 Cross Timbers Street"/>
    <x v="43"/>
    <x v="0"/>
    <x v="426"/>
    <n v="5"/>
    <x v="0"/>
    <x v="5"/>
    <n v="1702"/>
    <n v="226.20446533490011"/>
    <s v="Medium"/>
  </r>
  <r>
    <s v="5344 WATERVIEW Drive"/>
    <x v="24"/>
    <x v="0"/>
    <x v="426"/>
    <n v="4"/>
    <x v="2"/>
    <x v="5"/>
    <n v="2349"/>
    <n v="163.89953171562368"/>
    <s v="Low"/>
  </r>
  <r>
    <s v="2843 CHEVROLET Avenue"/>
    <x v="20"/>
    <x v="0"/>
    <x v="426"/>
    <n v="103"/>
    <x v="0"/>
    <x v="4"/>
    <n v="1917"/>
    <n v="200.83463745435577"/>
    <s v="Medium"/>
  </r>
  <r>
    <s v="642 S BLAIR Avenue"/>
    <x v="18"/>
    <x v="0"/>
    <x v="426"/>
    <n v="173"/>
    <x v="2"/>
    <x v="10"/>
    <n v="1466"/>
    <n v="262.61937244201908"/>
    <s v="Medium"/>
  </r>
  <r>
    <s v="9207 ANDERSONVILLE Road"/>
    <x v="28"/>
    <x v="0"/>
    <x v="426"/>
    <n v="362"/>
    <x v="2"/>
    <x v="5"/>
    <n v="2063"/>
    <n v="186.62142510906446"/>
    <s v="Low"/>
  </r>
  <r>
    <s v="5166 DAYTON Drive"/>
    <x v="22"/>
    <x v="0"/>
    <x v="427"/>
    <n v="5"/>
    <x v="2"/>
    <x v="2"/>
    <n v="1721"/>
    <n v="224.2882045322487"/>
    <s v="Medium"/>
  </r>
  <r>
    <s v="21359 Birchwood Street"/>
    <x v="38"/>
    <x v="0"/>
    <x v="427"/>
    <n v="45"/>
    <x v="3"/>
    <x v="5"/>
    <n v="2136"/>
    <n v="180.71161048689137"/>
    <s v="Low"/>
  </r>
  <r>
    <s v="6084 CHESHIRE PARK Drive"/>
    <x v="29"/>
    <x v="0"/>
    <x v="428"/>
    <n v="7"/>
    <x v="0"/>
    <x v="5"/>
    <n v="2068"/>
    <n v="186.89555125725337"/>
    <s v="Low"/>
  </r>
  <r>
    <s v="4120 YORBA LINDA Boulevard"/>
    <x v="18"/>
    <x v="0"/>
    <x v="429"/>
    <n v="4"/>
    <x v="2"/>
    <x v="2"/>
    <n v="1382"/>
    <n v="280.39073806078147"/>
    <s v="Medium"/>
  </r>
  <r>
    <s v="1803 Nakota Road"/>
    <x v="18"/>
    <x v="0"/>
    <x v="430"/>
    <n v="0"/>
    <x v="0"/>
    <x v="2"/>
    <n v="1311"/>
    <n v="295.9572845156369"/>
    <s v="Medium"/>
  </r>
  <r>
    <s v="1647 E Commerce Street"/>
    <x v="49"/>
    <x v="0"/>
    <x v="431"/>
    <n v="6"/>
    <x v="2"/>
    <x v="5"/>
    <n v="1894"/>
    <n v="205.38542766631468"/>
    <s v="Medium"/>
  </r>
  <r>
    <s v="25109 SCOTIA Road"/>
    <x v="50"/>
    <x v="0"/>
    <x v="431"/>
    <n v="11"/>
    <x v="2"/>
    <x v="5"/>
    <n v="1975"/>
    <n v="196.96202531645571"/>
    <s v="Low"/>
  </r>
  <r>
    <s v="4053 ABERDEEN Court"/>
    <x v="24"/>
    <x v="0"/>
    <x v="432"/>
    <n v="39"/>
    <x v="0"/>
    <x v="5"/>
    <n v="2488"/>
    <n v="156.45096463022509"/>
    <s v="Low"/>
  </r>
  <r>
    <s v="24411 Ridgeview Drive"/>
    <x v="11"/>
    <x v="0"/>
    <x v="433"/>
    <n v="0"/>
    <x v="2"/>
    <x v="2"/>
    <n v="1753"/>
    <n v="222.47575584711922"/>
    <s v="Medium"/>
  </r>
  <r>
    <s v="1130 MAXWELL Avenue"/>
    <x v="18"/>
    <x v="0"/>
    <x v="433"/>
    <n v="6"/>
    <x v="2"/>
    <x v="2"/>
    <n v="1070"/>
    <n v="364.48598130841123"/>
    <s v="High"/>
  </r>
  <r>
    <s v="24411 RIDGEVIEW Drive"/>
    <x v="11"/>
    <x v="0"/>
    <x v="433"/>
    <n v="4"/>
    <x v="2"/>
    <x v="2"/>
    <n v="1753"/>
    <n v="222.47575584711922"/>
    <s v="Medium"/>
  </r>
  <r>
    <s v="4203 SUNBURST Avenue"/>
    <x v="0"/>
    <x v="0"/>
    <x v="433"/>
    <n v="14"/>
    <x v="2"/>
    <x v="4"/>
    <n v="2127"/>
    <n v="183.35684062059238"/>
    <s v="Low"/>
  </r>
  <r>
    <s v="6736 ELLINWOOD Drive"/>
    <x v="10"/>
    <x v="0"/>
    <x v="433"/>
    <n v="26"/>
    <x v="0"/>
    <x v="5"/>
    <n v="2094"/>
    <n v="186.2464183381089"/>
    <s v="Low"/>
  </r>
  <r>
    <s v="4029 Maiden Street"/>
    <x v="0"/>
    <x v="0"/>
    <x v="433"/>
    <n v="48"/>
    <x v="2"/>
    <x v="5"/>
    <n v="1669"/>
    <n v="233.67285799880167"/>
    <s v="Medium"/>
  </r>
  <r>
    <s v="5079 THORNCROFT Avenue"/>
    <x v="18"/>
    <x v="0"/>
    <x v="433"/>
    <n v="3"/>
    <x v="0"/>
    <x v="5"/>
    <n v="2126"/>
    <n v="183.44308560677328"/>
    <s v="Low"/>
  </r>
  <r>
    <s v="7537 BISCAYNE Avenue"/>
    <x v="10"/>
    <x v="0"/>
    <x v="433"/>
    <n v="75"/>
    <x v="2"/>
    <x v="3"/>
    <n v="1700"/>
    <n v="229.41176470588235"/>
    <s v="Medium"/>
  </r>
  <r>
    <s v="2758 Hillendale Drive"/>
    <x v="3"/>
    <x v="0"/>
    <x v="433"/>
    <n v="30"/>
    <x v="0"/>
    <x v="5"/>
    <n v="1531"/>
    <n v="254.73546701502286"/>
    <s v="Medium"/>
  </r>
  <r>
    <s v="2558 NOTTINGHAM"/>
    <x v="0"/>
    <x v="0"/>
    <x v="433"/>
    <n v="77"/>
    <x v="0"/>
    <x v="5"/>
    <n v="2577"/>
    <n v="151.33876600698486"/>
    <s v="Low"/>
  </r>
  <r>
    <s v="25436 WAREHAM Drive"/>
    <x v="50"/>
    <x v="0"/>
    <x v="433"/>
    <n v="28"/>
    <x v="2"/>
    <x v="5"/>
    <n v="1855"/>
    <n v="210.24258760107816"/>
    <s v="Medium"/>
  </r>
  <r>
    <s v="17124 Buckingham"/>
    <x v="41"/>
    <x v="0"/>
    <x v="433"/>
    <n v="38"/>
    <x v="2"/>
    <x v="3"/>
    <n v="1300"/>
    <n v="300"/>
    <s v="Medium"/>
  </r>
  <r>
    <s v="29083 APPLEBLOSSOM Lane"/>
    <x v="11"/>
    <x v="0"/>
    <x v="433"/>
    <n v="16"/>
    <x v="0"/>
    <x v="5"/>
    <n v="3104"/>
    <n v="125.64432989690722"/>
    <s v="Low"/>
  </r>
  <r>
    <s v="5800 Appian  Way"/>
    <x v="0"/>
    <x v="0"/>
    <x v="433"/>
    <n v="222"/>
    <x v="2"/>
    <x v="2"/>
    <n v="1625"/>
    <n v="240"/>
    <s v="Medium"/>
  </r>
  <r>
    <s v="2449 HOLLY HEIGHTS Road"/>
    <x v="45"/>
    <x v="0"/>
    <x v="434"/>
    <n v="5"/>
    <x v="0"/>
    <x v="5"/>
    <n v="2395"/>
    <n v="163.8830897703549"/>
    <s v="Low"/>
  </r>
  <r>
    <s v="3811 BALD MOUNTAIN Road"/>
    <x v="13"/>
    <x v="0"/>
    <x v="435"/>
    <n v="6"/>
    <x v="0"/>
    <x v="4"/>
    <n v="1755"/>
    <n v="225.07122507122506"/>
    <s v="Medium"/>
  </r>
  <r>
    <s v="2617 WOODLAND Avenue"/>
    <x v="18"/>
    <x v="0"/>
    <x v="435"/>
    <n v="27"/>
    <x v="0"/>
    <x v="2"/>
    <n v="1390"/>
    <n v="284.17266187050359"/>
    <s v="Medium"/>
  </r>
  <r>
    <s v="25441 LOIS Lane"/>
    <x v="12"/>
    <x v="0"/>
    <x v="435"/>
    <n v="6"/>
    <x v="3"/>
    <x v="5"/>
    <n v="2621"/>
    <n v="150.7058374666158"/>
    <s v="Low"/>
  </r>
  <r>
    <s v="2428 MALENA Lane"/>
    <x v="43"/>
    <x v="0"/>
    <x v="436"/>
    <n v="107"/>
    <x v="2"/>
    <x v="4"/>
    <n v="2069"/>
    <n v="191.39681005316578"/>
    <s v="Low"/>
  </r>
  <r>
    <s v="6500 GRAHAM Road"/>
    <x v="0"/>
    <x v="0"/>
    <x v="437"/>
    <n v="5"/>
    <x v="2"/>
    <x v="5"/>
    <n v="1756"/>
    <n v="227.22095671981776"/>
    <s v="Medium"/>
  </r>
  <r>
    <s v="13364 BALFOUR Avenue"/>
    <x v="50"/>
    <x v="0"/>
    <x v="438"/>
    <n v="26"/>
    <x v="0"/>
    <x v="2"/>
    <n v="1487"/>
    <n v="268.93073301950233"/>
    <s v="Medium"/>
  </r>
  <r>
    <s v="303 Samantha Way"/>
    <x v="45"/>
    <x v="0"/>
    <x v="438"/>
    <n v="157"/>
    <x v="0"/>
    <x v="5"/>
    <n v="2063"/>
    <n v="193.84391662627243"/>
    <s v="Low"/>
  </r>
  <r>
    <s v="26 ROCHDALE Drive S"/>
    <x v="3"/>
    <x v="0"/>
    <x v="439"/>
    <n v="0"/>
    <x v="2"/>
    <x v="2"/>
    <n v="1933"/>
    <n v="206.93222969477497"/>
    <s v="Medium"/>
  </r>
  <r>
    <s v="31236  Oak Valley  Drive"/>
    <x v="11"/>
    <x v="0"/>
    <x v="439"/>
    <n v="12"/>
    <x v="0"/>
    <x v="5"/>
    <n v="2590"/>
    <n v="154.44015444015443"/>
    <s v="Low"/>
  </r>
  <r>
    <s v="622 BALDWIN Avenue"/>
    <x v="18"/>
    <x v="0"/>
    <x v="439"/>
    <n v="6"/>
    <x v="2"/>
    <x v="1"/>
    <n v="1334"/>
    <n v="299.85007496251876"/>
    <s v="Medium"/>
  </r>
  <r>
    <s v="1182 WINTHROP Drive"/>
    <x v="22"/>
    <x v="0"/>
    <x v="439"/>
    <n v="5"/>
    <x v="2"/>
    <x v="5"/>
    <n v="1536"/>
    <n v="260.41666666666669"/>
    <s v="Medium"/>
  </r>
  <r>
    <s v="7481 Pine Creek Trail"/>
    <x v="0"/>
    <x v="0"/>
    <x v="439"/>
    <n v="1"/>
    <x v="2"/>
    <x v="4"/>
    <n v="2120"/>
    <n v="188.67924528301887"/>
    <s v="Low"/>
  </r>
  <r>
    <s v="924 Eastcreek Drive"/>
    <x v="16"/>
    <x v="0"/>
    <x v="439"/>
    <n v="16"/>
    <x v="2"/>
    <x v="5"/>
    <n v="2402"/>
    <n v="166.5278934221482"/>
    <s v="Low"/>
  </r>
  <r>
    <s v="1240 NAKOMIS Trail"/>
    <x v="13"/>
    <x v="0"/>
    <x v="439"/>
    <n v="10"/>
    <x v="2"/>
    <x v="8"/>
    <n v="1772"/>
    <n v="225.73363431151242"/>
    <s v="Medium"/>
  </r>
  <r>
    <s v="25157 APPLETON Drive"/>
    <x v="11"/>
    <x v="0"/>
    <x v="439"/>
    <n v="70"/>
    <x v="0"/>
    <x v="5"/>
    <n v="3000"/>
    <n v="133.33333333333334"/>
    <s v="Low"/>
  </r>
  <r>
    <s v="2587 Wenona Drive"/>
    <x v="47"/>
    <x v="0"/>
    <x v="439"/>
    <n v="89"/>
    <x v="2"/>
    <x v="5"/>
    <n v="1864"/>
    <n v="214.59227467811158"/>
    <s v="Medium"/>
  </r>
  <r>
    <s v="925 CARRINGTON Drive"/>
    <x v="52"/>
    <x v="0"/>
    <x v="439"/>
    <n v="5"/>
    <x v="2"/>
    <x v="9"/>
    <n v="1231"/>
    <n v="324.93907392363934"/>
    <s v="High"/>
  </r>
  <r>
    <s v="510 Lake Village Avenue"/>
    <x v="0"/>
    <x v="0"/>
    <x v="439"/>
    <n v="23"/>
    <x v="0"/>
    <x v="5"/>
    <n v="2616"/>
    <n v="152.9051987767584"/>
    <s v="Low"/>
  </r>
  <r>
    <s v="411 Broadleaf"/>
    <x v="35"/>
    <x v="0"/>
    <x v="439"/>
    <n v="54"/>
    <x v="2"/>
    <x v="5"/>
    <n v="2089"/>
    <n v="191.47917663954044"/>
    <s v="Low"/>
  </r>
  <r>
    <s v="20757 LUJON Drive"/>
    <x v="11"/>
    <x v="0"/>
    <x v="439"/>
    <n v="48"/>
    <x v="2"/>
    <x v="5"/>
    <n v="2000"/>
    <n v="200"/>
    <s v="Low"/>
  </r>
  <r>
    <s v="1193 QUAIL RIDGE Drive"/>
    <x v="43"/>
    <x v="0"/>
    <x v="439"/>
    <n v="35"/>
    <x v="0"/>
    <x v="5"/>
    <n v="2203"/>
    <n v="181.57058556513846"/>
    <s v="Low"/>
  </r>
  <r>
    <s v="3070 KANE Court"/>
    <x v="14"/>
    <x v="0"/>
    <x v="439"/>
    <n v="3"/>
    <x v="2"/>
    <x v="5"/>
    <n v="1832"/>
    <n v="218.34061135371178"/>
    <s v="Medium"/>
  </r>
  <r>
    <s v="5080 WHITE TAIL"/>
    <x v="14"/>
    <x v="0"/>
    <x v="439"/>
    <n v="66"/>
    <x v="0"/>
    <x v="5"/>
    <n v="2300"/>
    <n v="173.91304347826087"/>
    <s v="Low"/>
  </r>
  <r>
    <s v="5452 Charrington"/>
    <x v="24"/>
    <x v="0"/>
    <x v="440"/>
    <n v="9"/>
    <x v="0"/>
    <x v="4"/>
    <n v="2355"/>
    <n v="169.85520169851381"/>
    <s v="Low"/>
  </r>
  <r>
    <s v="24400 BORDERHILL"/>
    <x v="2"/>
    <x v="0"/>
    <x v="441"/>
    <n v="8"/>
    <x v="0"/>
    <x v="5"/>
    <n v="2026"/>
    <n v="197.92694965449161"/>
    <s v="Low"/>
  </r>
  <r>
    <s v="3106 N ALEXANDER Avenue"/>
    <x v="18"/>
    <x v="0"/>
    <x v="442"/>
    <n v="6"/>
    <x v="2"/>
    <x v="2"/>
    <n v="1332"/>
    <n v="301.80180180180179"/>
    <s v="High"/>
  </r>
  <r>
    <s v="1119 W SELFRIDGE Boulevard"/>
    <x v="30"/>
    <x v="0"/>
    <x v="442"/>
    <n v="6"/>
    <x v="2"/>
    <x v="3"/>
    <n v="1656"/>
    <n v="242.75362318840581"/>
    <s v="Medium"/>
  </r>
  <r>
    <s v="259 W OAKRIDGE Street"/>
    <x v="6"/>
    <x v="0"/>
    <x v="443"/>
    <n v="98"/>
    <x v="2"/>
    <x v="3"/>
    <n v="1674"/>
    <n v="240.442054958184"/>
    <s v="Medium"/>
  </r>
  <r>
    <s v="6188 BOROWY Drive"/>
    <x v="14"/>
    <x v="0"/>
    <x v="443"/>
    <n v="5"/>
    <x v="0"/>
    <x v="2"/>
    <n v="1768"/>
    <n v="227.65837104072398"/>
    <s v="Medium"/>
  </r>
  <r>
    <s v="3589 WAKEFIELD Drive"/>
    <x v="22"/>
    <x v="0"/>
    <x v="444"/>
    <n v="12"/>
    <x v="2"/>
    <x v="4"/>
    <n v="1660"/>
    <n v="243.07228915662651"/>
    <s v="Medium"/>
  </r>
  <r>
    <s v="923 Gardenia Avenue"/>
    <x v="18"/>
    <x v="0"/>
    <x v="445"/>
    <n v="2"/>
    <x v="2"/>
    <x v="10"/>
    <n v="1750"/>
    <n v="230.85714285714286"/>
    <s v="Medium"/>
  </r>
  <r>
    <s v="26644 ISLEWORTH Point"/>
    <x v="12"/>
    <x v="0"/>
    <x v="446"/>
    <n v="0"/>
    <x v="2"/>
    <x v="5"/>
    <n v="1851"/>
    <n v="218.80064829821717"/>
    <s v="Medium"/>
  </r>
  <r>
    <s v="1822 HAYNES Street"/>
    <x v="40"/>
    <x v="0"/>
    <x v="446"/>
    <n v="2"/>
    <x v="2"/>
    <x v="2"/>
    <n v="1024"/>
    <n v="395.5078125"/>
    <s v="High"/>
  </r>
  <r>
    <s v="31538 Madison Ave"/>
    <x v="8"/>
    <x v="0"/>
    <x v="446"/>
    <n v="8"/>
    <x v="2"/>
    <x v="3"/>
    <n v="1747"/>
    <n v="231.82598740698339"/>
    <s v="Medium"/>
  </r>
  <r>
    <s v="1551 JOHN R Road"/>
    <x v="3"/>
    <x v="0"/>
    <x v="446"/>
    <n v="6"/>
    <x v="0"/>
    <x v="10"/>
    <n v="2100"/>
    <n v="192.85714285714286"/>
    <s v="Low"/>
  </r>
  <r>
    <s v="4160 CUMMINGS Avenue"/>
    <x v="25"/>
    <x v="0"/>
    <x v="446"/>
    <n v="9"/>
    <x v="2"/>
    <x v="2"/>
    <n v="1146"/>
    <n v="353.40314136125653"/>
    <s v="High"/>
  </r>
  <r>
    <s v="10350 DARTMOUTH Road"/>
    <x v="29"/>
    <x v="0"/>
    <x v="446"/>
    <n v="69"/>
    <x v="0"/>
    <x v="2"/>
    <n v="1638"/>
    <n v="247.25274725274724"/>
    <s v="Medium"/>
  </r>
  <r>
    <s v="960 Stratford Drive"/>
    <x v="16"/>
    <x v="0"/>
    <x v="447"/>
    <n v="34"/>
    <x v="2"/>
    <x v="5"/>
    <n v="1481"/>
    <n v="274.13909520594194"/>
    <s v="Medium"/>
  </r>
  <r>
    <s v="40392 Franklin Mill Street"/>
    <x v="2"/>
    <x v="0"/>
    <x v="448"/>
    <n v="2"/>
    <x v="0"/>
    <x v="5"/>
    <n v="2124"/>
    <n v="191.61958568738228"/>
    <s v="Low"/>
  </r>
  <r>
    <s v="1080 WALLOON Way"/>
    <x v="13"/>
    <x v="0"/>
    <x v="448"/>
    <n v="28"/>
    <x v="0"/>
    <x v="5"/>
    <n v="1958"/>
    <n v="207.86516853932585"/>
    <s v="Medium"/>
  </r>
  <r>
    <s v="6362 ALMOND Lane"/>
    <x v="29"/>
    <x v="0"/>
    <x v="449"/>
    <n v="4"/>
    <x v="2"/>
    <x v="5"/>
    <n v="2028"/>
    <n v="201.42998027613413"/>
    <s v="Medium"/>
  </r>
  <r>
    <s v="259 N BIRCH HILL Drive"/>
    <x v="35"/>
    <x v="0"/>
    <x v="450"/>
    <n v="99"/>
    <x v="0"/>
    <x v="5"/>
    <n v="2136"/>
    <n v="191.47940074906367"/>
    <s v="Low"/>
  </r>
  <r>
    <s v="13369 VICTORIA Avenue"/>
    <x v="50"/>
    <x v="0"/>
    <x v="451"/>
    <n v="25"/>
    <x v="0"/>
    <x v="5"/>
    <n v="1362"/>
    <n v="301.02790014684285"/>
    <s v="High"/>
  </r>
  <r>
    <s v="920 Shenandoah Court"/>
    <x v="30"/>
    <x v="0"/>
    <x v="451"/>
    <n v="5"/>
    <x v="2"/>
    <x v="5"/>
    <n v="1500"/>
    <n v="273.33333333333331"/>
    <s v="Medium"/>
  </r>
  <r>
    <s v="2854 YORK Road"/>
    <x v="3"/>
    <x v="0"/>
    <x v="451"/>
    <n v="3"/>
    <x v="0"/>
    <x v="2"/>
    <n v="2160"/>
    <n v="189.81481481481481"/>
    <s v="Low"/>
  </r>
  <r>
    <s v="28696 ROXBURY Street"/>
    <x v="11"/>
    <x v="0"/>
    <x v="451"/>
    <n v="5"/>
    <x v="0"/>
    <x v="5"/>
    <n v="2440"/>
    <n v="168.03278688524591"/>
    <s v="Low"/>
  </r>
  <r>
    <s v="5112 KINGSFIELD Drive"/>
    <x v="24"/>
    <x v="0"/>
    <x v="451"/>
    <n v="10"/>
    <x v="0"/>
    <x v="5"/>
    <n v="2595"/>
    <n v="157.9961464354528"/>
    <s v="Low"/>
  </r>
  <r>
    <s v="30152 W 11 MILE Road"/>
    <x v="11"/>
    <x v="0"/>
    <x v="451"/>
    <n v="13"/>
    <x v="0"/>
    <x v="5"/>
    <n v="2450"/>
    <n v="167.34693877551021"/>
    <s v="Low"/>
  </r>
  <r>
    <s v="3605 Linwood Avenue"/>
    <x v="18"/>
    <x v="0"/>
    <x v="451"/>
    <n v="392"/>
    <x v="2"/>
    <x v="3"/>
    <n v="1391"/>
    <n v="294.75197699496766"/>
    <s v="Medium"/>
  </r>
  <r>
    <s v="917 N EDGEWORTH Avenue"/>
    <x v="18"/>
    <x v="0"/>
    <x v="451"/>
    <n v="28"/>
    <x v="0"/>
    <x v="2"/>
    <n v="1319"/>
    <n v="310.841546626232"/>
    <s v="High"/>
  </r>
  <r>
    <s v="9 WOODWARD HEIGHTS Boulevard"/>
    <x v="42"/>
    <x v="0"/>
    <x v="451"/>
    <n v="12"/>
    <x v="2"/>
    <x v="2"/>
    <n v="1530"/>
    <n v="267.97385620915031"/>
    <s v="Medium"/>
  </r>
  <r>
    <s v="1250 ORBAN"/>
    <x v="17"/>
    <x v="0"/>
    <x v="451"/>
    <n v="76"/>
    <x v="3"/>
    <x v="4"/>
    <n v="1942"/>
    <n v="211.12255406797115"/>
    <s v="Medium"/>
  </r>
  <r>
    <s v="671 W Oakridge Street"/>
    <x v="6"/>
    <x v="0"/>
    <x v="452"/>
    <n v="6"/>
    <x v="2"/>
    <x v="3"/>
    <n v="1331"/>
    <n v="308.79038317054847"/>
    <s v="High"/>
  </r>
  <r>
    <s v="3334 CUMMINGS Avenue"/>
    <x v="18"/>
    <x v="0"/>
    <x v="453"/>
    <n v="22"/>
    <x v="2"/>
    <x v="5"/>
    <n v="1856"/>
    <n v="221.89709051724137"/>
    <s v="Medium"/>
  </r>
  <r>
    <s v="32951 HAVERFORD Road"/>
    <x v="53"/>
    <x v="0"/>
    <x v="454"/>
    <n v="100"/>
    <x v="2"/>
    <x v="2"/>
    <n v="1456"/>
    <n v="282.96703296703299"/>
    <s v="Medium"/>
  </r>
  <r>
    <s v="59351 TRELAWNEY Drive"/>
    <x v="37"/>
    <x v="0"/>
    <x v="455"/>
    <n v="68"/>
    <x v="2"/>
    <x v="2"/>
    <n v="2365"/>
    <n v="174.41860465116278"/>
    <s v="Low"/>
  </r>
  <r>
    <s v="4660 MESA Court"/>
    <x v="29"/>
    <x v="0"/>
    <x v="455"/>
    <n v="236"/>
    <x v="0"/>
    <x v="5"/>
    <n v="2536"/>
    <n v="162.6577287066246"/>
    <s v="Low"/>
  </r>
  <r>
    <s v="4416 Yorktown Drive"/>
    <x v="24"/>
    <x v="0"/>
    <x v="456"/>
    <n v="5"/>
    <x v="0"/>
    <x v="5"/>
    <n v="2334"/>
    <n v="177.80634104541559"/>
    <s v="Low"/>
  </r>
  <r>
    <s v="13180 Woodland Trail"/>
    <x v="28"/>
    <x v="0"/>
    <x v="456"/>
    <n v="8"/>
    <x v="0"/>
    <x v="5"/>
    <n v="2700"/>
    <n v="153.7037037037037"/>
    <s v="Low"/>
  </r>
  <r>
    <s v="2098 BROWNING Street"/>
    <x v="6"/>
    <x v="0"/>
    <x v="456"/>
    <n v="40"/>
    <x v="2"/>
    <x v="2"/>
    <n v="1560"/>
    <n v="266.02564102564105"/>
    <s v="Medium"/>
  </r>
  <r>
    <s v="2752 RHINEBERRY Road"/>
    <x v="3"/>
    <x v="0"/>
    <x v="456"/>
    <n v="15"/>
    <x v="2"/>
    <x v="10"/>
    <n v="2039"/>
    <n v="203.53114271701816"/>
    <s v="Medium"/>
  </r>
  <r>
    <s v="656 ROLLING ROCK Road"/>
    <x v="48"/>
    <x v="0"/>
    <x v="456"/>
    <n v="3"/>
    <x v="0"/>
    <x v="5"/>
    <n v="2729"/>
    <n v="152.07035544155369"/>
    <s v="Low"/>
  </r>
  <r>
    <s v="31215 Huntley Ct."/>
    <x v="41"/>
    <x v="0"/>
    <x v="456"/>
    <n v="2"/>
    <x v="0"/>
    <x v="5"/>
    <n v="2014"/>
    <n v="206.05759682224428"/>
    <s v="Medium"/>
  </r>
  <r>
    <s v="1211 WEBSTER Street"/>
    <x v="40"/>
    <x v="0"/>
    <x v="456"/>
    <n v="61"/>
    <x v="0"/>
    <x v="1"/>
    <n v="955"/>
    <n v="434.55497382198951"/>
    <s v="High"/>
  </r>
  <r>
    <s v="2985 Walmsley Circle Drive"/>
    <x v="13"/>
    <x v="0"/>
    <x v="456"/>
    <n v="23"/>
    <x v="3"/>
    <x v="5"/>
    <n v="2545"/>
    <n v="163.06483300589392"/>
    <s v="Low"/>
  </r>
  <r>
    <s v="1772 HERON VIEW"/>
    <x v="24"/>
    <x v="0"/>
    <x v="456"/>
    <n v="20"/>
    <x v="0"/>
    <x v="4"/>
    <n v="2313"/>
    <n v="179.42066580198875"/>
    <s v="Low"/>
  </r>
  <r>
    <s v="581 ALEXANDER Drive"/>
    <x v="14"/>
    <x v="0"/>
    <x v="457"/>
    <n v="6"/>
    <x v="2"/>
    <x v="10"/>
    <n v="1456"/>
    <n v="285.42651098901098"/>
    <s v="Medium"/>
  </r>
  <r>
    <s v="1229 CAMBRIDGE Road"/>
    <x v="25"/>
    <x v="0"/>
    <x v="458"/>
    <n v="4"/>
    <x v="2"/>
    <x v="10"/>
    <n v="1128"/>
    <n v="368.79432624113474"/>
    <s v="High"/>
  </r>
  <r>
    <s v="812 CAMBRIDGE Road"/>
    <x v="25"/>
    <x v="0"/>
    <x v="458"/>
    <n v="5"/>
    <x v="2"/>
    <x v="2"/>
    <n v="1422"/>
    <n v="292.54571026722925"/>
    <s v="Medium"/>
  </r>
  <r>
    <s v="485 Grace"/>
    <x v="3"/>
    <x v="0"/>
    <x v="458"/>
    <n v="8"/>
    <x v="2"/>
    <x v="10"/>
    <n v="1572"/>
    <n v="264.63104325699743"/>
    <s v="Medium"/>
  </r>
  <r>
    <s v="2926 ALEXANDER Avenue"/>
    <x v="3"/>
    <x v="0"/>
    <x v="459"/>
    <n v="36"/>
    <x v="2"/>
    <x v="4"/>
    <n v="1747"/>
    <n v="238.6949055523755"/>
    <s v="Medium"/>
  </r>
  <r>
    <s v="1898 HUMPHREY Avenue"/>
    <x v="40"/>
    <x v="0"/>
    <x v="460"/>
    <n v="8"/>
    <x v="2"/>
    <x v="2"/>
    <n v="950"/>
    <n v="439.4736842105263"/>
    <s v="High"/>
  </r>
  <r>
    <s v="2011 N COATS Road"/>
    <x v="43"/>
    <x v="0"/>
    <x v="461"/>
    <n v="350"/>
    <x v="3"/>
    <x v="10"/>
    <n v="2209"/>
    <n v="189.67858759619736"/>
    <s v="Low"/>
  </r>
  <r>
    <s v="7350 OAK HILL Road"/>
    <x v="20"/>
    <x v="0"/>
    <x v="461"/>
    <n v="263"/>
    <x v="3"/>
    <x v="10"/>
    <n v="2526"/>
    <n v="165.87490102929533"/>
    <s v="Low"/>
  </r>
  <r>
    <s v="6556 AMY Drive"/>
    <x v="29"/>
    <x v="0"/>
    <x v="462"/>
    <n v="145"/>
    <x v="2"/>
    <x v="5"/>
    <n v="1829"/>
    <n v="229.5790049207217"/>
    <s v="Medium"/>
  </r>
  <r>
    <s v="2210 HUNT CLUB Drive"/>
    <x v="54"/>
    <x v="0"/>
    <x v="463"/>
    <n v="0"/>
    <x v="0"/>
    <x v="5"/>
    <n v="2312"/>
    <n v="181.66089965397924"/>
    <s v="Low"/>
  </r>
  <r>
    <s v="5683 GREENBRIAR Drive"/>
    <x v="24"/>
    <x v="0"/>
    <x v="463"/>
    <n v="21"/>
    <x v="0"/>
    <x v="5"/>
    <n v="2350"/>
    <n v="178.72340425531914"/>
    <s v="Low"/>
  </r>
  <r>
    <s v="5393 PATTERSON Drive"/>
    <x v="22"/>
    <x v="0"/>
    <x v="463"/>
    <n v="3"/>
    <x v="0"/>
    <x v="5"/>
    <n v="2105"/>
    <n v="199.52494061757719"/>
    <s v="Low"/>
  </r>
  <r>
    <s v="22500 STAUNTON Street"/>
    <x v="12"/>
    <x v="0"/>
    <x v="463"/>
    <n v="6"/>
    <x v="0"/>
    <x v="5"/>
    <n v="2322"/>
    <n v="180.87855297157623"/>
    <s v="Low"/>
  </r>
  <r>
    <s v="1563 Colony"/>
    <x v="3"/>
    <x v="0"/>
    <x v="463"/>
    <n v="16"/>
    <x v="2"/>
    <x v="5"/>
    <n v="1276"/>
    <n v="329.15360501567397"/>
    <s v="High"/>
  </r>
  <r>
    <s v="3225 S Hartslock Woods  Drive"/>
    <x v="24"/>
    <x v="0"/>
    <x v="463"/>
    <n v="131"/>
    <x v="0"/>
    <x v="5"/>
    <n v="2681"/>
    <n v="156.65796344647521"/>
    <s v="Low"/>
  </r>
  <r>
    <s v="24374 COTE DNEL Drive"/>
    <x v="11"/>
    <x v="0"/>
    <x v="464"/>
    <n v="25"/>
    <x v="0"/>
    <x v="4"/>
    <n v="2832"/>
    <n v="148.65819209039549"/>
    <s v="Low"/>
  </r>
  <r>
    <s v="306 Samantha Way"/>
    <x v="45"/>
    <x v="0"/>
    <x v="465"/>
    <n v="0"/>
    <x v="2"/>
    <x v="2"/>
    <n v="1603"/>
    <n v="263.43730505302557"/>
    <s v="Medium"/>
  </r>
  <r>
    <s v="822 SPRINGFIELD Drive"/>
    <x v="52"/>
    <x v="0"/>
    <x v="466"/>
    <n v="3"/>
    <x v="0"/>
    <x v="10"/>
    <n v="2682"/>
    <n v="158.46383296047725"/>
    <s v="Low"/>
  </r>
  <r>
    <s v="710 E 2ND Street"/>
    <x v="18"/>
    <x v="0"/>
    <x v="466"/>
    <n v="2"/>
    <x v="0"/>
    <x v="2"/>
    <n v="1300"/>
    <n v="326.92307692307691"/>
    <s v="High"/>
  </r>
  <r>
    <s v="3868 Lake Oakland Shores"/>
    <x v="0"/>
    <x v="0"/>
    <x v="466"/>
    <n v="5"/>
    <x v="0"/>
    <x v="5"/>
    <n v="2052"/>
    <n v="207.1150097465887"/>
    <s v="Medium"/>
  </r>
  <r>
    <s v="207 NAKOTA Street"/>
    <x v="30"/>
    <x v="0"/>
    <x v="466"/>
    <n v="4"/>
    <x v="2"/>
    <x v="2"/>
    <n v="1030"/>
    <n v="412.621359223301"/>
    <s v="High"/>
  </r>
  <r>
    <s v="4275 E NEWLAND Drive"/>
    <x v="24"/>
    <x v="0"/>
    <x v="466"/>
    <n v="3"/>
    <x v="0"/>
    <x v="3"/>
    <n v="2204"/>
    <n v="192.83121597096189"/>
    <s v="Low"/>
  </r>
  <r>
    <s v="1606 Amelia"/>
    <x v="18"/>
    <x v="0"/>
    <x v="466"/>
    <n v="12"/>
    <x v="3"/>
    <x v="2"/>
    <n v="2110"/>
    <n v="201.4218009478673"/>
    <s v="Medium"/>
  </r>
  <r>
    <s v="4109 AMHERST Road"/>
    <x v="18"/>
    <x v="0"/>
    <x v="466"/>
    <n v="4"/>
    <x v="2"/>
    <x v="2"/>
    <n v="1192"/>
    <n v="356.54362416107381"/>
    <s v="High"/>
  </r>
  <r>
    <s v="1982 E LINCOLN Street"/>
    <x v="40"/>
    <x v="0"/>
    <x v="466"/>
    <n v="3"/>
    <x v="2"/>
    <x v="3"/>
    <n v="1065"/>
    <n v="399.06103286384979"/>
    <s v="High"/>
  </r>
  <r>
    <s v="3443 Clarice Avenue W"/>
    <x v="17"/>
    <x v="0"/>
    <x v="466"/>
    <n v="22"/>
    <x v="2"/>
    <x v="2"/>
    <n v="2157"/>
    <n v="197.0329160871581"/>
    <s v="Low"/>
  </r>
  <r>
    <s v="681 pine ridge Avenue"/>
    <x v="43"/>
    <x v="0"/>
    <x v="466"/>
    <n v="1"/>
    <x v="0"/>
    <x v="4"/>
    <n v="2174"/>
    <n v="195.4921803127875"/>
    <s v="Low"/>
  </r>
  <r>
    <s v="17247 SHERFIELD"/>
    <x v="12"/>
    <x v="0"/>
    <x v="466"/>
    <n v="6"/>
    <x v="0"/>
    <x v="5"/>
    <n v="2320"/>
    <n v="183.18965517241378"/>
    <s v="Low"/>
  </r>
  <r>
    <s v="4675 PEBBLE Court"/>
    <x v="10"/>
    <x v="0"/>
    <x v="466"/>
    <n v="15"/>
    <x v="2"/>
    <x v="5"/>
    <n v="1813"/>
    <n v="234.41809156094871"/>
    <s v="Medium"/>
  </r>
  <r>
    <s v="26 FAIRWOOD Boulevard"/>
    <x v="42"/>
    <x v="0"/>
    <x v="466"/>
    <n v="31"/>
    <x v="2"/>
    <x v="3"/>
    <n v="1450"/>
    <n v="293.10344827586209"/>
    <s v="Medium"/>
  </r>
  <r>
    <s v="34046 Northwick Street"/>
    <x v="11"/>
    <x v="0"/>
    <x v="466"/>
    <n v="24"/>
    <x v="0"/>
    <x v="5"/>
    <n v="2315"/>
    <n v="183.58531317494601"/>
    <s v="Low"/>
  </r>
  <r>
    <s v="1311 N ALTADENA Avenue"/>
    <x v="18"/>
    <x v="0"/>
    <x v="466"/>
    <n v="4"/>
    <x v="2"/>
    <x v="2"/>
    <n v="1195"/>
    <n v="355.64853556485355"/>
    <s v="High"/>
  </r>
  <r>
    <s v="23045 LAUREL VALLEY Street"/>
    <x v="12"/>
    <x v="0"/>
    <x v="466"/>
    <n v="29"/>
    <x v="3"/>
    <x v="4"/>
    <n v="3221"/>
    <n v="131.94660043464762"/>
    <s v="Low"/>
  </r>
  <r>
    <s v="2957 WALMSLEY CIRCLE Drive"/>
    <x v="13"/>
    <x v="0"/>
    <x v="466"/>
    <n v="14"/>
    <x v="0"/>
    <x v="5"/>
    <n v="2468"/>
    <n v="172.20421393841167"/>
    <s v="Low"/>
  </r>
  <r>
    <s v="3760 EATON GATE Lane"/>
    <x v="5"/>
    <x v="0"/>
    <x v="466"/>
    <n v="81"/>
    <x v="0"/>
    <x v="5"/>
    <n v="2799"/>
    <n v="151.8399428367274"/>
    <s v="Low"/>
  </r>
  <r>
    <s v="441  Pinehurst Drive"/>
    <x v="3"/>
    <x v="0"/>
    <x v="466"/>
    <n v="30"/>
    <x v="0"/>
    <x v="5"/>
    <n v="2386"/>
    <n v="178.12238055322715"/>
    <s v="Low"/>
  </r>
  <r>
    <s v="2200 MILLSTREAM Drive"/>
    <x v="47"/>
    <x v="0"/>
    <x v="466"/>
    <n v="99"/>
    <x v="0"/>
    <x v="4"/>
    <n v="2600"/>
    <n v="163.46153846153845"/>
    <s v="Low"/>
  </r>
  <r>
    <s v="6327 Golf View"/>
    <x v="29"/>
    <x v="0"/>
    <x v="466"/>
    <n v="146"/>
    <x v="0"/>
    <x v="5"/>
    <n v="2427"/>
    <n v="175.11330861145447"/>
    <s v="Low"/>
  </r>
  <r>
    <s v="204 N Alexander"/>
    <x v="18"/>
    <x v="0"/>
    <x v="467"/>
    <n v="3"/>
    <x v="0"/>
    <x v="5"/>
    <n v="1838"/>
    <n v="231.71926006528835"/>
    <s v="Medium"/>
  </r>
  <r>
    <s v="220 S WILLIAMSBURY Road"/>
    <x v="48"/>
    <x v="0"/>
    <x v="468"/>
    <n v="39"/>
    <x v="2"/>
    <x v="5"/>
    <n v="1489"/>
    <n v="287.44123572867699"/>
    <s v="Medium"/>
  </r>
  <r>
    <s v="44 BROOKFIELD Drive"/>
    <x v="43"/>
    <x v="0"/>
    <x v="469"/>
    <n v="104"/>
    <x v="0"/>
    <x v="3"/>
    <n v="1984"/>
    <n v="216.68346774193549"/>
    <s v="Medium"/>
  </r>
  <r>
    <s v="495 Lakes Edge"/>
    <x v="31"/>
    <x v="0"/>
    <x v="469"/>
    <n v="41"/>
    <x v="0"/>
    <x v="5"/>
    <n v="2077"/>
    <n v="206.98122291766973"/>
    <s v="Medium"/>
  </r>
  <r>
    <s v="2094 Warrington Road"/>
    <x v="3"/>
    <x v="0"/>
    <x v="470"/>
    <n v="0"/>
    <x v="2"/>
    <x v="5"/>
    <n v="1711"/>
    <n v="251.31502045587376"/>
    <s v="Medium"/>
  </r>
  <r>
    <s v="1538 LEROY Street"/>
    <x v="6"/>
    <x v="0"/>
    <x v="470"/>
    <n v="7"/>
    <x v="2"/>
    <x v="2"/>
    <n v="1582"/>
    <n v="271.80783817951959"/>
    <s v="Medium"/>
  </r>
  <r>
    <s v="851 N BALDWIN Road"/>
    <x v="20"/>
    <x v="0"/>
    <x v="470"/>
    <n v="9"/>
    <x v="2"/>
    <x v="2"/>
    <n v="1613"/>
    <n v="266.58400495970244"/>
    <s v="Medium"/>
  </r>
  <r>
    <s v="324 HILLVIEW Street"/>
    <x v="3"/>
    <x v="0"/>
    <x v="470"/>
    <n v="10"/>
    <x v="2"/>
    <x v="2"/>
    <n v="2350"/>
    <n v="182.97872340425531"/>
    <s v="Low"/>
  </r>
  <r>
    <s v="653 WILWOOD Road"/>
    <x v="3"/>
    <x v="0"/>
    <x v="470"/>
    <n v="7"/>
    <x v="0"/>
    <x v="5"/>
    <n v="2210"/>
    <n v="194.57013574660633"/>
    <s v="Low"/>
  </r>
  <r>
    <s v="91 DOUGLAS Drive"/>
    <x v="48"/>
    <x v="0"/>
    <x v="470"/>
    <n v="38"/>
    <x v="0"/>
    <x v="5"/>
    <n v="1871"/>
    <n v="229.82362373062534"/>
    <s v="Medium"/>
  </r>
  <r>
    <s v="1420 VILLA Road"/>
    <x v="40"/>
    <x v="0"/>
    <x v="470"/>
    <n v="49"/>
    <x v="2"/>
    <x v="2"/>
    <n v="1144"/>
    <n v="375.87412587412587"/>
    <s v="High"/>
  </r>
  <r>
    <s v="1122 MILL VALLEY Street"/>
    <x v="3"/>
    <x v="0"/>
    <x v="470"/>
    <n v="21"/>
    <x v="2"/>
    <x v="2"/>
    <n v="1944"/>
    <n v="221.19341563786008"/>
    <s v="Medium"/>
  </r>
  <r>
    <s v="2464 WILLOW WAY Drive"/>
    <x v="14"/>
    <x v="0"/>
    <x v="470"/>
    <n v="46"/>
    <x v="2"/>
    <x v="10"/>
    <n v="2004"/>
    <n v="214.57085828343313"/>
    <s v="Medium"/>
  </r>
  <r>
    <s v="2369 HILLCRESCENT Drive"/>
    <x v="22"/>
    <x v="0"/>
    <x v="470"/>
    <n v="40"/>
    <x v="0"/>
    <x v="3"/>
    <n v="2072"/>
    <n v="207.52895752895753"/>
    <s v="Medium"/>
  </r>
  <r>
    <s v="3204 AVALON Road"/>
    <x v="3"/>
    <x v="0"/>
    <x v="470"/>
    <n v="62"/>
    <x v="0"/>
    <x v="4"/>
    <n v="2518"/>
    <n v="170.77045274027006"/>
    <s v="Low"/>
  </r>
  <r>
    <s v="3173 Rabeeh Drive"/>
    <x v="5"/>
    <x v="0"/>
    <x v="470"/>
    <n v="70"/>
    <x v="2"/>
    <x v="5"/>
    <n v="2249"/>
    <n v="191.19608714984437"/>
    <s v="Low"/>
  </r>
  <r>
    <s v="10104 Lincoln Drive"/>
    <x v="50"/>
    <x v="0"/>
    <x v="471"/>
    <n v="42"/>
    <x v="2"/>
    <x v="2"/>
    <n v="1515"/>
    <n v="284.48844884488449"/>
    <s v="Medium"/>
  </r>
  <r>
    <s v="1143 FOUNTAIN VIEW Lane"/>
    <x v="43"/>
    <x v="0"/>
    <x v="472"/>
    <n v="100"/>
    <x v="0"/>
    <x v="4"/>
    <n v="1824"/>
    <n v="236.84210526315789"/>
    <s v="Medium"/>
  </r>
  <r>
    <s v="3900 WALNUT LAKE Road"/>
    <x v="24"/>
    <x v="0"/>
    <x v="473"/>
    <n v="515"/>
    <x v="0"/>
    <x v="2"/>
    <n v="2400"/>
    <n v="180.20833333333334"/>
    <s v="Low"/>
  </r>
  <r>
    <s v="600 Market"/>
    <x v="43"/>
    <x v="0"/>
    <x v="474"/>
    <n v="27"/>
    <x v="0"/>
    <x v="8"/>
    <n v="2340"/>
    <n v="185.2863247863248"/>
    <s v="Low"/>
  </r>
  <r>
    <s v="6955 VERNMOOR Drive"/>
    <x v="22"/>
    <x v="0"/>
    <x v="475"/>
    <n v="25"/>
    <x v="2"/>
    <x v="10"/>
    <n v="1964"/>
    <n v="221.43584521384929"/>
    <s v="Medium"/>
  </r>
  <r>
    <s v="31250 Pierce"/>
    <x v="41"/>
    <x v="0"/>
    <x v="475"/>
    <n v="12"/>
    <x v="1"/>
    <x v="2"/>
    <n v="1449"/>
    <n v="300.13802622498275"/>
    <s v="High"/>
  </r>
  <r>
    <s v="132 Forest Way"/>
    <x v="45"/>
    <x v="0"/>
    <x v="475"/>
    <n v="84"/>
    <x v="0"/>
    <x v="5"/>
    <n v="2276"/>
    <n v="191.08084358523726"/>
    <s v="Low"/>
  </r>
  <r>
    <s v="1125 Ferris Avenue"/>
    <x v="18"/>
    <x v="0"/>
    <x v="476"/>
    <n v="2"/>
    <x v="0"/>
    <x v="2"/>
    <n v="1247"/>
    <n v="348.83720930232556"/>
    <s v="High"/>
  </r>
  <r>
    <s v="5484 WHITEHAVEN Drive"/>
    <x v="22"/>
    <x v="0"/>
    <x v="476"/>
    <n v="4"/>
    <x v="0"/>
    <x v="5"/>
    <n v="2256"/>
    <n v="192.81914893617022"/>
    <s v="Low"/>
  </r>
  <r>
    <s v="5562 ABINGTON Road"/>
    <x v="24"/>
    <x v="0"/>
    <x v="476"/>
    <n v="20"/>
    <x v="0"/>
    <x v="5"/>
    <n v="2722"/>
    <n v="159.80896399706097"/>
    <s v="Low"/>
  </r>
  <r>
    <s v="2043 DOWNHAM Drive"/>
    <x v="47"/>
    <x v="0"/>
    <x v="476"/>
    <n v="6"/>
    <x v="0"/>
    <x v="5"/>
    <n v="2201"/>
    <n v="197.63743752839619"/>
    <s v="Low"/>
  </r>
  <r>
    <s v="10128 HART Avenue"/>
    <x v="50"/>
    <x v="0"/>
    <x v="476"/>
    <n v="4"/>
    <x v="2"/>
    <x v="2"/>
    <n v="1470"/>
    <n v="295.91836734693879"/>
    <s v="Medium"/>
  </r>
  <r>
    <s v="41930 RIDGE Road E"/>
    <x v="2"/>
    <x v="0"/>
    <x v="476"/>
    <n v="5"/>
    <x v="0"/>
    <x v="5"/>
    <n v="1735"/>
    <n v="250.72046109510086"/>
    <s v="Medium"/>
  </r>
  <r>
    <s v="2637 White Pine  Drive"/>
    <x v="55"/>
    <x v="0"/>
    <x v="476"/>
    <n v="5"/>
    <x v="2"/>
    <x v="10"/>
    <n v="2012"/>
    <n v="216.2027833001988"/>
    <s v="Medium"/>
  </r>
  <r>
    <s v="1353 Lomas Verdes"/>
    <x v="3"/>
    <x v="0"/>
    <x v="476"/>
    <n v="17"/>
    <x v="2"/>
    <x v="5"/>
    <n v="2385"/>
    <n v="182.38993710691824"/>
    <s v="Low"/>
  </r>
  <r>
    <s v="1509 OWANA Avenue"/>
    <x v="18"/>
    <x v="0"/>
    <x v="476"/>
    <n v="7"/>
    <x v="0"/>
    <x v="4"/>
    <n v="1558"/>
    <n v="279.204107830552"/>
    <s v="Medium"/>
  </r>
  <r>
    <s v="6257 SANDSHORES Drive"/>
    <x v="22"/>
    <x v="0"/>
    <x v="476"/>
    <n v="0"/>
    <x v="2"/>
    <x v="9"/>
    <n v="1600"/>
    <n v="271.875"/>
    <s v="Medium"/>
  </r>
  <r>
    <s v="5794 SOUTHWARD Avenue"/>
    <x v="0"/>
    <x v="0"/>
    <x v="476"/>
    <n v="11"/>
    <x v="0"/>
    <x v="5"/>
    <n v="1317"/>
    <n v="330.29612756264237"/>
    <s v="High"/>
  </r>
  <r>
    <s v="37766 GLENGROVE Drive"/>
    <x v="11"/>
    <x v="0"/>
    <x v="476"/>
    <n v="18"/>
    <x v="0"/>
    <x v="5"/>
    <n v="3213"/>
    <n v="135.3874883286648"/>
    <s v="Low"/>
  </r>
  <r>
    <s v="195 TEGGERDINE Road"/>
    <x v="10"/>
    <x v="0"/>
    <x v="476"/>
    <n v="30"/>
    <x v="0"/>
    <x v="5"/>
    <n v="2064"/>
    <n v="210.75581395348837"/>
    <s v="Medium"/>
  </r>
  <r>
    <s v="24583 MILLCREEK Drive"/>
    <x v="11"/>
    <x v="0"/>
    <x v="477"/>
    <n v="7"/>
    <x v="0"/>
    <x v="5"/>
    <n v="2203"/>
    <n v="197.9119382660009"/>
    <s v="Low"/>
  </r>
  <r>
    <s v="1601 Grandview Drive"/>
    <x v="3"/>
    <x v="0"/>
    <x v="478"/>
    <n v="14"/>
    <x v="0"/>
    <x v="3"/>
    <n v="1897"/>
    <n v="230.62730627306274"/>
    <s v="Medium"/>
  </r>
  <r>
    <s v="4448 Crystal Creek"/>
    <x v="13"/>
    <x v="0"/>
    <x v="478"/>
    <n v="8"/>
    <x v="2"/>
    <x v="5"/>
    <n v="2450"/>
    <n v="178.57142857142858"/>
    <s v="Low"/>
  </r>
  <r>
    <s v="6589 Orion Road"/>
    <x v="3"/>
    <x v="0"/>
    <x v="479"/>
    <n v="38"/>
    <x v="2"/>
    <x v="5"/>
    <n v="1000"/>
    <n v="439"/>
    <s v="High"/>
  </r>
  <r>
    <s v="6589 ORION Road"/>
    <x v="3"/>
    <x v="0"/>
    <x v="479"/>
    <n v="66"/>
    <x v="2"/>
    <x v="5"/>
    <n v="2091"/>
    <n v="209.94739359158297"/>
    <s v="Medium"/>
  </r>
  <r>
    <s v="244 QUARTZ Way"/>
    <x v="10"/>
    <x v="0"/>
    <x v="480"/>
    <n v="91"/>
    <x v="0"/>
    <x v="5"/>
    <n v="2317"/>
    <n v="189.85757444971946"/>
    <s v="Low"/>
  </r>
  <r>
    <s v="Lot #137 Rockhaven"/>
    <x v="3"/>
    <x v="0"/>
    <x v="480"/>
    <n v="342"/>
    <x v="2"/>
    <x v="5"/>
    <n v="1735"/>
    <n v="253.54466858789624"/>
    <s v="Medium"/>
  </r>
  <r>
    <s v="25221 APPLETON Drive"/>
    <x v="11"/>
    <x v="0"/>
    <x v="481"/>
    <n v="4"/>
    <x v="0"/>
    <x v="5"/>
    <n v="2870"/>
    <n v="153.31010452961672"/>
    <s v="Low"/>
  </r>
  <r>
    <s v="13327 TALBOT Avenue"/>
    <x v="50"/>
    <x v="0"/>
    <x v="481"/>
    <n v="4"/>
    <x v="0"/>
    <x v="5"/>
    <n v="1586"/>
    <n v="277.42749054224464"/>
    <s v="Medium"/>
  </r>
  <r>
    <s v="3270 VIKING Drive"/>
    <x v="14"/>
    <x v="0"/>
    <x v="481"/>
    <n v="3"/>
    <x v="2"/>
    <x v="2"/>
    <n v="1636"/>
    <n v="268.94865525672373"/>
    <s v="Medium"/>
  </r>
  <r>
    <s v="4798 Calvert"/>
    <x v="22"/>
    <x v="0"/>
    <x v="481"/>
    <n v="5"/>
    <x v="0"/>
    <x v="5"/>
    <n v="2104"/>
    <n v="209.12547528517109"/>
    <s v="Medium"/>
  </r>
  <r>
    <s v="2720 ELIZABETH Lane"/>
    <x v="24"/>
    <x v="0"/>
    <x v="481"/>
    <n v="39"/>
    <x v="2"/>
    <x v="4"/>
    <n v="3151"/>
    <n v="139.63821009203429"/>
    <s v="Low"/>
  </r>
  <r>
    <s v="3051 HUNTINGDON Drive"/>
    <x v="24"/>
    <x v="0"/>
    <x v="481"/>
    <n v="61"/>
    <x v="2"/>
    <x v="5"/>
    <n v="2798"/>
    <n v="157.25518227305218"/>
    <s v="Low"/>
  </r>
  <r>
    <s v="4910 MALLARDS Landing"/>
    <x v="17"/>
    <x v="0"/>
    <x v="481"/>
    <n v="75"/>
    <x v="0"/>
    <x v="4"/>
    <n v="2070"/>
    <n v="212.56038647342996"/>
    <s v="Medium"/>
  </r>
  <r>
    <s v="702 DAVIS Avenue"/>
    <x v="40"/>
    <x v="0"/>
    <x v="481"/>
    <n v="62"/>
    <x v="2"/>
    <x v="3"/>
    <n v="1333"/>
    <n v="330.08252063015755"/>
    <s v="High"/>
  </r>
  <r>
    <s v="26557 OLD HOMESTEAD Drive"/>
    <x v="11"/>
    <x v="0"/>
    <x v="482"/>
    <n v="5"/>
    <x v="0"/>
    <x v="10"/>
    <n v="2160"/>
    <n v="204.39814814814815"/>
    <s v="Medium"/>
  </r>
  <r>
    <s v="308 Samantha  Way"/>
    <x v="45"/>
    <x v="0"/>
    <x v="483"/>
    <n v="0"/>
    <x v="2"/>
    <x v="10"/>
    <n v="2276"/>
    <n v="194.68585237258347"/>
    <s v="Low"/>
  </r>
  <r>
    <s v="2415 N Main Street"/>
    <x v="18"/>
    <x v="0"/>
    <x v="484"/>
    <n v="23"/>
    <x v="0"/>
    <x v="5"/>
    <n v="1620"/>
    <n v="273.76543209876542"/>
    <s v="Medium"/>
  </r>
  <r>
    <s v="2748 CANOE CIRCLE Drive"/>
    <x v="13"/>
    <x v="0"/>
    <x v="485"/>
    <n v="2"/>
    <x v="0"/>
    <x v="5"/>
    <n v="2557"/>
    <n v="174.03206883066093"/>
    <s v="Low"/>
  </r>
  <r>
    <s v="384 Franklin Lake Circle"/>
    <x v="43"/>
    <x v="0"/>
    <x v="485"/>
    <n v="18"/>
    <x v="0"/>
    <x v="5"/>
    <n v="2604"/>
    <n v="170.89093701996927"/>
    <s v="Low"/>
  </r>
  <r>
    <s v="37972 TRALEE Trail"/>
    <x v="52"/>
    <x v="0"/>
    <x v="485"/>
    <n v="74"/>
    <x v="2"/>
    <x v="4"/>
    <n v="2108"/>
    <n v="211.10056925996204"/>
    <s v="Medium"/>
  </r>
  <r>
    <s v="1015 BRENTHAVEN Drive"/>
    <x v="48"/>
    <x v="0"/>
    <x v="485"/>
    <n v="4"/>
    <x v="0"/>
    <x v="5"/>
    <n v="2500"/>
    <n v="178"/>
    <s v="Low"/>
  </r>
  <r>
    <s v="272 QUARTZ Way"/>
    <x v="10"/>
    <x v="0"/>
    <x v="486"/>
    <n v="30"/>
    <x v="0"/>
    <x v="5"/>
    <n v="2616"/>
    <n v="170.67278287461772"/>
    <s v="Low"/>
  </r>
  <r>
    <s v="4303 N VERONA Circle"/>
    <x v="18"/>
    <x v="0"/>
    <x v="487"/>
    <n v="3"/>
    <x v="2"/>
    <x v="3"/>
    <n v="1547"/>
    <n v="288.62314156431802"/>
    <s v="Medium"/>
  </r>
  <r>
    <s v="2376 BROWNING Drive"/>
    <x v="13"/>
    <x v="0"/>
    <x v="488"/>
    <n v="95"/>
    <x v="3"/>
    <x v="10"/>
    <n v="2592"/>
    <n v="172.4537037037037"/>
    <s v="Low"/>
  </r>
  <r>
    <s v="10030 Cedar Shores"/>
    <x v="10"/>
    <x v="0"/>
    <x v="489"/>
    <n v="76"/>
    <x v="2"/>
    <x v="2"/>
    <n v="1424"/>
    <n v="314.46629213483146"/>
    <s v="High"/>
  </r>
  <r>
    <s v="482 PATTAN Drive"/>
    <x v="47"/>
    <x v="0"/>
    <x v="490"/>
    <n v="595"/>
    <x v="2"/>
    <x v="5"/>
    <n v="1953"/>
    <n v="229.59549411162314"/>
    <s v="Medium"/>
  </r>
  <r>
    <s v="300 SHERRIE Lane"/>
    <x v="52"/>
    <x v="0"/>
    <x v="491"/>
    <n v="0"/>
    <x v="0"/>
    <x v="3"/>
    <n v="1586"/>
    <n v="283.7326607818411"/>
    <s v="Medium"/>
  </r>
  <r>
    <s v="615 JUDI ANN Lane"/>
    <x v="27"/>
    <x v="0"/>
    <x v="491"/>
    <n v="4"/>
    <x v="2"/>
    <x v="3"/>
    <n v="1587"/>
    <n v="283.55387523629491"/>
    <s v="Medium"/>
  </r>
  <r>
    <s v="1095 Drakeshire"/>
    <x v="14"/>
    <x v="0"/>
    <x v="491"/>
    <n v="4"/>
    <x v="2"/>
    <x v="5"/>
    <n v="1908"/>
    <n v="235.84905660377359"/>
    <s v="Medium"/>
  </r>
  <r>
    <s v="507 Kendry Avenue"/>
    <x v="48"/>
    <x v="0"/>
    <x v="491"/>
    <n v="6"/>
    <x v="0"/>
    <x v="2"/>
    <n v="1500"/>
    <n v="300"/>
    <s v="Medium"/>
  </r>
  <r>
    <s v="23300 HILLVIEW Court"/>
    <x v="11"/>
    <x v="0"/>
    <x v="491"/>
    <n v="6"/>
    <x v="0"/>
    <x v="8"/>
    <n v="2475"/>
    <n v="181.81818181818181"/>
    <s v="Low"/>
  </r>
  <r>
    <s v="32720 W HAVERFORD Drive"/>
    <x v="53"/>
    <x v="0"/>
    <x v="491"/>
    <n v="10"/>
    <x v="2"/>
    <x v="2"/>
    <n v="1488"/>
    <n v="302.41935483870969"/>
    <s v="High"/>
  </r>
  <r>
    <s v="2008 ALICIA Lane"/>
    <x v="18"/>
    <x v="0"/>
    <x v="491"/>
    <n v="13"/>
    <x v="2"/>
    <x v="3"/>
    <n v="1303"/>
    <n v="345.35686876438984"/>
    <s v="High"/>
  </r>
  <r>
    <s v="5009 Aintree"/>
    <x v="35"/>
    <x v="0"/>
    <x v="491"/>
    <n v="5"/>
    <x v="0"/>
    <x v="5"/>
    <n v="2491"/>
    <n v="180.65034122842232"/>
    <s v="Low"/>
  </r>
  <r>
    <s v="2071 Daintree"/>
    <x v="24"/>
    <x v="0"/>
    <x v="491"/>
    <n v="40"/>
    <x v="2"/>
    <x v="2"/>
    <n v="2219"/>
    <n v="202.79405137449302"/>
    <s v="Medium"/>
  </r>
  <r>
    <s v="5800 Little Pine"/>
    <x v="46"/>
    <x v="0"/>
    <x v="492"/>
    <n v="4"/>
    <x v="0"/>
    <x v="10"/>
    <n v="1709"/>
    <n v="263.60444704505557"/>
    <s v="Medium"/>
  </r>
  <r>
    <s v="28303 FORESTBROOK Drive"/>
    <x v="11"/>
    <x v="0"/>
    <x v="493"/>
    <n v="6"/>
    <x v="2"/>
    <x v="5"/>
    <n v="2417"/>
    <n v="187.00868845676459"/>
    <s v="Low"/>
  </r>
  <r>
    <s v="10454 BORGMAN Avenue"/>
    <x v="50"/>
    <x v="0"/>
    <x v="494"/>
    <n v="5"/>
    <x v="2"/>
    <x v="2"/>
    <n v="1769"/>
    <n v="255.79423403052573"/>
    <s v="Medium"/>
  </r>
  <r>
    <s v="417 W LEWISTON Avenue"/>
    <x v="6"/>
    <x v="0"/>
    <x v="495"/>
    <n v="2"/>
    <x v="0"/>
    <x v="2"/>
    <n v="1504"/>
    <n v="301.19680851063828"/>
    <s v="High"/>
  </r>
  <r>
    <s v="537 Bird Avenue"/>
    <x v="40"/>
    <x v="0"/>
    <x v="496"/>
    <n v="2"/>
    <x v="2"/>
    <x v="2"/>
    <n v="1200"/>
    <n v="379.16666666666669"/>
    <s v="High"/>
  </r>
  <r>
    <s v="6063 PETROS Drive"/>
    <x v="24"/>
    <x v="0"/>
    <x v="496"/>
    <n v="7"/>
    <x v="2"/>
    <x v="5"/>
    <n v="2332"/>
    <n v="195.11149228130361"/>
    <s v="Low"/>
  </r>
  <r>
    <s v="10057 HART Avenue"/>
    <x v="50"/>
    <x v="0"/>
    <x v="496"/>
    <n v="1"/>
    <x v="2"/>
    <x v="2"/>
    <n v="1584"/>
    <n v="287.24747474747477"/>
    <s v="Medium"/>
  </r>
  <r>
    <s v="28807 W KING WILLIAM Drive"/>
    <x v="11"/>
    <x v="0"/>
    <x v="496"/>
    <n v="83"/>
    <x v="0"/>
    <x v="4"/>
    <n v="2980"/>
    <n v="152.68456375838926"/>
    <s v="Low"/>
  </r>
  <r>
    <s v="1625 Perry Lake Road"/>
    <x v="20"/>
    <x v="0"/>
    <x v="497"/>
    <n v="24"/>
    <x v="0"/>
    <x v="2"/>
    <n v="1644"/>
    <n v="277.37226277372264"/>
    <s v="Medium"/>
  </r>
  <r>
    <s v="810 FORESTDALE Road"/>
    <x v="18"/>
    <x v="0"/>
    <x v="498"/>
    <n v="7"/>
    <x v="2"/>
    <x v="2"/>
    <n v="1188"/>
    <n v="384.6801346801347"/>
    <s v="High"/>
  </r>
  <r>
    <s v="4240 Mankato Avenue"/>
    <x v="18"/>
    <x v="0"/>
    <x v="498"/>
    <n v="31"/>
    <x v="2"/>
    <x v="5"/>
    <n v="1756"/>
    <n v="260.25056947608198"/>
    <s v="Medium"/>
  </r>
  <r>
    <s v="8692 GOLF LANE Drive"/>
    <x v="14"/>
    <x v="0"/>
    <x v="499"/>
    <n v="9"/>
    <x v="0"/>
    <x v="4"/>
    <n v="2232"/>
    <n v="205.19713261648747"/>
    <s v="Medium"/>
  </r>
  <r>
    <s v="31140 SHERIDAN Drive"/>
    <x v="41"/>
    <x v="0"/>
    <x v="499"/>
    <n v="7"/>
    <x v="2"/>
    <x v="2"/>
    <n v="1746"/>
    <n v="262.31386025200459"/>
    <s v="Medium"/>
  </r>
  <r>
    <s v="2811 N WILSON Avenue"/>
    <x v="18"/>
    <x v="0"/>
    <x v="500"/>
    <n v="12"/>
    <x v="2"/>
    <x v="2"/>
    <n v="1343"/>
    <n v="341.77215189873419"/>
    <s v="High"/>
  </r>
  <r>
    <s v="1532 GRANDVIEW Drive"/>
    <x v="3"/>
    <x v="0"/>
    <x v="501"/>
    <n v="19"/>
    <x v="0"/>
    <x v="5"/>
    <n v="1862"/>
    <n v="247.04618689581096"/>
    <s v="Medium"/>
  </r>
  <r>
    <s v="36751 LANSBURY Lane"/>
    <x v="38"/>
    <x v="0"/>
    <x v="501"/>
    <n v="3"/>
    <x v="0"/>
    <x v="5"/>
    <n v="2189"/>
    <n v="210.14161717679306"/>
    <s v="Medium"/>
  </r>
  <r>
    <s v="3137 SILVERBROOK Drive"/>
    <x v="35"/>
    <x v="0"/>
    <x v="501"/>
    <n v="3"/>
    <x v="2"/>
    <x v="4"/>
    <n v="1738"/>
    <n v="264.67203682393557"/>
    <s v="Medium"/>
  </r>
  <r>
    <s v="1299 Northover Drive"/>
    <x v="54"/>
    <x v="0"/>
    <x v="501"/>
    <n v="33"/>
    <x v="2"/>
    <x v="5"/>
    <n v="2219"/>
    <n v="207.30058584948173"/>
    <s v="Medium"/>
  </r>
  <r>
    <s v="10055 TALBOT Avenue"/>
    <x v="50"/>
    <x v="0"/>
    <x v="501"/>
    <n v="73"/>
    <x v="2"/>
    <x v="3"/>
    <n v="1684"/>
    <n v="273.15914489311166"/>
    <s v="Medium"/>
  </r>
  <r>
    <s v="948 RIVER ROCK Drive"/>
    <x v="9"/>
    <x v="0"/>
    <x v="501"/>
    <n v="59"/>
    <x v="0"/>
    <x v="4"/>
    <n v="2813"/>
    <n v="163.52648418059013"/>
    <s v="Low"/>
  </r>
  <r>
    <s v="8233 Caribou Trail"/>
    <x v="29"/>
    <x v="0"/>
    <x v="501"/>
    <n v="115"/>
    <x v="2"/>
    <x v="5"/>
    <n v="3586"/>
    <n v="128.276631344116"/>
    <s v="Low"/>
  </r>
  <r>
    <s v="6784 Granger Drive"/>
    <x v="22"/>
    <x v="0"/>
    <x v="501"/>
    <n v="119"/>
    <x v="0"/>
    <x v="8"/>
    <n v="2645"/>
    <n v="173.91304347826087"/>
    <s v="Low"/>
  </r>
  <r>
    <s v="21144 WOODFARM Drive"/>
    <x v="11"/>
    <x v="0"/>
    <x v="502"/>
    <n v="100"/>
    <x v="3"/>
    <x v="12"/>
    <n v="3470"/>
    <n v="132.70893371757924"/>
    <s v="Low"/>
  </r>
  <r>
    <s v="2130 Huntington Drive"/>
    <x v="36"/>
    <x v="0"/>
    <x v="503"/>
    <n v="2"/>
    <x v="2"/>
    <x v="5"/>
    <n v="1796"/>
    <n v="256.68151447661472"/>
    <s v="Medium"/>
  </r>
  <r>
    <s v="6004 GRANGE HALL Road"/>
    <x v="9"/>
    <x v="0"/>
    <x v="504"/>
    <n v="18"/>
    <x v="9"/>
    <x v="4"/>
    <n v="2225"/>
    <n v="207.64044943820224"/>
    <s v="Medium"/>
  </r>
  <r>
    <s v="36162 FREDERICKSBURG Road"/>
    <x v="11"/>
    <x v="0"/>
    <x v="504"/>
    <n v="4"/>
    <x v="0"/>
    <x v="5"/>
    <n v="2764"/>
    <n v="167.14905933429813"/>
    <s v="Low"/>
  </r>
  <r>
    <s v="1126 WATERSMEET Drive"/>
    <x v="43"/>
    <x v="0"/>
    <x v="505"/>
    <n v="11"/>
    <x v="2"/>
    <x v="2"/>
    <n v="1807"/>
    <n v="255.94908688433867"/>
    <s v="Medium"/>
  </r>
  <r>
    <s v="245 CHERRY GROVE Lane"/>
    <x v="14"/>
    <x v="0"/>
    <x v="506"/>
    <n v="115"/>
    <x v="2"/>
    <x v="4"/>
    <n v="2186"/>
    <n v="212.03110704483075"/>
    <s v="Medium"/>
  </r>
  <r>
    <s v="8129 STAGHORN Trail"/>
    <x v="29"/>
    <x v="0"/>
    <x v="507"/>
    <n v="7"/>
    <x v="0"/>
    <x v="4"/>
    <n v="2161"/>
    <n v="215.17815826006478"/>
    <s v="Medium"/>
  </r>
  <r>
    <s v="3075 Serenity"/>
    <x v="35"/>
    <x v="0"/>
    <x v="507"/>
    <n v="8"/>
    <x v="2"/>
    <x v="5"/>
    <n v="2321"/>
    <n v="200.34467901766479"/>
    <s v="Medium"/>
  </r>
  <r>
    <s v="13 MAYWOOD Avenue"/>
    <x v="42"/>
    <x v="0"/>
    <x v="507"/>
    <n v="73"/>
    <x v="2"/>
    <x v="3"/>
    <n v="1600"/>
    <n v="290.625"/>
    <s v="Medium"/>
  </r>
  <r>
    <s v="4986 Lake Bluff Road"/>
    <x v="24"/>
    <x v="0"/>
    <x v="507"/>
    <n v="24"/>
    <x v="2"/>
    <x v="14"/>
    <n v="1700"/>
    <n v="273.52941176470586"/>
    <s v="Medium"/>
  </r>
  <r>
    <s v="3174 OAKSHIRE Avenue"/>
    <x v="25"/>
    <x v="0"/>
    <x v="507"/>
    <n v="36"/>
    <x v="0"/>
    <x v="2"/>
    <n v="1656"/>
    <n v="280.79710144927537"/>
    <s v="Medium"/>
  </r>
  <r>
    <s v="1957 MIDCHESTER Drive"/>
    <x v="24"/>
    <x v="0"/>
    <x v="507"/>
    <n v="30"/>
    <x v="0"/>
    <x v="5"/>
    <n v="2657"/>
    <n v="175.00940910801657"/>
    <s v="Low"/>
  </r>
  <r>
    <s v="332 Beverly Avenue"/>
    <x v="5"/>
    <x v="0"/>
    <x v="508"/>
    <n v="7"/>
    <x v="0"/>
    <x v="5"/>
    <n v="2050"/>
    <n v="227.3170731707317"/>
    <s v="Medium"/>
  </r>
  <r>
    <s v="33819 YORKRIDGE Street"/>
    <x v="11"/>
    <x v="0"/>
    <x v="509"/>
    <n v="12"/>
    <x v="2"/>
    <x v="8"/>
    <n v="2156"/>
    <n v="216.37291280148423"/>
    <s v="Medium"/>
  </r>
  <r>
    <s v="1155 SUGAR CREEK Drive"/>
    <x v="3"/>
    <x v="0"/>
    <x v="510"/>
    <n v="19"/>
    <x v="2"/>
    <x v="5"/>
    <n v="1918"/>
    <n v="243.4827945776851"/>
    <s v="Medium"/>
  </r>
  <r>
    <s v="660 Essex Drive"/>
    <x v="3"/>
    <x v="0"/>
    <x v="510"/>
    <n v="13"/>
    <x v="2"/>
    <x v="5"/>
    <n v="1964"/>
    <n v="237.78004073319755"/>
    <s v="Medium"/>
  </r>
  <r>
    <s v="41601 CUMMINGS Lane"/>
    <x v="2"/>
    <x v="0"/>
    <x v="510"/>
    <n v="194"/>
    <x v="2"/>
    <x v="5"/>
    <n v="2508"/>
    <n v="186.20414673046253"/>
    <s v="Low"/>
  </r>
  <r>
    <s v="30550 STELLAMAR Street"/>
    <x v="41"/>
    <x v="0"/>
    <x v="511"/>
    <n v="5"/>
    <x v="2"/>
    <x v="5"/>
    <n v="1969"/>
    <n v="237.43016759776538"/>
    <s v="Medium"/>
  </r>
  <r>
    <s v="3337 Glacier Drive"/>
    <x v="13"/>
    <x v="0"/>
    <x v="512"/>
    <n v="26"/>
    <x v="0"/>
    <x v="5"/>
    <n v="2500"/>
    <n v="187.2"/>
    <s v="Low"/>
  </r>
  <r>
    <s v="5850 MIDDLEBELT Road"/>
    <x v="24"/>
    <x v="0"/>
    <x v="512"/>
    <n v="74"/>
    <x v="0"/>
    <x v="5"/>
    <n v="2513"/>
    <n v="186.23159570234779"/>
    <s v="Low"/>
  </r>
  <r>
    <s v="223 QUARTZ Way"/>
    <x v="10"/>
    <x v="0"/>
    <x v="512"/>
    <n v="55"/>
    <x v="0"/>
    <x v="5"/>
    <n v="2589"/>
    <n v="180.76477404403244"/>
    <s v="Low"/>
  </r>
  <r>
    <s v="131 Smiths"/>
    <x v="55"/>
    <x v="0"/>
    <x v="513"/>
    <n v="0"/>
    <x v="1"/>
    <x v="3"/>
    <n v="2094"/>
    <n v="223.73447946513849"/>
    <s v="Medium"/>
  </r>
  <r>
    <s v="822 AUGUSTA Drive"/>
    <x v="3"/>
    <x v="0"/>
    <x v="514"/>
    <n v="34"/>
    <x v="0"/>
    <x v="4"/>
    <n v="2469"/>
    <n v="189.95544754961523"/>
    <s v="Low"/>
  </r>
  <r>
    <s v="31125 Westwood Road"/>
    <x v="11"/>
    <x v="0"/>
    <x v="514"/>
    <n v="50"/>
    <x v="2"/>
    <x v="4"/>
    <n v="3222"/>
    <n v="145.56176288019864"/>
    <s v="Low"/>
  </r>
  <r>
    <s v="928 PRESERVE Lane"/>
    <x v="10"/>
    <x v="0"/>
    <x v="515"/>
    <n v="1"/>
    <x v="2"/>
    <x v="2"/>
    <n v="1711"/>
    <n v="274.18176504967857"/>
    <s v="Medium"/>
  </r>
  <r>
    <s v="16255 Catalpa Way"/>
    <x v="9"/>
    <x v="0"/>
    <x v="516"/>
    <n v="312"/>
    <x v="0"/>
    <x v="5"/>
    <n v="2385"/>
    <n v="197.02306079664569"/>
    <s v="Low"/>
  </r>
  <r>
    <s v="8337 SILICA Drive"/>
    <x v="10"/>
    <x v="0"/>
    <x v="516"/>
    <n v="93"/>
    <x v="2"/>
    <x v="5"/>
    <n v="1882"/>
    <n v="249.68119022316685"/>
    <s v="Medium"/>
  </r>
  <r>
    <s v="3753 WARWICK Drive"/>
    <x v="3"/>
    <x v="0"/>
    <x v="517"/>
    <n v="2"/>
    <x v="2"/>
    <x v="5"/>
    <n v="2131"/>
    <n v="220.55373064289066"/>
    <s v="Medium"/>
  </r>
  <r>
    <s v="3733 Quarton Road"/>
    <x v="48"/>
    <x v="0"/>
    <x v="517"/>
    <n v="11"/>
    <x v="0"/>
    <x v="14"/>
    <n v="2704"/>
    <n v="173.81656804733728"/>
    <s v="Low"/>
  </r>
  <r>
    <s v="5639 Carlburt Street"/>
    <x v="24"/>
    <x v="0"/>
    <x v="517"/>
    <n v="56"/>
    <x v="0"/>
    <x v="5"/>
    <n v="2650"/>
    <n v="177.35849056603774"/>
    <s v="Low"/>
  </r>
  <r>
    <s v="854 STANFORD Circle"/>
    <x v="3"/>
    <x v="0"/>
    <x v="517"/>
    <n v="38"/>
    <x v="3"/>
    <x v="4"/>
    <n v="3256"/>
    <n v="144.34889434889436"/>
    <s v="Low"/>
  </r>
  <r>
    <s v="1512 CATTAIL Trail"/>
    <x v="49"/>
    <x v="0"/>
    <x v="517"/>
    <n v="132"/>
    <x v="2"/>
    <x v="2"/>
    <n v="2396"/>
    <n v="196.1602671118531"/>
    <s v="Low"/>
  </r>
  <r>
    <s v="133 E SUNNYBROOK Drive"/>
    <x v="18"/>
    <x v="0"/>
    <x v="518"/>
    <n v="35"/>
    <x v="2"/>
    <x v="3"/>
    <n v="1695"/>
    <n v="277.58112094395278"/>
    <s v="Medium"/>
  </r>
  <r>
    <s v="119 Rivercrest Court"/>
    <x v="43"/>
    <x v="0"/>
    <x v="519"/>
    <n v="143"/>
    <x v="0"/>
    <x v="5"/>
    <n v="2501"/>
    <n v="188.64094362255099"/>
    <s v="Low"/>
  </r>
  <r>
    <s v="2005 N WILSON Avenue"/>
    <x v="18"/>
    <x v="0"/>
    <x v="520"/>
    <n v="63"/>
    <x v="0"/>
    <x v="2"/>
    <n v="1500"/>
    <n v="314.66666666666669"/>
    <s v="High"/>
  </r>
  <r>
    <s v="24355 SURFSIDE Road"/>
    <x v="2"/>
    <x v="0"/>
    <x v="521"/>
    <n v="7"/>
    <x v="2"/>
    <x v="5"/>
    <n v="1912"/>
    <n v="247.38493723849373"/>
    <s v="Medium"/>
  </r>
  <r>
    <s v="4444 LANCASHIRE"/>
    <x v="22"/>
    <x v="0"/>
    <x v="522"/>
    <n v="5"/>
    <x v="2"/>
    <x v="10"/>
    <n v="2003"/>
    <n v="236.645032451323"/>
    <s v="Medium"/>
  </r>
  <r>
    <s v="1325  E 14 MILE  Road"/>
    <x v="40"/>
    <x v="0"/>
    <x v="523"/>
    <n v="27"/>
    <x v="0"/>
    <x v="5"/>
    <n v="2094"/>
    <n v="226.83858643744031"/>
    <s v="Medium"/>
  </r>
  <r>
    <s v="38325 LOWELL Drive"/>
    <x v="11"/>
    <x v="0"/>
    <x v="523"/>
    <n v="6"/>
    <x v="0"/>
    <x v="4"/>
    <n v="3178"/>
    <n v="149.46507237256137"/>
    <s v="Low"/>
  </r>
  <r>
    <s v="3993 DUN ROVIN Court"/>
    <x v="14"/>
    <x v="0"/>
    <x v="523"/>
    <n v="2"/>
    <x v="2"/>
    <x v="5"/>
    <n v="2375"/>
    <n v="200"/>
    <s v="Low"/>
  </r>
  <r>
    <s v="1932 SHIPMAN Boulevard"/>
    <x v="40"/>
    <x v="0"/>
    <x v="523"/>
    <n v="29"/>
    <x v="2"/>
    <x v="2"/>
    <n v="1089"/>
    <n v="436.17998163452711"/>
    <s v="High"/>
  </r>
  <r>
    <s v="276 S WILLIAMSBURY Road"/>
    <x v="48"/>
    <x v="0"/>
    <x v="523"/>
    <n v="25"/>
    <x v="1"/>
    <x v="2"/>
    <n v="1284"/>
    <n v="369.93769470404982"/>
    <s v="High"/>
  </r>
  <r>
    <s v="4964 W POND Circle"/>
    <x v="24"/>
    <x v="0"/>
    <x v="523"/>
    <n v="80"/>
    <x v="0"/>
    <x v="4"/>
    <n v="2795"/>
    <n v="169.94633273703042"/>
    <s v="Low"/>
  </r>
  <r>
    <s v="1725 MIDVALE Street"/>
    <x v="40"/>
    <x v="0"/>
    <x v="523"/>
    <n v="74"/>
    <x v="2"/>
    <x v="3"/>
    <n v="1277"/>
    <n v="371.96554424432264"/>
    <s v="High"/>
  </r>
  <r>
    <s v="2133 LAKESHORE Drive"/>
    <x v="14"/>
    <x v="0"/>
    <x v="523"/>
    <n v="12"/>
    <x v="2"/>
    <x v="5"/>
    <n v="2462"/>
    <n v="192.93257514216086"/>
    <s v="Low"/>
  </r>
  <r>
    <s v="2829 Walsh Drive"/>
    <x v="3"/>
    <x v="0"/>
    <x v="523"/>
    <n v="169"/>
    <x v="0"/>
    <x v="5"/>
    <n v="2540"/>
    <n v="187.00787401574803"/>
    <s v="Low"/>
  </r>
  <r>
    <s v="21560 Normandale Street"/>
    <x v="41"/>
    <x v="0"/>
    <x v="524"/>
    <n v="54"/>
    <x v="0"/>
    <x v="5"/>
    <n v="2769"/>
    <n v="172.2643553629469"/>
    <s v="Low"/>
  </r>
  <r>
    <s v="1107 LAWNDALE Drive"/>
    <x v="18"/>
    <x v="0"/>
    <x v="524"/>
    <n v="38"/>
    <x v="2"/>
    <x v="5"/>
    <n v="1780"/>
    <n v="267.97752808988764"/>
    <s v="Medium"/>
  </r>
  <r>
    <s v="21560 NORMANDALE Street"/>
    <x v="41"/>
    <x v="0"/>
    <x v="524"/>
    <n v="19"/>
    <x v="0"/>
    <x v="5"/>
    <n v="2769"/>
    <n v="172.2643553629469"/>
    <s v="Low"/>
  </r>
  <r>
    <s v="25931 POWER Road"/>
    <x v="11"/>
    <x v="0"/>
    <x v="525"/>
    <n v="105"/>
    <x v="3"/>
    <x v="10"/>
    <n v="2950"/>
    <n v="162.20338983050848"/>
    <s v="Low"/>
  </r>
  <r>
    <s v="5396 BERWYCK Drive"/>
    <x v="22"/>
    <x v="0"/>
    <x v="526"/>
    <n v="4"/>
    <x v="0"/>
    <x v="5"/>
    <n v="2049"/>
    <n v="233.77257198633481"/>
    <s v="Medium"/>
  </r>
  <r>
    <s v="4717 Heather "/>
    <x v="48"/>
    <x v="0"/>
    <x v="527"/>
    <n v="238"/>
    <x v="2"/>
    <x v="5"/>
    <n v="2319"/>
    <n v="206.77015955153084"/>
    <s v="Medium"/>
  </r>
  <r>
    <s v="1895 BIRD Road"/>
    <x v="27"/>
    <x v="0"/>
    <x v="528"/>
    <n v="42"/>
    <x v="2"/>
    <x v="5"/>
    <n v="2750"/>
    <n v="174.5090909090909"/>
    <s v="Low"/>
  </r>
  <r>
    <s v="10001 QUARRY RIDGE Road"/>
    <x v="28"/>
    <x v="0"/>
    <x v="529"/>
    <n v="165"/>
    <x v="2"/>
    <x v="5"/>
    <n v="1996"/>
    <n v="240.4809619238477"/>
    <s v="Medium"/>
  </r>
  <r>
    <s v="4515 COMMERCE WOODS Drive"/>
    <x v="14"/>
    <x v="0"/>
    <x v="529"/>
    <n v="9"/>
    <x v="0"/>
    <x v="4"/>
    <n v="1934"/>
    <n v="248.19027921406411"/>
    <s v="Medium"/>
  </r>
  <r>
    <s v="10301 Allen Road"/>
    <x v="29"/>
    <x v="0"/>
    <x v="529"/>
    <n v="5"/>
    <x v="2"/>
    <x v="2"/>
    <n v="1793"/>
    <n v="267.70775237032905"/>
    <s v="Medium"/>
  </r>
  <r>
    <s v="1359 CATALPA Drive"/>
    <x v="25"/>
    <x v="0"/>
    <x v="529"/>
    <n v="8"/>
    <x v="2"/>
    <x v="5"/>
    <n v="1658"/>
    <n v="289.50542822677926"/>
    <s v="Medium"/>
  </r>
  <r>
    <s v="2754 DENISE Drive"/>
    <x v="22"/>
    <x v="0"/>
    <x v="529"/>
    <n v="13"/>
    <x v="0"/>
    <x v="5"/>
    <n v="2544"/>
    <n v="188.67924528301887"/>
    <s v="Low"/>
  </r>
  <r>
    <s v="4490 STRATHDALE"/>
    <x v="24"/>
    <x v="0"/>
    <x v="529"/>
    <n v="13"/>
    <x v="0"/>
    <x v="5"/>
    <n v="3382"/>
    <n v="141.92785334121822"/>
    <s v="Low"/>
  </r>
  <r>
    <s v="793 Dutton Road"/>
    <x v="3"/>
    <x v="0"/>
    <x v="529"/>
    <n v="59"/>
    <x v="0"/>
    <x v="5"/>
    <n v="2563"/>
    <n v="187.28053062817011"/>
    <s v="Low"/>
  </r>
  <r>
    <s v="590 KNOLLWOOD Drive"/>
    <x v="13"/>
    <x v="0"/>
    <x v="529"/>
    <n v="71"/>
    <x v="2"/>
    <x v="10"/>
    <n v="1720"/>
    <n v="279.06976744186045"/>
    <s v="Medium"/>
  </r>
  <r>
    <s v="5821 Zander Lane"/>
    <x v="17"/>
    <x v="0"/>
    <x v="529"/>
    <n v="119"/>
    <x v="2"/>
    <x v="5"/>
    <n v="1922"/>
    <n v="249.73985431841831"/>
    <s v="Medium"/>
  </r>
  <r>
    <s v="9052 ORTONVILLE Road"/>
    <x v="29"/>
    <x v="0"/>
    <x v="529"/>
    <n v="29"/>
    <x v="0"/>
    <x v="5"/>
    <n v="2366"/>
    <n v="202.87404902789518"/>
    <s v="Medium"/>
  </r>
  <r>
    <s v="28045 Golf Pointe Boulevard"/>
    <x v="11"/>
    <x v="0"/>
    <x v="529"/>
    <n v="95"/>
    <x v="2"/>
    <x v="4"/>
    <n v="2170"/>
    <n v="221.19815668202764"/>
    <s v="Medium"/>
  </r>
  <r>
    <s v="9046 CEDAR ISLAND Road"/>
    <x v="10"/>
    <x v="0"/>
    <x v="530"/>
    <n v="6"/>
    <x v="3"/>
    <x v="5"/>
    <n v="2261"/>
    <n v="212.95886775762938"/>
    <s v="Medium"/>
  </r>
  <r>
    <s v="32630 EVERGREEN Road"/>
    <x v="41"/>
    <x v="0"/>
    <x v="531"/>
    <n v="5"/>
    <x v="2"/>
    <x v="3"/>
    <n v="1891"/>
    <n v="254.89159175039663"/>
    <s v="Medium"/>
  </r>
  <r>
    <s v="6415 ELMOOR Drive"/>
    <x v="22"/>
    <x v="0"/>
    <x v="532"/>
    <n v="9"/>
    <x v="2"/>
    <x v="2"/>
    <n v="1848"/>
    <n v="261.63419913419915"/>
    <s v="Medium"/>
  </r>
  <r>
    <s v="860 WATERSMEET Drive"/>
    <x v="43"/>
    <x v="0"/>
    <x v="533"/>
    <n v="18"/>
    <x v="2"/>
    <x v="2"/>
    <n v="2024"/>
    <n v="239.32806324110672"/>
    <s v="Medium"/>
  </r>
  <r>
    <s v="635 TEN POINT Drive"/>
    <x v="3"/>
    <x v="0"/>
    <x v="534"/>
    <n v="6"/>
    <x v="2"/>
    <x v="8"/>
    <n v="1954"/>
    <n v="248.20880245649948"/>
    <s v="Medium"/>
  </r>
  <r>
    <s v="3313 HARBOURS Boulevard"/>
    <x v="0"/>
    <x v="0"/>
    <x v="534"/>
    <n v="4"/>
    <x v="2"/>
    <x v="4"/>
    <n v="2852"/>
    <n v="170.05610098176717"/>
    <s v="Low"/>
  </r>
  <r>
    <s v="20023 W 14 MILE Road"/>
    <x v="41"/>
    <x v="0"/>
    <x v="534"/>
    <n v="2"/>
    <x v="3"/>
    <x v="5"/>
    <n v="2675"/>
    <n v="181.30841121495328"/>
    <s v="Low"/>
  </r>
  <r>
    <s v="158 VALOR Way"/>
    <x v="47"/>
    <x v="0"/>
    <x v="534"/>
    <n v="11"/>
    <x v="2"/>
    <x v="2"/>
    <n v="1824"/>
    <n v="265.89912280701753"/>
    <s v="Medium"/>
  </r>
  <r>
    <s v="90 CANTERBURY TRAIL Drive"/>
    <x v="3"/>
    <x v="0"/>
    <x v="534"/>
    <n v="8"/>
    <x v="0"/>
    <x v="5"/>
    <n v="2429"/>
    <n v="199.67064635652531"/>
    <s v="Low"/>
  </r>
  <r>
    <s v="3380 GRANGE HALL Road"/>
    <x v="27"/>
    <x v="0"/>
    <x v="534"/>
    <n v="97"/>
    <x v="0"/>
    <x v="10"/>
    <n v="2008"/>
    <n v="241.53386454183266"/>
    <s v="Medium"/>
  </r>
  <r>
    <s v="1879 Rustic Lane"/>
    <x v="24"/>
    <x v="0"/>
    <x v="535"/>
    <n v="3"/>
    <x v="2"/>
    <x v="2"/>
    <n v="1365"/>
    <n v="356.04395604395603"/>
    <s v="High"/>
  </r>
  <r>
    <s v="1416 Midland Rd."/>
    <x v="18"/>
    <x v="0"/>
    <x v="536"/>
    <n v="5"/>
    <x v="0"/>
    <x v="5"/>
    <n v="1790"/>
    <n v="272.06648044692736"/>
    <s v="Medium"/>
  </r>
  <r>
    <s v="239 Slade"/>
    <x v="3"/>
    <x v="0"/>
    <x v="537"/>
    <n v="2"/>
    <x v="0"/>
    <x v="5"/>
    <n v="1663"/>
    <n v="292.84425736620562"/>
    <s v="Medium"/>
  </r>
  <r>
    <s v="1618 FLEETWOOD Drive"/>
    <x v="22"/>
    <x v="0"/>
    <x v="537"/>
    <n v="12"/>
    <x v="0"/>
    <x v="5"/>
    <n v="2066"/>
    <n v="235.72120038722167"/>
    <s v="Medium"/>
  </r>
  <r>
    <s v="2756 Brady Drive"/>
    <x v="48"/>
    <x v="0"/>
    <x v="538"/>
    <n v="17"/>
    <x v="7"/>
    <x v="13"/>
    <n v="1736"/>
    <n v="280.81797235023043"/>
    <s v="Medium"/>
  </r>
  <r>
    <s v="18455 RIVERSIDE Drive"/>
    <x v="41"/>
    <x v="0"/>
    <x v="539"/>
    <n v="51"/>
    <x v="2"/>
    <x v="3"/>
    <n v="1709"/>
    <n v="286.65886483323578"/>
    <s v="Medium"/>
  </r>
  <r>
    <s v="3300 MAUREEN Lane"/>
    <x v="45"/>
    <x v="0"/>
    <x v="540"/>
    <n v="74"/>
    <x v="6"/>
    <x v="4"/>
    <n v="3300"/>
    <n v="148.4848484848485"/>
    <s v="Low"/>
  </r>
  <r>
    <s v="700 PUEBLO"/>
    <x v="49"/>
    <x v="0"/>
    <x v="540"/>
    <n v="93"/>
    <x v="0"/>
    <x v="5"/>
    <n v="2633"/>
    <n v="186.09950626661603"/>
    <s v="Low"/>
  </r>
  <r>
    <s v="3325 Garden Avenue"/>
    <x v="18"/>
    <x v="0"/>
    <x v="540"/>
    <n v="56"/>
    <x v="2"/>
    <x v="5"/>
    <n v="1830"/>
    <n v="267.75956284153006"/>
    <s v="Medium"/>
  </r>
  <r>
    <s v="3152 MULBERRY Court"/>
    <x v="47"/>
    <x v="0"/>
    <x v="540"/>
    <n v="50"/>
    <x v="0"/>
    <x v="5"/>
    <n v="2516"/>
    <n v="194.75357710651829"/>
    <s v="Low"/>
  </r>
  <r>
    <s v="3893 IRIS Drive"/>
    <x v="0"/>
    <x v="0"/>
    <x v="540"/>
    <n v="78"/>
    <x v="2"/>
    <x v="3"/>
    <n v="1473"/>
    <n v="332.65444670739987"/>
    <s v="High"/>
  </r>
  <r>
    <s v="35181 SPRING HILL Road"/>
    <x v="11"/>
    <x v="0"/>
    <x v="540"/>
    <n v="155"/>
    <x v="0"/>
    <x v="5"/>
    <n v="2816"/>
    <n v="174.00568181818181"/>
    <s v="Low"/>
  </r>
  <r>
    <s v="1970 TWIN SUN Circle"/>
    <x v="14"/>
    <x v="0"/>
    <x v="541"/>
    <n v="28"/>
    <x v="2"/>
    <x v="4"/>
    <n v="2263"/>
    <n v="217.41051701281484"/>
    <s v="Medium"/>
  </r>
  <r>
    <s v="1095 APPALOOSA Court"/>
    <x v="16"/>
    <x v="0"/>
    <x v="542"/>
    <n v="56"/>
    <x v="0"/>
    <x v="5"/>
    <n v="2835"/>
    <n v="173.89770723104056"/>
    <s v="Low"/>
  </r>
  <r>
    <s v="9672 WESTWOOD Circle"/>
    <x v="28"/>
    <x v="0"/>
    <x v="542"/>
    <n v="20"/>
    <x v="0"/>
    <x v="4"/>
    <n v="2492"/>
    <n v="197.83306581059389"/>
    <s v="Low"/>
  </r>
  <r>
    <s v="21408 PARKLANE Street"/>
    <x v="11"/>
    <x v="0"/>
    <x v="543"/>
    <n v="3"/>
    <x v="2"/>
    <x v="5"/>
    <n v="2120"/>
    <n v="233.49056603773585"/>
    <s v="Medium"/>
  </r>
  <r>
    <s v="47129 DUNSANY Road"/>
    <x v="52"/>
    <x v="0"/>
    <x v="543"/>
    <n v="24"/>
    <x v="0"/>
    <x v="8"/>
    <n v="2113"/>
    <n v="234.26407950780882"/>
    <s v="Medium"/>
  </r>
  <r>
    <s v="650 STATE Street"/>
    <x v="43"/>
    <x v="0"/>
    <x v="543"/>
    <n v="55"/>
    <x v="0"/>
    <x v="5"/>
    <n v="2764"/>
    <n v="179.08827785817655"/>
    <s v="Low"/>
  </r>
  <r>
    <s v="3584 BRIARBROOKE Lane"/>
    <x v="35"/>
    <x v="0"/>
    <x v="544"/>
    <n v="6"/>
    <x v="0"/>
    <x v="8"/>
    <n v="2005"/>
    <n v="247.13216957605985"/>
    <s v="Medium"/>
  </r>
  <r>
    <s v="653 CENTRAL Drive"/>
    <x v="36"/>
    <x v="0"/>
    <x v="545"/>
    <n v="16"/>
    <x v="1"/>
    <x v="10"/>
    <n v="1272"/>
    <n v="390.33018867924528"/>
    <s v="High"/>
  </r>
  <r>
    <s v="3182 DAVENPORT Lane"/>
    <x v="3"/>
    <x v="0"/>
    <x v="546"/>
    <n v="16"/>
    <x v="0"/>
    <x v="5"/>
    <n v="2710"/>
    <n v="183.76383763837637"/>
    <s v="Low"/>
  </r>
  <r>
    <s v="10015 Quarry Ridge Rd"/>
    <x v="28"/>
    <x v="0"/>
    <x v="547"/>
    <n v="108"/>
    <x v="2"/>
    <x v="5"/>
    <n v="2066"/>
    <n v="241.52952565343659"/>
    <s v="Medium"/>
  </r>
  <r>
    <s v="2334 SOLANO Drive"/>
    <x v="32"/>
    <x v="0"/>
    <x v="548"/>
    <n v="3"/>
    <x v="1"/>
    <x v="2"/>
    <n v="1275"/>
    <n v="392.07843137254901"/>
    <s v="High"/>
  </r>
  <r>
    <s v="6532 LOVELAND Street"/>
    <x v="24"/>
    <x v="0"/>
    <x v="548"/>
    <n v="147"/>
    <x v="6"/>
    <x v="4"/>
    <n v="3449"/>
    <n v="144.9405624818788"/>
    <s v="Low"/>
  </r>
  <r>
    <s v="1206 E 12 MILE  Road"/>
    <x v="18"/>
    <x v="0"/>
    <x v="548"/>
    <n v="195"/>
    <x v="2"/>
    <x v="5"/>
    <n v="1834"/>
    <n v="272.57360959651038"/>
    <s v="Medium"/>
  </r>
  <r>
    <s v="1269 PLOVER Drive"/>
    <x v="17"/>
    <x v="0"/>
    <x v="549"/>
    <n v="0"/>
    <x v="2"/>
    <x v="5"/>
    <n v="2326"/>
    <n v="214.96130696474634"/>
    <s v="Medium"/>
  </r>
  <r>
    <s v="1143 WHEATFIELD Drive"/>
    <x v="13"/>
    <x v="0"/>
    <x v="549"/>
    <n v="6"/>
    <x v="0"/>
    <x v="5"/>
    <n v="2376"/>
    <n v="210.43771043771045"/>
    <s v="Medium"/>
  </r>
  <r>
    <s v="4050 ORCHARD CREST Drive"/>
    <x v="24"/>
    <x v="0"/>
    <x v="549"/>
    <n v="10"/>
    <x v="0"/>
    <x v="5"/>
    <n v="2830"/>
    <n v="176.67844522968198"/>
    <s v="Low"/>
  </r>
  <r>
    <s v="206 WOODSIDE Road"/>
    <x v="18"/>
    <x v="0"/>
    <x v="549"/>
    <n v="7"/>
    <x v="0"/>
    <x v="2"/>
    <n v="1826"/>
    <n v="273.82256297918951"/>
    <s v="Medium"/>
  </r>
  <r>
    <s v="6909 W NASHWAY"/>
    <x v="24"/>
    <x v="0"/>
    <x v="549"/>
    <n v="10"/>
    <x v="0"/>
    <x v="10"/>
    <n v="2350"/>
    <n v="212.7659574468085"/>
    <s v="Medium"/>
  </r>
  <r>
    <s v="44896 Paine Drive"/>
    <x v="2"/>
    <x v="0"/>
    <x v="549"/>
    <n v="5"/>
    <x v="0"/>
    <x v="5"/>
    <n v="2261"/>
    <n v="221.14108801415304"/>
    <s v="Medium"/>
  </r>
  <r>
    <s v="1170 W OAKLEY PARK Road"/>
    <x v="14"/>
    <x v="0"/>
    <x v="549"/>
    <n v="53"/>
    <x v="2"/>
    <x v="3"/>
    <n v="1360"/>
    <n v="367.64705882352939"/>
    <s v="High"/>
  </r>
  <r>
    <s v="1703 S LAKEVIEW Lane"/>
    <x v="17"/>
    <x v="0"/>
    <x v="549"/>
    <n v="212"/>
    <x v="0"/>
    <x v="5"/>
    <n v="1420"/>
    <n v="352.11267605633805"/>
    <s v="High"/>
  </r>
  <r>
    <s v="1185 SAINT ANDREWS"/>
    <x v="17"/>
    <x v="0"/>
    <x v="549"/>
    <n v="51"/>
    <x v="0"/>
    <x v="4"/>
    <n v="2906"/>
    <n v="172.05781142463869"/>
    <s v="Low"/>
  </r>
  <r>
    <s v="32400 SHERIDAN Drive"/>
    <x v="41"/>
    <x v="0"/>
    <x v="549"/>
    <n v="69"/>
    <x v="2"/>
    <x v="8"/>
    <n v="2000"/>
    <n v="250"/>
    <s v="Medium"/>
  </r>
  <r>
    <s v="2049 SHORE HILL Drive"/>
    <x v="24"/>
    <x v="0"/>
    <x v="549"/>
    <n v="154"/>
    <x v="0"/>
    <x v="5"/>
    <n v="2742"/>
    <n v="182.34865061998542"/>
    <s v="Low"/>
  </r>
  <r>
    <s v="45555 FREEMONT"/>
    <x v="2"/>
    <x v="0"/>
    <x v="550"/>
    <n v="3"/>
    <x v="2"/>
    <x v="5"/>
    <n v="2114"/>
    <n v="236.75496688741723"/>
    <s v="Medium"/>
  </r>
  <r>
    <s v="1836 Emerald Lane"/>
    <x v="47"/>
    <x v="0"/>
    <x v="551"/>
    <n v="338"/>
    <x v="0"/>
    <x v="5"/>
    <n v="1939"/>
    <n v="258.86333161423414"/>
    <s v="Medium"/>
  </r>
  <r>
    <s v="1014 MARYWOOD Drive"/>
    <x v="18"/>
    <x v="0"/>
    <x v="552"/>
    <n v="9"/>
    <x v="2"/>
    <x v="5"/>
    <n v="1786"/>
    <n v="281.07502799552071"/>
    <s v="Medium"/>
  </r>
  <r>
    <s v="2718 Benjamin"/>
    <x v="18"/>
    <x v="0"/>
    <x v="552"/>
    <n v="107"/>
    <x v="0"/>
    <x v="5"/>
    <n v="2106"/>
    <n v="238.36657169990502"/>
    <s v="Medium"/>
  </r>
  <r>
    <s v="212 E LA SALLE Avenue"/>
    <x v="18"/>
    <x v="0"/>
    <x v="553"/>
    <n v="15"/>
    <x v="0"/>
    <x v="4"/>
    <n v="1783"/>
    <n v="282.66965787997759"/>
    <s v="Medium"/>
  </r>
  <r>
    <s v="444 BELLEVUE Avenue"/>
    <x v="36"/>
    <x v="0"/>
    <x v="554"/>
    <n v="11"/>
    <x v="1"/>
    <x v="1"/>
    <n v="690"/>
    <n v="731.8840579710145"/>
    <s v="High"/>
  </r>
  <r>
    <s v="1880 Ruby Street"/>
    <x v="47"/>
    <x v="0"/>
    <x v="554"/>
    <n v="1"/>
    <x v="0"/>
    <x v="5"/>
    <n v="1939"/>
    <n v="260.44352759154202"/>
    <s v="Medium"/>
  </r>
  <r>
    <s v="2562 JUDAH Road"/>
    <x v="13"/>
    <x v="0"/>
    <x v="554"/>
    <n v="2"/>
    <x v="0"/>
    <x v="4"/>
    <n v="1928"/>
    <n v="261.92946058091286"/>
    <s v="Medium"/>
  </r>
  <r>
    <s v="442 DALEBROOK Lane"/>
    <x v="48"/>
    <x v="0"/>
    <x v="554"/>
    <n v="14"/>
    <x v="2"/>
    <x v="5"/>
    <n v="2629"/>
    <n v="192.08824648155192"/>
    <s v="Low"/>
  </r>
  <r>
    <s v="6679 HEATHERWOOD Drive"/>
    <x v="24"/>
    <x v="0"/>
    <x v="554"/>
    <n v="1"/>
    <x v="2"/>
    <x v="5"/>
    <n v="2492"/>
    <n v="202.64847512038523"/>
    <s v="Medium"/>
  </r>
  <r>
    <s v="1880 Ruby"/>
    <x v="47"/>
    <x v="0"/>
    <x v="554"/>
    <n v="97"/>
    <x v="0"/>
    <x v="5"/>
    <n v="1939"/>
    <n v="260.44352759154202"/>
    <s v="Medium"/>
  </r>
  <r>
    <s v="6238 MISSION Drive"/>
    <x v="24"/>
    <x v="0"/>
    <x v="555"/>
    <n v="27"/>
    <x v="0"/>
    <x v="5"/>
    <n v="2855"/>
    <n v="177.05779334500875"/>
    <s v="Low"/>
  </r>
  <r>
    <s v="8467 Lagoon Street"/>
    <x v="14"/>
    <x v="0"/>
    <x v="556"/>
    <n v="53"/>
    <x v="2"/>
    <x v="2"/>
    <n v="1654"/>
    <n v="305.92503022974608"/>
    <s v="High"/>
  </r>
  <r>
    <s v="1782 STANLEY Boulevard"/>
    <x v="40"/>
    <x v="0"/>
    <x v="557"/>
    <n v="3"/>
    <x v="2"/>
    <x v="3"/>
    <n v="1125"/>
    <n v="451.11111111111109"/>
    <s v="High"/>
  </r>
  <r>
    <s v="9987 QUARRY RIDGE Road"/>
    <x v="28"/>
    <x v="0"/>
    <x v="558"/>
    <n v="47"/>
    <x v="2"/>
    <x v="5"/>
    <n v="2039"/>
    <n v="249.1417361451692"/>
    <s v="Medium"/>
  </r>
  <r>
    <s v="30109 Fox Grove Road"/>
    <x v="11"/>
    <x v="0"/>
    <x v="559"/>
    <n v="7"/>
    <x v="3"/>
    <x v="5"/>
    <n v="2776"/>
    <n v="183.71757925072046"/>
    <s v="Low"/>
  </r>
  <r>
    <s v="2110 PEACHTREE Court"/>
    <x v="24"/>
    <x v="0"/>
    <x v="559"/>
    <n v="14"/>
    <x v="0"/>
    <x v="5"/>
    <n v="2958"/>
    <n v="172.41379310344828"/>
    <s v="Low"/>
  </r>
  <r>
    <s v="6786 NORTHPOINT Drive"/>
    <x v="22"/>
    <x v="0"/>
    <x v="559"/>
    <n v="4"/>
    <x v="0"/>
    <x v="5"/>
    <n v="2242"/>
    <n v="227.47546833184657"/>
    <s v="Medium"/>
  </r>
  <r>
    <s v="2411 LASSITER Drive"/>
    <x v="3"/>
    <x v="0"/>
    <x v="559"/>
    <n v="6"/>
    <x v="0"/>
    <x v="4"/>
    <n v="2141"/>
    <n v="238.20644558617468"/>
    <s v="Medium"/>
  </r>
  <r>
    <s v="871 W BAY SHORE Drive"/>
    <x v="43"/>
    <x v="0"/>
    <x v="559"/>
    <n v="50"/>
    <x v="0"/>
    <x v="10"/>
    <n v="2206"/>
    <n v="231.18766999093381"/>
    <s v="Medium"/>
  </r>
  <r>
    <s v="22752 WAYCROFT Drive"/>
    <x v="2"/>
    <x v="0"/>
    <x v="560"/>
    <n v="13"/>
    <x v="0"/>
    <x v="5"/>
    <n v="2649"/>
    <n v="193.280483201208"/>
    <s v="Low"/>
  </r>
  <r>
    <s v="22470 PLAISANCE Boulevard"/>
    <x v="2"/>
    <x v="0"/>
    <x v="561"/>
    <n v="0"/>
    <x v="0"/>
    <x v="8"/>
    <n v="2689"/>
    <n v="190.59129788025288"/>
    <s v="Low"/>
  </r>
  <r>
    <s v="5304 HIGH COURT Way"/>
    <x v="24"/>
    <x v="0"/>
    <x v="561"/>
    <n v="68"/>
    <x v="0"/>
    <x v="8"/>
    <n v="4156"/>
    <n v="123.31568816169394"/>
    <s v="Low"/>
  </r>
  <r>
    <s v="31630 ROBINHOOD Drive"/>
    <x v="41"/>
    <x v="0"/>
    <x v="562"/>
    <n v="314"/>
    <x v="0"/>
    <x v="5"/>
    <n v="2698"/>
    <n v="190.14084507042253"/>
    <s v="Low"/>
  </r>
  <r>
    <s v="31630 ROBINHOOD Drive"/>
    <x v="41"/>
    <x v="0"/>
    <x v="562"/>
    <n v="314"/>
    <x v="0"/>
    <x v="5"/>
    <n v="2698"/>
    <n v="190.14084507042253"/>
    <s v="Low"/>
  </r>
  <r>
    <s v="3296 Paramount Lane"/>
    <x v="5"/>
    <x v="0"/>
    <x v="563"/>
    <n v="3"/>
    <x v="2"/>
    <x v="5"/>
    <n v="2865"/>
    <n v="179.75567190226877"/>
    <s v="Low"/>
  </r>
  <r>
    <s v="3432 BUCKINGHAM Trail"/>
    <x v="24"/>
    <x v="0"/>
    <x v="563"/>
    <n v="14"/>
    <x v="0"/>
    <x v="5"/>
    <n v="2431"/>
    <n v="211.84697655285891"/>
    <s v="Medium"/>
  </r>
  <r>
    <s v="37985 BRADLEY Drive"/>
    <x v="11"/>
    <x v="0"/>
    <x v="563"/>
    <n v="9"/>
    <x v="2"/>
    <x v="4"/>
    <n v="2425"/>
    <n v="212.37113402061857"/>
    <s v="Medium"/>
  </r>
  <r>
    <s v="925 Polvadera Street"/>
    <x v="14"/>
    <x v="0"/>
    <x v="563"/>
    <n v="19"/>
    <x v="2"/>
    <x v="5"/>
    <n v="2726"/>
    <n v="188.92149669845929"/>
    <s v="Low"/>
  </r>
  <r>
    <s v="1470 W Tienken Road"/>
    <x v="3"/>
    <x v="0"/>
    <x v="563"/>
    <n v="17"/>
    <x v="0"/>
    <x v="5"/>
    <n v="3034"/>
    <n v="169.74291364535267"/>
    <s v="Low"/>
  </r>
  <r>
    <s v="2302 COLORADO Avenue"/>
    <x v="3"/>
    <x v="0"/>
    <x v="563"/>
    <n v="18"/>
    <x v="3"/>
    <x v="12"/>
    <n v="3316"/>
    <n v="155.30759951749096"/>
    <s v="Low"/>
  </r>
  <r>
    <s v="30820 Vernon Drive"/>
    <x v="41"/>
    <x v="0"/>
    <x v="563"/>
    <n v="8"/>
    <x v="2"/>
    <x v="3"/>
    <n v="1514"/>
    <n v="340.15852047556143"/>
    <s v="High"/>
  </r>
  <r>
    <s v="7078 QUAIL Run"/>
    <x v="24"/>
    <x v="0"/>
    <x v="563"/>
    <n v="7"/>
    <x v="2"/>
    <x v="8"/>
    <n v="2744"/>
    <n v="187.68221574344022"/>
    <s v="Low"/>
  </r>
  <r>
    <s v="3057 FANTAIL Court"/>
    <x v="3"/>
    <x v="0"/>
    <x v="563"/>
    <n v="49"/>
    <x v="3"/>
    <x v="10"/>
    <n v="2607"/>
    <n v="197.54507096279249"/>
    <s v="Low"/>
  </r>
  <r>
    <s v="1640 S Shore Drive"/>
    <x v="3"/>
    <x v="0"/>
    <x v="563"/>
    <n v="54"/>
    <x v="0"/>
    <x v="5"/>
    <n v="2651"/>
    <n v="194.26631459826481"/>
    <s v="Low"/>
  </r>
  <r>
    <s v="921 Woodside Drive"/>
    <x v="43"/>
    <x v="0"/>
    <x v="563"/>
    <n v="46"/>
    <x v="0"/>
    <x v="5"/>
    <n v="2635"/>
    <n v="195.44592030360531"/>
    <s v="Low"/>
  </r>
  <r>
    <s v="376 STONE WOOD Court"/>
    <x v="39"/>
    <x v="0"/>
    <x v="563"/>
    <n v="57"/>
    <x v="0"/>
    <x v="5"/>
    <n v="2304"/>
    <n v="223.52430555555554"/>
    <s v="Medium"/>
  </r>
  <r>
    <s v="1153 E FAIRVIEW Lane"/>
    <x v="3"/>
    <x v="0"/>
    <x v="563"/>
    <n v="61"/>
    <x v="0"/>
    <x v="5"/>
    <n v="2636"/>
    <n v="195.37177541729895"/>
    <s v="Low"/>
  </r>
  <r>
    <s v="5111 SHOREHAM Circle"/>
    <x v="29"/>
    <x v="0"/>
    <x v="564"/>
    <n v="134"/>
    <x v="2"/>
    <x v="5"/>
    <n v="2397"/>
    <n v="214.8581560283688"/>
    <s v="Medium"/>
  </r>
  <r>
    <s v="3047 MONTCLAIR Drive"/>
    <x v="13"/>
    <x v="0"/>
    <x v="565"/>
    <n v="4"/>
    <x v="3"/>
    <x v="4"/>
    <n v="2200"/>
    <n v="235"/>
    <s v="Medium"/>
  </r>
  <r>
    <s v="502 W HARRISON Avenue"/>
    <x v="18"/>
    <x v="0"/>
    <x v="566"/>
    <n v="5"/>
    <x v="0"/>
    <x v="2"/>
    <n v="2152"/>
    <n v="240.47397769516729"/>
    <s v="Medium"/>
  </r>
  <r>
    <s v="2221 Old Lane"/>
    <x v="0"/>
    <x v="0"/>
    <x v="567"/>
    <n v="105"/>
    <x v="0"/>
    <x v="4"/>
    <n v="2042"/>
    <n v="254.65230166503429"/>
    <s v="Medium"/>
  </r>
  <r>
    <s v="2476 OUR LAND ACRES"/>
    <x v="49"/>
    <x v="0"/>
    <x v="567"/>
    <n v="44"/>
    <x v="3"/>
    <x v="10"/>
    <n v="2082"/>
    <n v="249.75984630163305"/>
    <s v="Medium"/>
  </r>
  <r>
    <s v="8812 SANDY CREST"/>
    <x v="10"/>
    <x v="0"/>
    <x v="567"/>
    <n v="81"/>
    <x v="0"/>
    <x v="4"/>
    <n v="2156"/>
    <n v="241.18738404452691"/>
    <s v="Medium"/>
  </r>
  <r>
    <s v="831 N CAMPBELL Road"/>
    <x v="18"/>
    <x v="0"/>
    <x v="567"/>
    <n v="36"/>
    <x v="2"/>
    <x v="5"/>
    <n v="2100"/>
    <n v="247.61904761904762"/>
    <s v="Medium"/>
  </r>
  <r>
    <s v="4453 Creekwood Court"/>
    <x v="35"/>
    <x v="0"/>
    <x v="567"/>
    <n v="51"/>
    <x v="0"/>
    <x v="5"/>
    <n v="3050"/>
    <n v="170.49180327868854"/>
    <s v="Low"/>
  </r>
  <r>
    <s v="2930 AUTEN Road"/>
    <x v="27"/>
    <x v="0"/>
    <x v="567"/>
    <n v="83"/>
    <x v="0"/>
    <x v="5"/>
    <n v="1863"/>
    <n v="279.11969940955447"/>
    <s v="Medium"/>
  </r>
  <r>
    <s v="1625 BOULAN Drive"/>
    <x v="22"/>
    <x v="0"/>
    <x v="568"/>
    <n v="8"/>
    <x v="2"/>
    <x v="10"/>
    <n v="1416"/>
    <n v="368.64406779661016"/>
    <s v="High"/>
  </r>
  <r>
    <s v="218 S GLENGARRY Road"/>
    <x v="48"/>
    <x v="0"/>
    <x v="569"/>
    <n v="108"/>
    <x v="2"/>
    <x v="8"/>
    <n v="1513"/>
    <n v="345.34038334434899"/>
    <s v="High"/>
  </r>
  <r>
    <s v="4053 Barnaby Court"/>
    <x v="24"/>
    <x v="0"/>
    <x v="570"/>
    <n v="7"/>
    <x v="2"/>
    <x v="5"/>
    <n v="2264"/>
    <n v="231.84628975265016"/>
    <s v="Medium"/>
  </r>
  <r>
    <s v="4311 APPLE VALLEY Lane"/>
    <x v="24"/>
    <x v="0"/>
    <x v="571"/>
    <n v="7"/>
    <x v="0"/>
    <x v="4"/>
    <n v="2377"/>
    <n v="220.86663862010937"/>
    <s v="Medium"/>
  </r>
  <r>
    <s v="953 Westlake"/>
    <x v="43"/>
    <x v="0"/>
    <x v="571"/>
    <n v="16"/>
    <x v="0"/>
    <x v="5"/>
    <n v="2800"/>
    <n v="187.5"/>
    <s v="Low"/>
  </r>
  <r>
    <s v="1495 WASHINGTON Boulevard"/>
    <x v="40"/>
    <x v="0"/>
    <x v="571"/>
    <n v="3"/>
    <x v="2"/>
    <x v="2"/>
    <n v="1432"/>
    <n v="366.62011173184356"/>
    <s v="High"/>
  </r>
  <r>
    <s v="3970 LAMONT Drive N"/>
    <x v="0"/>
    <x v="0"/>
    <x v="571"/>
    <n v="45"/>
    <x v="2"/>
    <x v="2"/>
    <n v="1500"/>
    <n v="350"/>
    <s v="High"/>
  </r>
  <r>
    <s v="810 BIRCHWOOD"/>
    <x v="35"/>
    <x v="0"/>
    <x v="571"/>
    <n v="44"/>
    <x v="0"/>
    <x v="0"/>
    <n v="3143"/>
    <n v="167.03786191536747"/>
    <s v="Low"/>
  </r>
  <r>
    <s v="886 Jennifer Court"/>
    <x v="16"/>
    <x v="0"/>
    <x v="571"/>
    <n v="40"/>
    <x v="0"/>
    <x v="5"/>
    <n v="2355"/>
    <n v="222.9299363057325"/>
    <s v="Medium"/>
  </r>
  <r>
    <s v="901 W Bay Shore"/>
    <x v="43"/>
    <x v="0"/>
    <x v="571"/>
    <n v="86"/>
    <x v="0"/>
    <x v="5"/>
    <n v="2700"/>
    <n v="194.44444444444446"/>
    <s v="Low"/>
  </r>
  <r>
    <s v="8696 Sawgrass Lane"/>
    <x v="10"/>
    <x v="0"/>
    <x v="572"/>
    <n v="93"/>
    <x v="0"/>
    <x v="5"/>
    <n v="2180"/>
    <n v="240.84082568807341"/>
    <s v="Medium"/>
  </r>
  <r>
    <s v="12146 SCENIC VALLEY"/>
    <x v="28"/>
    <x v="0"/>
    <x v="573"/>
    <n v="434"/>
    <x v="0"/>
    <x v="5"/>
    <n v="2735"/>
    <n v="192.16819012797075"/>
    <s v="Low"/>
  </r>
  <r>
    <s v="44489 STONE Road"/>
    <x v="2"/>
    <x v="0"/>
    <x v="574"/>
    <n v="8"/>
    <x v="0"/>
    <x v="5"/>
    <n v="2748"/>
    <n v="191.95778748180496"/>
    <s v="Low"/>
  </r>
  <r>
    <s v="37026 ASPEN Drive"/>
    <x v="11"/>
    <x v="0"/>
    <x v="575"/>
    <n v="5"/>
    <x v="0"/>
    <x v="5"/>
    <n v="3055"/>
    <n v="172.83142389525369"/>
    <s v="Low"/>
  </r>
  <r>
    <s v="27829 LARSON Lane"/>
    <x v="11"/>
    <x v="0"/>
    <x v="576"/>
    <n v="7"/>
    <x v="0"/>
    <x v="4"/>
    <n v="2920"/>
    <n v="181.04452054794521"/>
    <s v="Low"/>
  </r>
  <r>
    <s v="972 Chelsea"/>
    <x v="43"/>
    <x v="0"/>
    <x v="577"/>
    <n v="9"/>
    <x v="0"/>
    <x v="5"/>
    <n v="2820"/>
    <n v="187.58865248226951"/>
    <s v="Low"/>
  </r>
  <r>
    <s v="749 N MILL Street"/>
    <x v="16"/>
    <x v="0"/>
    <x v="578"/>
    <n v="27"/>
    <x v="2"/>
    <x v="10"/>
    <n v="1625"/>
    <n v="326.09230769230771"/>
    <s v="High"/>
  </r>
  <r>
    <s v="3044 PHEASANT RUN EAST Drive"/>
    <x v="47"/>
    <x v="0"/>
    <x v="579"/>
    <n v="19"/>
    <x v="0"/>
    <x v="4"/>
    <n v="2515"/>
    <n v="210.73558648111333"/>
    <s v="Medium"/>
  </r>
  <r>
    <s v="950 Dacea Court N"/>
    <x v="10"/>
    <x v="0"/>
    <x v="579"/>
    <n v="7"/>
    <x v="2"/>
    <x v="4"/>
    <n v="2744"/>
    <n v="193.14868804664724"/>
    <s v="Low"/>
  </r>
  <r>
    <s v="1900 EMERALD Lane"/>
    <x v="47"/>
    <x v="0"/>
    <x v="579"/>
    <n v="1"/>
    <x v="0"/>
    <x v="5"/>
    <n v="2492"/>
    <n v="212.68057784911718"/>
    <s v="Medium"/>
  </r>
  <r>
    <s v="22280 MERIDIAN Lane"/>
    <x v="2"/>
    <x v="0"/>
    <x v="579"/>
    <n v="10"/>
    <x v="2"/>
    <x v="5"/>
    <n v="2145"/>
    <n v="247.08624708624708"/>
    <s v="Medium"/>
  </r>
  <r>
    <s v="6916 Copperfield Court"/>
    <x v="24"/>
    <x v="0"/>
    <x v="579"/>
    <n v="92"/>
    <x v="0"/>
    <x v="16"/>
    <n v="3346"/>
    <n v="158.39808726838015"/>
    <s v="Low"/>
  </r>
  <r>
    <s v="1900 Emerald"/>
    <x v="47"/>
    <x v="0"/>
    <x v="579"/>
    <n v="61"/>
    <x v="0"/>
    <x v="5"/>
    <n v="2492"/>
    <n v="212.68057784911718"/>
    <s v="Medium"/>
  </r>
  <r>
    <s v="4958 CATALINA Drive"/>
    <x v="13"/>
    <x v="0"/>
    <x v="580"/>
    <n v="12"/>
    <x v="0"/>
    <x v="5"/>
    <n v="2920"/>
    <n v="182.02054794520549"/>
    <s v="Low"/>
  </r>
  <r>
    <s v="6896 EMERALD SHORES Drive"/>
    <x v="22"/>
    <x v="0"/>
    <x v="581"/>
    <n v="6"/>
    <x v="6"/>
    <x v="4"/>
    <n v="2960"/>
    <n v="180.06756756756758"/>
    <s v="Low"/>
  </r>
  <r>
    <s v="28221 Forestbrook Court"/>
    <x v="11"/>
    <x v="0"/>
    <x v="581"/>
    <n v="48"/>
    <x v="0"/>
    <x v="10"/>
    <n v="3169"/>
    <n v="168.19185863048281"/>
    <s v="Low"/>
  </r>
  <r>
    <s v="155 Peters"/>
    <x v="39"/>
    <x v="0"/>
    <x v="582"/>
    <n v="7"/>
    <x v="0"/>
    <x v="10"/>
    <n v="1668"/>
    <n v="320.14388489208631"/>
    <s v="High"/>
  </r>
  <r>
    <s v="3038 DEVON BROOK Drive"/>
    <x v="48"/>
    <x v="0"/>
    <x v="583"/>
    <n v="7"/>
    <x v="2"/>
    <x v="5"/>
    <n v="2110"/>
    <n v="253.11848341232226"/>
    <s v="Medium"/>
  </r>
  <r>
    <s v="5431 WENTWORTH Drive"/>
    <x v="14"/>
    <x v="0"/>
    <x v="584"/>
    <n v="5"/>
    <x v="0"/>
    <x v="5"/>
    <n v="2295"/>
    <n v="233.11546840958604"/>
    <s v="Medium"/>
  </r>
  <r>
    <s v="6472 CRABAPPLE"/>
    <x v="22"/>
    <x v="0"/>
    <x v="584"/>
    <n v="7"/>
    <x v="1"/>
    <x v="2"/>
    <n v="2159"/>
    <n v="247.79990736452061"/>
    <s v="Medium"/>
  </r>
  <r>
    <s v="1215 PUTNAM Circle"/>
    <x v="46"/>
    <x v="0"/>
    <x v="584"/>
    <n v="142"/>
    <x v="0"/>
    <x v="5"/>
    <n v="3130"/>
    <n v="170.92651757188497"/>
    <s v="Low"/>
  </r>
  <r>
    <s v="2933 BYWATER Drive"/>
    <x v="22"/>
    <x v="0"/>
    <x v="585"/>
    <n v="2"/>
    <x v="0"/>
    <x v="5"/>
    <n v="2528"/>
    <n v="212.02531645569621"/>
    <s v="Medium"/>
  </r>
  <r>
    <s v="30576 E Lincolnshire"/>
    <x v="41"/>
    <x v="0"/>
    <x v="585"/>
    <n v="6"/>
    <x v="0"/>
    <x v="5"/>
    <n v="2160"/>
    <n v="248.14814814814815"/>
    <s v="Medium"/>
  </r>
  <r>
    <s v="751 Ann Street"/>
    <x v="40"/>
    <x v="0"/>
    <x v="586"/>
    <n v="1"/>
    <x v="1"/>
    <x v="1"/>
    <n v="861"/>
    <n v="623.69337979094075"/>
    <s v="High"/>
  </r>
  <r>
    <s v="1324 BUCKBOARD Circle"/>
    <x v="16"/>
    <x v="0"/>
    <x v="586"/>
    <n v="83"/>
    <x v="0"/>
    <x v="4"/>
    <n v="3276"/>
    <n v="163.91941391941393"/>
    <s v="Low"/>
  </r>
  <r>
    <s v="5439 FALMOUTH Drive"/>
    <x v="22"/>
    <x v="0"/>
    <x v="587"/>
    <n v="0"/>
    <x v="0"/>
    <x v="5"/>
    <n v="2299"/>
    <n v="234.884732492388"/>
    <s v="Medium"/>
  </r>
  <r>
    <s v="12774 VERNON Avenue"/>
    <x v="50"/>
    <x v="0"/>
    <x v="587"/>
    <n v="3"/>
    <x v="0"/>
    <x v="5"/>
    <n v="2126"/>
    <n v="253.99811853245532"/>
    <s v="Medium"/>
  </r>
  <r>
    <s v="24139 LOCUST Street"/>
    <x v="11"/>
    <x v="0"/>
    <x v="587"/>
    <n v="13"/>
    <x v="2"/>
    <x v="10"/>
    <n v="2377"/>
    <n v="227.17711400925538"/>
    <s v="Medium"/>
  </r>
  <r>
    <s v="1290 Loon Ridge"/>
    <x v="14"/>
    <x v="0"/>
    <x v="587"/>
    <n v="59"/>
    <x v="0"/>
    <x v="4"/>
    <n v="2942"/>
    <n v="183.54860639021075"/>
    <s v="Low"/>
  </r>
  <r>
    <s v="24513 Sarah Flynn Drive"/>
    <x v="2"/>
    <x v="0"/>
    <x v="587"/>
    <n v="6"/>
    <x v="0"/>
    <x v="5"/>
    <n v="2196"/>
    <n v="245.90163934426229"/>
    <s v="Medium"/>
  </r>
  <r>
    <s v="4086 W Commerce Road"/>
    <x v="49"/>
    <x v="0"/>
    <x v="587"/>
    <n v="89"/>
    <x v="0"/>
    <x v="2"/>
    <n v="2300"/>
    <n v="234.78260869565219"/>
    <s v="Medium"/>
  </r>
  <r>
    <s v="2118 PINE BLUFFS"/>
    <x v="17"/>
    <x v="0"/>
    <x v="587"/>
    <n v="124"/>
    <x v="0"/>
    <x v="5"/>
    <n v="3169"/>
    <n v="170.40075733669929"/>
    <s v="Low"/>
  </r>
  <r>
    <s v="51125 HALLFIELD Street"/>
    <x v="2"/>
    <x v="0"/>
    <x v="588"/>
    <n v="5"/>
    <x v="0"/>
    <x v="4"/>
    <n v="2821"/>
    <n v="191.95320808224034"/>
    <s v="Low"/>
  </r>
  <r>
    <s v="12127 SHAFFER Road"/>
    <x v="28"/>
    <x v="0"/>
    <x v="589"/>
    <n v="8"/>
    <x v="2"/>
    <x v="8"/>
    <n v="1955"/>
    <n v="277.74936061381072"/>
    <s v="Medium"/>
  </r>
  <r>
    <s v="37477 BAYWOOD Drive"/>
    <x v="11"/>
    <x v="0"/>
    <x v="589"/>
    <n v="16"/>
    <x v="0"/>
    <x v="8"/>
    <n v="2758"/>
    <n v="196.88179840464105"/>
    <s v="Low"/>
  </r>
  <r>
    <s v="5013 Knollcrest Court"/>
    <x v="14"/>
    <x v="0"/>
    <x v="590"/>
    <n v="6"/>
    <x v="0"/>
    <x v="5"/>
    <n v="2928"/>
    <n v="185.79234972677597"/>
    <s v="Low"/>
  </r>
  <r>
    <s v="1380 PIERCE Street"/>
    <x v="40"/>
    <x v="0"/>
    <x v="591"/>
    <n v="0"/>
    <x v="2"/>
    <x v="3"/>
    <n v="1416"/>
    <n v="384.88700564971754"/>
    <s v="High"/>
  </r>
  <r>
    <s v="38197 FRENCH POND"/>
    <x v="11"/>
    <x v="0"/>
    <x v="591"/>
    <n v="5"/>
    <x v="0"/>
    <x v="5"/>
    <n v="2389"/>
    <n v="228.12892423608204"/>
    <s v="Medium"/>
  </r>
  <r>
    <s v="20983 OAK TREE Drive"/>
    <x v="37"/>
    <x v="0"/>
    <x v="591"/>
    <n v="28"/>
    <x v="0"/>
    <x v="5"/>
    <n v="2250"/>
    <n v="242.22222222222223"/>
    <s v="Medium"/>
  </r>
  <r>
    <s v="1083 EQUESTRIAN Drive"/>
    <x v="16"/>
    <x v="0"/>
    <x v="591"/>
    <n v="14"/>
    <x v="0"/>
    <x v="5"/>
    <n v="2526"/>
    <n v="215.75613618368962"/>
    <s v="Medium"/>
  </r>
  <r>
    <s v="1821 Emerald Lane"/>
    <x v="47"/>
    <x v="0"/>
    <x v="591"/>
    <n v="337"/>
    <x v="0"/>
    <x v="5"/>
    <n v="2619"/>
    <n v="208.09469263077511"/>
    <s v="Medium"/>
  </r>
  <r>
    <s v="2676 Castlewood Court"/>
    <x v="47"/>
    <x v="0"/>
    <x v="592"/>
    <n v="35"/>
    <x v="0"/>
    <x v="5"/>
    <n v="2606"/>
    <n v="209.32463545663853"/>
    <s v="Medium"/>
  </r>
  <r>
    <s v="2031 LANCER"/>
    <x v="22"/>
    <x v="0"/>
    <x v="592"/>
    <n v="181"/>
    <x v="0"/>
    <x v="2"/>
    <n v="3192"/>
    <n v="170.89598997493735"/>
    <s v="Low"/>
  </r>
  <r>
    <s v="3237 LONGVIEW  Avenue"/>
    <x v="3"/>
    <x v="0"/>
    <x v="593"/>
    <n v="103"/>
    <x v="0"/>
    <x v="4"/>
    <n v="2200"/>
    <n v="249.04545454545453"/>
    <s v="Medium"/>
  </r>
  <r>
    <s v="5126  Glengate Road"/>
    <x v="35"/>
    <x v="0"/>
    <x v="594"/>
    <n v="4"/>
    <x v="0"/>
    <x v="4"/>
    <n v="2838"/>
    <n v="193.446088794926"/>
    <s v="Low"/>
  </r>
  <r>
    <s v="938 BEACHWAY Drive"/>
    <x v="10"/>
    <x v="0"/>
    <x v="594"/>
    <n v="7"/>
    <x v="0"/>
    <x v="10"/>
    <n v="1300"/>
    <n v="422.30769230769232"/>
    <s v="High"/>
  </r>
  <r>
    <s v="325 MOUNT VERNON Boulevard"/>
    <x v="18"/>
    <x v="0"/>
    <x v="594"/>
    <n v="6"/>
    <x v="2"/>
    <x v="3"/>
    <n v="1529"/>
    <n v="359.05820797907131"/>
    <s v="High"/>
  </r>
  <r>
    <s v="3190 OAKHILL Drive"/>
    <x v="22"/>
    <x v="0"/>
    <x v="595"/>
    <n v="7"/>
    <x v="0"/>
    <x v="10"/>
    <n v="2801"/>
    <n v="196.35844341306677"/>
    <s v="Low"/>
  </r>
  <r>
    <s v="324 LEXINGTON Boulevard"/>
    <x v="18"/>
    <x v="0"/>
    <x v="595"/>
    <n v="0"/>
    <x v="2"/>
    <x v="2"/>
    <n v="1518"/>
    <n v="362.31884057971013"/>
    <s v="High"/>
  </r>
  <r>
    <s v="5074 W BLOOMFIELD LAKE Road"/>
    <x v="24"/>
    <x v="0"/>
    <x v="595"/>
    <n v="20"/>
    <x v="0"/>
    <x v="8"/>
    <n v="2922"/>
    <n v="188.22724161533196"/>
    <s v="Low"/>
  </r>
  <r>
    <s v="4465 Strathdale Lane"/>
    <x v="24"/>
    <x v="0"/>
    <x v="595"/>
    <n v="0"/>
    <x v="0"/>
    <x v="14"/>
    <n v="3622"/>
    <n v="151.84980673660959"/>
    <s v="Low"/>
  </r>
  <r>
    <s v="710 BELLEVUE"/>
    <x v="39"/>
    <x v="0"/>
    <x v="595"/>
    <n v="265"/>
    <x v="0"/>
    <x v="12"/>
    <n v="2128"/>
    <n v="258.45864661654133"/>
    <s v="Medium"/>
  </r>
  <r>
    <s v="6404 PENNINGTON  Drive"/>
    <x v="10"/>
    <x v="0"/>
    <x v="595"/>
    <n v="15"/>
    <x v="0"/>
    <x v="5"/>
    <n v="2860"/>
    <n v="192.30769230769232"/>
    <s v="Low"/>
  </r>
  <r>
    <s v="2986 Hessel Ave Drive"/>
    <x v="3"/>
    <x v="0"/>
    <x v="595"/>
    <n v="158"/>
    <x v="0"/>
    <x v="5"/>
    <n v="2360"/>
    <n v="233.05084745762713"/>
    <s v="Medium"/>
  </r>
  <r>
    <s v="5576 CHELTENHAM Drive"/>
    <x v="22"/>
    <x v="0"/>
    <x v="595"/>
    <n v="8"/>
    <x v="2"/>
    <x v="10"/>
    <n v="2244"/>
    <n v="245.09803921568627"/>
    <s v="Medium"/>
  </r>
  <r>
    <s v="1129 RIVERSTONE Circle"/>
    <x v="39"/>
    <x v="0"/>
    <x v="595"/>
    <n v="7"/>
    <x v="3"/>
    <x v="4"/>
    <n v="2302"/>
    <n v="238.92267593397045"/>
    <s v="Medium"/>
  </r>
  <r>
    <s v="2547 Weaverton"/>
    <x v="3"/>
    <x v="0"/>
    <x v="595"/>
    <n v="48"/>
    <x v="2"/>
    <x v="5"/>
    <n v="2018"/>
    <n v="272.54707631318138"/>
    <s v="Medium"/>
  </r>
  <r>
    <s v="1363 HATHAWAY RISING"/>
    <x v="3"/>
    <x v="0"/>
    <x v="595"/>
    <n v="8"/>
    <x v="0"/>
    <x v="5"/>
    <n v="2802"/>
    <n v="196.28836545324768"/>
    <s v="Low"/>
  </r>
  <r>
    <s v="498 GREEN HILL Lane"/>
    <x v="13"/>
    <x v="0"/>
    <x v="595"/>
    <n v="80"/>
    <x v="0"/>
    <x v="5"/>
    <n v="2309"/>
    <n v="238.19835426591598"/>
    <s v="Medium"/>
  </r>
  <r>
    <s v="11257 CASSIDY Trail"/>
    <x v="28"/>
    <x v="0"/>
    <x v="595"/>
    <n v="63"/>
    <x v="2"/>
    <x v="5"/>
    <n v="1950"/>
    <n v="282.05128205128204"/>
    <s v="Medium"/>
  </r>
  <r>
    <s v="1090 RIVER MIST Drive"/>
    <x v="46"/>
    <x v="0"/>
    <x v="596"/>
    <n v="5"/>
    <x v="0"/>
    <x v="5"/>
    <n v="2445"/>
    <n v="225.76687116564418"/>
    <s v="Medium"/>
  </r>
  <r>
    <s v="364 Boschma"/>
    <x v="30"/>
    <x v="0"/>
    <x v="597"/>
    <n v="55"/>
    <x v="2"/>
    <x v="5"/>
    <n v="2308"/>
    <n v="239.56889081455805"/>
    <s v="Medium"/>
  </r>
  <r>
    <s v="3845 DALICE Drive"/>
    <x v="24"/>
    <x v="0"/>
    <x v="598"/>
    <n v="6"/>
    <x v="0"/>
    <x v="12"/>
    <n v="3848"/>
    <n v="143.97089397089397"/>
    <s v="Low"/>
  </r>
  <r>
    <s v="2030 Emerald"/>
    <x v="47"/>
    <x v="0"/>
    <x v="599"/>
    <n v="10"/>
    <x v="0"/>
    <x v="5"/>
    <n v="2239"/>
    <n v="247.45064761054041"/>
    <s v="Medium"/>
  </r>
  <r>
    <s v="7346 Silver Leaf Lane"/>
    <x v="24"/>
    <x v="0"/>
    <x v="600"/>
    <n v="8"/>
    <x v="2"/>
    <x v="4"/>
    <n v="2132"/>
    <n v="260.31894934333957"/>
    <s v="Medium"/>
  </r>
  <r>
    <s v="20908 OAK TREE Drive"/>
    <x v="37"/>
    <x v="0"/>
    <x v="600"/>
    <n v="5"/>
    <x v="0"/>
    <x v="5"/>
    <n v="2251"/>
    <n v="246.55708573967127"/>
    <s v="Medium"/>
  </r>
  <r>
    <s v="4312 CLEAR CREEK Court"/>
    <x v="35"/>
    <x v="0"/>
    <x v="600"/>
    <n v="6"/>
    <x v="2"/>
    <x v="8"/>
    <n v="1925"/>
    <n v="288.31168831168833"/>
    <s v="Medium"/>
  </r>
  <r>
    <s v="38655 CEDARBROOK"/>
    <x v="11"/>
    <x v="0"/>
    <x v="600"/>
    <n v="12"/>
    <x v="2"/>
    <x v="5"/>
    <n v="2916"/>
    <n v="190.32921810699588"/>
    <s v="Low"/>
  </r>
  <r>
    <s v="920 SHEPARDBUSH Street"/>
    <x v="40"/>
    <x v="0"/>
    <x v="600"/>
    <n v="0"/>
    <x v="0"/>
    <x v="5"/>
    <n v="2114"/>
    <n v="262.53547776726583"/>
    <s v="Medium"/>
  </r>
  <r>
    <s v="1877 Parks"/>
    <x v="35"/>
    <x v="0"/>
    <x v="600"/>
    <n v="28"/>
    <x v="2"/>
    <x v="4"/>
    <n v="2313"/>
    <n v="239.94811932555123"/>
    <s v="Medium"/>
  </r>
  <r>
    <s v="2740 TULIP Way"/>
    <x v="14"/>
    <x v="0"/>
    <x v="601"/>
    <n v="241"/>
    <x v="0"/>
    <x v="10"/>
    <n v="2665"/>
    <n v="208.3170731707317"/>
    <s v="Medium"/>
  </r>
  <r>
    <s v="1860 VINSETTA Boulevard"/>
    <x v="18"/>
    <x v="0"/>
    <x v="602"/>
    <n v="5"/>
    <x v="0"/>
    <x v="5"/>
    <n v="2531"/>
    <n v="220.86131963650732"/>
    <s v="Medium"/>
  </r>
  <r>
    <s v="220 Stark"/>
    <x v="3"/>
    <x v="0"/>
    <x v="603"/>
    <n v="3"/>
    <x v="0"/>
    <x v="5"/>
    <n v="2500"/>
    <n v="224"/>
    <s v="Medium"/>
  </r>
  <r>
    <s v="25045 FRANKLIN PARK Drive"/>
    <x v="53"/>
    <x v="0"/>
    <x v="603"/>
    <n v="0"/>
    <x v="0"/>
    <x v="4"/>
    <n v="2903"/>
    <n v="192.90389252497417"/>
    <s v="Low"/>
  </r>
  <r>
    <s v="125 ALBERTSON Street"/>
    <x v="46"/>
    <x v="0"/>
    <x v="603"/>
    <n v="6"/>
    <x v="2"/>
    <x v="5"/>
    <n v="1480"/>
    <n v="378.37837837837839"/>
    <s v="High"/>
  </r>
  <r>
    <s v="45310 Courtview Trail"/>
    <x v="2"/>
    <x v="0"/>
    <x v="603"/>
    <n v="8"/>
    <x v="0"/>
    <x v="5"/>
    <n v="2722"/>
    <n v="205.73108008817047"/>
    <s v="Medium"/>
  </r>
  <r>
    <s v="2954 Hessel Ave Drive"/>
    <x v="3"/>
    <x v="0"/>
    <x v="603"/>
    <n v="171"/>
    <x v="0"/>
    <x v="5"/>
    <n v="2360"/>
    <n v="237.28813559322035"/>
    <s v="Medium"/>
  </r>
  <r>
    <s v="111 Bridge"/>
    <x v="36"/>
    <x v="0"/>
    <x v="603"/>
    <n v="43"/>
    <x v="1"/>
    <x v="2"/>
    <n v="1352"/>
    <n v="414.20118343195264"/>
    <s v="High"/>
  </r>
  <r>
    <s v="979 Dakota"/>
    <x v="3"/>
    <x v="0"/>
    <x v="603"/>
    <n v="169"/>
    <x v="0"/>
    <x v="5"/>
    <n v="2738"/>
    <n v="204.52885317750182"/>
    <s v="Medium"/>
  </r>
  <r>
    <s v="9879 DIXIE"/>
    <x v="28"/>
    <x v="0"/>
    <x v="603"/>
    <n v="90"/>
    <x v="0"/>
    <x v="5"/>
    <n v="2150"/>
    <n v="260.46511627906978"/>
    <s v="Medium"/>
  </r>
  <r>
    <s v="26032 STEELE Road"/>
    <x v="11"/>
    <x v="0"/>
    <x v="604"/>
    <n v="67"/>
    <x v="0"/>
    <x v="5"/>
    <n v="3250"/>
    <n v="172.92307692307693"/>
    <s v="Low"/>
  </r>
  <r>
    <s v="1875 TOWNSEND Road"/>
    <x v="55"/>
    <x v="0"/>
    <x v="605"/>
    <n v="102"/>
    <x v="2"/>
    <x v="4"/>
    <n v="2546"/>
    <n v="220.93479968578163"/>
    <s v="Medium"/>
  </r>
  <r>
    <s v="651 Timberline Drive"/>
    <x v="3"/>
    <x v="0"/>
    <x v="606"/>
    <n v="7"/>
    <x v="0"/>
    <x v="5"/>
    <n v="2742"/>
    <n v="205.32458059810358"/>
    <s v="Medium"/>
  </r>
  <r>
    <s v="58803 Gidran Drive"/>
    <x v="37"/>
    <x v="0"/>
    <x v="607"/>
    <n v="2"/>
    <x v="0"/>
    <x v="10"/>
    <n v="2790"/>
    <n v="202.1236559139785"/>
    <s v="Medium"/>
  </r>
  <r>
    <s v="5109 SHOREHAM Circle"/>
    <x v="29"/>
    <x v="0"/>
    <x v="608"/>
    <n v="209"/>
    <x v="0"/>
    <x v="5"/>
    <n v="2590"/>
    <n v="218.04633204633205"/>
    <s v="Medium"/>
  </r>
  <r>
    <s v="2902 Portage Trail Drive"/>
    <x v="3"/>
    <x v="0"/>
    <x v="609"/>
    <n v="17"/>
    <x v="0"/>
    <x v="12"/>
    <n v="3382"/>
    <n v="167.0609107037256"/>
    <s v="Low"/>
  </r>
  <r>
    <s v="6752 REDFORD Circle"/>
    <x v="22"/>
    <x v="0"/>
    <x v="609"/>
    <n v="29"/>
    <x v="0"/>
    <x v="5"/>
    <n v="2807"/>
    <n v="201.28250801567509"/>
    <s v="Medium"/>
  </r>
  <r>
    <s v="27184 CAMBRIDGE Lane"/>
    <x v="11"/>
    <x v="0"/>
    <x v="610"/>
    <n v="51"/>
    <x v="3"/>
    <x v="4"/>
    <n v="3299"/>
    <n v="171.87026371627766"/>
    <s v="Low"/>
  </r>
  <r>
    <s v="437 COLLEGE Street"/>
    <x v="6"/>
    <x v="0"/>
    <x v="611"/>
    <n v="7"/>
    <x v="2"/>
    <x v="5"/>
    <n v="2172"/>
    <n v="261.51012891344385"/>
    <s v="Medium"/>
  </r>
  <r>
    <s v="7423 DENALI Drive"/>
    <x v="10"/>
    <x v="0"/>
    <x v="612"/>
    <n v="2"/>
    <x v="0"/>
    <x v="5"/>
    <n v="2777"/>
    <n v="205.25747209218582"/>
    <s v="Medium"/>
  </r>
  <r>
    <s v="785 Kestrel Court"/>
    <x v="16"/>
    <x v="0"/>
    <x v="612"/>
    <n v="4"/>
    <x v="0"/>
    <x v="11"/>
    <n v="2576"/>
    <n v="221.27329192546583"/>
    <s v="Medium"/>
  </r>
  <r>
    <s v="4520 STONY RIVER Drive"/>
    <x v="48"/>
    <x v="0"/>
    <x v="612"/>
    <n v="6"/>
    <x v="0"/>
    <x v="4"/>
    <n v="3355"/>
    <n v="169.89567809239941"/>
    <s v="Low"/>
  </r>
  <r>
    <s v="1176 CADMUS Drive"/>
    <x v="22"/>
    <x v="0"/>
    <x v="613"/>
    <n v="16"/>
    <x v="0"/>
    <x v="5"/>
    <n v="3015"/>
    <n v="189.71807628524047"/>
    <s v="Low"/>
  </r>
  <r>
    <s v="3188 LEXHAM Lane"/>
    <x v="3"/>
    <x v="0"/>
    <x v="614"/>
    <n v="57"/>
    <x v="3"/>
    <x v="12"/>
    <n v="3434"/>
    <n v="166.59871869539896"/>
    <s v="Low"/>
  </r>
  <r>
    <s v="45120 BARTLETT Drive"/>
    <x v="2"/>
    <x v="0"/>
    <x v="615"/>
    <n v="22"/>
    <x v="0"/>
    <x v="5"/>
    <n v="2300"/>
    <n v="249.13043478260869"/>
    <s v="Medium"/>
  </r>
  <r>
    <s v="1354 Cartwright Lane"/>
    <x v="16"/>
    <x v="0"/>
    <x v="616"/>
    <n v="31"/>
    <x v="7"/>
    <x v="13"/>
    <n v="2500"/>
    <n v="229.96"/>
    <s v="Medium"/>
  </r>
  <r>
    <s v="1465 WASHINGTON Boulevard"/>
    <x v="40"/>
    <x v="0"/>
    <x v="617"/>
    <n v="7"/>
    <x v="2"/>
    <x v="2"/>
    <n v="1523"/>
    <n v="377.54432042022324"/>
    <s v="High"/>
  </r>
  <r>
    <s v="29577 Macintosh Lane"/>
    <x v="37"/>
    <x v="0"/>
    <x v="617"/>
    <n v="3"/>
    <x v="2"/>
    <x v="5"/>
    <n v="2620"/>
    <n v="219.46564885496184"/>
    <s v="Medium"/>
  </r>
  <r>
    <s v="21183 E CHIGWIDDEN Street"/>
    <x v="52"/>
    <x v="0"/>
    <x v="617"/>
    <n v="19"/>
    <x v="0"/>
    <x v="5"/>
    <n v="2609"/>
    <n v="220.39095438865465"/>
    <s v="Medium"/>
  </r>
  <r>
    <s v="3539 CLYDE Road"/>
    <x v="17"/>
    <x v="0"/>
    <x v="617"/>
    <n v="19"/>
    <x v="0"/>
    <x v="2"/>
    <n v="2230"/>
    <n v="257.84753363228697"/>
    <s v="Medium"/>
  </r>
  <r>
    <s v="525 Lake Manitou Trail"/>
    <x v="43"/>
    <x v="0"/>
    <x v="617"/>
    <n v="16"/>
    <x v="2"/>
    <x v="5"/>
    <n v="2000"/>
    <n v="287.5"/>
    <s v="Medium"/>
  </r>
  <r>
    <s v="7400 JACKSON PARK Drive"/>
    <x v="48"/>
    <x v="0"/>
    <x v="617"/>
    <n v="60"/>
    <x v="0"/>
    <x v="10"/>
    <n v="2819"/>
    <n v="203.97304008513657"/>
    <s v="Medium"/>
  </r>
  <r>
    <s v="3790 BEACH Road"/>
    <x v="22"/>
    <x v="0"/>
    <x v="618"/>
    <n v="6"/>
    <x v="2"/>
    <x v="5"/>
    <n v="1891"/>
    <n v="305.12956107879427"/>
    <s v="High"/>
  </r>
  <r>
    <s v="8270 LOST PINES Drive"/>
    <x v="28"/>
    <x v="0"/>
    <x v="619"/>
    <n v="14"/>
    <x v="0"/>
    <x v="12"/>
    <n v="2941"/>
    <n v="196.36178170690241"/>
    <s v="Low"/>
  </r>
  <r>
    <s v="481 BELDALE Drive"/>
    <x v="22"/>
    <x v="0"/>
    <x v="620"/>
    <n v="5"/>
    <x v="2"/>
    <x v="4"/>
    <n v="1988"/>
    <n v="290.74446680080484"/>
    <s v="Medium"/>
  </r>
  <r>
    <s v="27303 Benjamins Way"/>
    <x v="2"/>
    <x v="0"/>
    <x v="621"/>
    <n v="5"/>
    <x v="3"/>
    <x v="5"/>
    <n v="2596"/>
    <n v="222.76579352850538"/>
    <s v="Medium"/>
  </r>
  <r>
    <s v="1200 12 MILE  Road"/>
    <x v="18"/>
    <x v="0"/>
    <x v="622"/>
    <n v="245"/>
    <x v="2"/>
    <x v="5"/>
    <n v="2200"/>
    <n v="263.59090909090907"/>
    <s v="Medium"/>
  </r>
  <r>
    <s v="2822 TRILLIUM HILLS Drive"/>
    <x v="14"/>
    <x v="0"/>
    <x v="623"/>
    <n v="20"/>
    <x v="0"/>
    <x v="5"/>
    <n v="2573"/>
    <n v="226.04547221142636"/>
    <s v="Medium"/>
  </r>
  <r>
    <s v="5636 Golf Pointe Drive"/>
    <x v="29"/>
    <x v="0"/>
    <x v="624"/>
    <n v="4"/>
    <x v="2"/>
    <x v="5"/>
    <n v="2262"/>
    <n v="258.62068965517244"/>
    <s v="Medium"/>
  </r>
  <r>
    <s v="1629 Ottawa Trail Court"/>
    <x v="43"/>
    <x v="0"/>
    <x v="624"/>
    <n v="9"/>
    <x v="2"/>
    <x v="5"/>
    <n v="2722"/>
    <n v="214.91550330639237"/>
    <s v="Medium"/>
  </r>
  <r>
    <s v="35280 SPRING HILL Road"/>
    <x v="11"/>
    <x v="0"/>
    <x v="624"/>
    <n v="5"/>
    <x v="0"/>
    <x v="8"/>
    <n v="3100"/>
    <n v="188.70967741935485"/>
    <s v="Low"/>
  </r>
  <r>
    <s v="1677 GILSAM Avenue"/>
    <x v="3"/>
    <x v="0"/>
    <x v="624"/>
    <n v="43"/>
    <x v="0"/>
    <x v="5"/>
    <n v="2692"/>
    <n v="217.31054977711739"/>
    <s v="Medium"/>
  </r>
  <r>
    <s v="3930 Bald Eagle Lake Road"/>
    <x v="27"/>
    <x v="0"/>
    <x v="625"/>
    <n v="37"/>
    <x v="0"/>
    <x v="4"/>
    <n v="2896"/>
    <n v="202.34806629834253"/>
    <s v="Medium"/>
  </r>
  <r>
    <s v="2748 Castlewood Court"/>
    <x v="47"/>
    <x v="0"/>
    <x v="626"/>
    <n v="25"/>
    <x v="0"/>
    <x v="5"/>
    <n v="3235"/>
    <n v="182.34930448222565"/>
    <s v="Low"/>
  </r>
  <r>
    <s v="301 DUANA Street"/>
    <x v="2"/>
    <x v="0"/>
    <x v="627"/>
    <n v="3"/>
    <x v="2"/>
    <x v="5"/>
    <n v="1928"/>
    <n v="306.01659751037346"/>
    <s v="High"/>
  </r>
  <r>
    <s v="7572 COOLEY LAKE Road"/>
    <x v="10"/>
    <x v="0"/>
    <x v="627"/>
    <n v="5"/>
    <x v="0"/>
    <x v="10"/>
    <n v="2838"/>
    <n v="207.89288231148697"/>
    <s v="Medium"/>
  </r>
  <r>
    <s v="57949 STONELEIGH Drive"/>
    <x v="37"/>
    <x v="0"/>
    <x v="627"/>
    <n v="187"/>
    <x v="2"/>
    <x v="5"/>
    <n v="2144"/>
    <n v="275.18656716417911"/>
    <s v="Medium"/>
  </r>
  <r>
    <s v="5946 STRAWBERRY Circle"/>
    <x v="14"/>
    <x v="0"/>
    <x v="628"/>
    <n v="27"/>
    <x v="0"/>
    <x v="4"/>
    <n v="2757"/>
    <n v="214.72615161407327"/>
    <s v="Medium"/>
  </r>
  <r>
    <s v="2644 FRY Road"/>
    <x v="17"/>
    <x v="0"/>
    <x v="628"/>
    <n v="102"/>
    <x v="2"/>
    <x v="10"/>
    <n v="2196"/>
    <n v="269.58105646630236"/>
    <s v="Medium"/>
  </r>
  <r>
    <s v="772 Westlake Ave"/>
    <x v="43"/>
    <x v="0"/>
    <x v="629"/>
    <n v="510"/>
    <x v="2"/>
    <x v="5"/>
    <n v="2000"/>
    <n v="297.03300000000002"/>
    <s v="Medium"/>
  </r>
  <r>
    <s v="24662 JADE Drive"/>
    <x v="11"/>
    <x v="0"/>
    <x v="630"/>
    <n v="1"/>
    <x v="3"/>
    <x v="10"/>
    <n v="2700"/>
    <n v="220.03333333333333"/>
    <s v="Medium"/>
  </r>
  <r>
    <s v="24551 JADE Drive"/>
    <x v="38"/>
    <x v="0"/>
    <x v="630"/>
    <n v="75"/>
    <x v="3"/>
    <x v="10"/>
    <n v="2700"/>
    <n v="220.03333333333333"/>
    <s v="Medium"/>
  </r>
  <r>
    <s v="5714 Fenwick  Place"/>
    <x v="29"/>
    <x v="0"/>
    <x v="631"/>
    <n v="12"/>
    <x v="0"/>
    <x v="17"/>
    <n v="3512"/>
    <n v="169.41913439635536"/>
    <s v="Low"/>
  </r>
  <r>
    <s v="27197 HAMPSTEAD Boulevard"/>
    <x v="11"/>
    <x v="0"/>
    <x v="631"/>
    <n v="195"/>
    <x v="0"/>
    <x v="4"/>
    <n v="3485"/>
    <n v="170.73170731707316"/>
    <s v="Low"/>
  </r>
  <r>
    <s v="3201 RHODE ISLAND Drive"/>
    <x v="22"/>
    <x v="0"/>
    <x v="632"/>
    <n v="8"/>
    <x v="0"/>
    <x v="4"/>
    <n v="2605"/>
    <n v="228.44568138195777"/>
    <s v="Medium"/>
  </r>
  <r>
    <s v="58714 Sella Drive"/>
    <x v="37"/>
    <x v="0"/>
    <x v="633"/>
    <n v="1"/>
    <x v="0"/>
    <x v="5"/>
    <n v="3110"/>
    <n v="191.45241157556271"/>
    <s v="Low"/>
  </r>
  <r>
    <s v="20987 Calabrese"/>
    <x v="37"/>
    <x v="0"/>
    <x v="634"/>
    <n v="54"/>
    <x v="0"/>
    <x v="10"/>
    <n v="2938"/>
    <n v="202.88495575221239"/>
    <s v="Medium"/>
  </r>
  <r>
    <s v="545 Lake Manitou Trail"/>
    <x v="43"/>
    <x v="0"/>
    <x v="635"/>
    <n v="285"/>
    <x v="0"/>
    <x v="5"/>
    <n v="2824"/>
    <n v="211.66288951841361"/>
    <s v="Medium"/>
  </r>
  <r>
    <s v="4544 Valleyview Drive"/>
    <x v="24"/>
    <x v="0"/>
    <x v="636"/>
    <n v="10"/>
    <x v="6"/>
    <x v="4"/>
    <n v="3570"/>
    <n v="167.78711484593836"/>
    <s v="Low"/>
  </r>
  <r>
    <s v="5279 BIRCH Road"/>
    <x v="28"/>
    <x v="0"/>
    <x v="636"/>
    <n v="311"/>
    <x v="0"/>
    <x v="10"/>
    <n v="2745"/>
    <n v="218.21493624772313"/>
    <s v="Medium"/>
  </r>
  <r>
    <s v="24181 LIBERTY HILL Drive"/>
    <x v="38"/>
    <x v="0"/>
    <x v="637"/>
    <n v="254"/>
    <x v="0"/>
    <x v="5"/>
    <n v="2585"/>
    <n v="232.0696324951644"/>
    <s v="Medium"/>
  </r>
  <r>
    <s v="1368 Cedar Drive"/>
    <x v="40"/>
    <x v="0"/>
    <x v="638"/>
    <n v="5"/>
    <x v="2"/>
    <x v="3"/>
    <n v="1156"/>
    <n v="519.03114186851212"/>
    <s v="High"/>
  </r>
  <r>
    <s v="6287 ROSE Boulevard"/>
    <x v="24"/>
    <x v="0"/>
    <x v="638"/>
    <n v="4"/>
    <x v="0"/>
    <x v="5"/>
    <n v="3422"/>
    <n v="175.33606078316774"/>
    <s v="Low"/>
  </r>
  <r>
    <s v="304 VALLEY VIEW Drive"/>
    <x v="43"/>
    <x v="0"/>
    <x v="638"/>
    <n v="6"/>
    <x v="0"/>
    <x v="5"/>
    <n v="2903"/>
    <n v="206.68274199104374"/>
    <s v="Medium"/>
  </r>
  <r>
    <s v="8940 EASTWAY Drive"/>
    <x v="10"/>
    <x v="0"/>
    <x v="638"/>
    <n v="7"/>
    <x v="0"/>
    <x v="4"/>
    <n v="3477"/>
    <n v="172.56255392579811"/>
    <s v="Low"/>
  </r>
  <r>
    <s v="5294 BRIDGE Trail E"/>
    <x v="14"/>
    <x v="0"/>
    <x v="638"/>
    <n v="6"/>
    <x v="0"/>
    <x v="5"/>
    <n v="3560"/>
    <n v="168.53932584269663"/>
    <s v="Low"/>
  </r>
  <r>
    <s v="3890 Royal Avenue"/>
    <x v="25"/>
    <x v="0"/>
    <x v="638"/>
    <n v="128"/>
    <x v="2"/>
    <x v="4"/>
    <n v="1906"/>
    <n v="314.79538300104934"/>
    <s v="High"/>
  </r>
  <r>
    <s v="3051 HONOR Drive"/>
    <x v="3"/>
    <x v="0"/>
    <x v="638"/>
    <n v="166"/>
    <x v="3"/>
    <x v="4"/>
    <n v="2977"/>
    <n v="201.54517971111858"/>
    <s v="Medium"/>
  </r>
  <r>
    <s v="600 Scotts Hill"/>
    <x v="49"/>
    <x v="0"/>
    <x v="638"/>
    <n v="130"/>
    <x v="2"/>
    <x v="4"/>
    <n v="2000"/>
    <n v="300"/>
    <s v="Medium"/>
  </r>
  <r>
    <s v="30152 TURTLE CREEK Circle"/>
    <x v="37"/>
    <x v="0"/>
    <x v="639"/>
    <n v="161"/>
    <x v="0"/>
    <x v="10"/>
    <n v="2023"/>
    <n v="296.68858131487889"/>
    <s v="Medium"/>
  </r>
  <r>
    <s v="1591 EDGEWOOD Boulevard"/>
    <x v="25"/>
    <x v="0"/>
    <x v="640"/>
    <n v="3"/>
    <x v="0"/>
    <x v="8"/>
    <n v="2284"/>
    <n v="263.57267950963222"/>
    <s v="Medium"/>
  </r>
  <r>
    <s v="20847 Calabrese Drive"/>
    <x v="37"/>
    <x v="0"/>
    <x v="641"/>
    <n v="1"/>
    <x v="3"/>
    <x v="10"/>
    <n v="2936"/>
    <n v="205.83617166212534"/>
    <s v="Medium"/>
  </r>
  <r>
    <s v="3521 STALLION Way"/>
    <x v="14"/>
    <x v="0"/>
    <x v="642"/>
    <n v="487"/>
    <x v="2"/>
    <x v="5"/>
    <n v="2214"/>
    <n v="274.61607949412826"/>
    <s v="Medium"/>
  </r>
  <r>
    <s v="948 OAKLAND Avenue"/>
    <x v="40"/>
    <x v="0"/>
    <x v="643"/>
    <n v="0"/>
    <x v="2"/>
    <x v="5"/>
    <n v="1757"/>
    <n v="347.18269778030736"/>
    <s v="High"/>
  </r>
  <r>
    <s v="4737 WOODBINE Circle"/>
    <x v="24"/>
    <x v="0"/>
    <x v="643"/>
    <n v="1"/>
    <x v="0"/>
    <x v="4"/>
    <n v="3086"/>
    <n v="197.66688269604666"/>
    <s v="Low"/>
  </r>
  <r>
    <s v="4342 MEADOW Lane"/>
    <x v="56"/>
    <x v="0"/>
    <x v="643"/>
    <n v="6"/>
    <x v="0"/>
    <x v="4"/>
    <n v="2246"/>
    <n v="271.5939447907391"/>
    <s v="Medium"/>
  </r>
  <r>
    <s v="32555 SUSANNE Drive"/>
    <x v="53"/>
    <x v="0"/>
    <x v="644"/>
    <n v="4"/>
    <x v="0"/>
    <x v="4"/>
    <n v="2777"/>
    <n v="220.0216060496939"/>
    <s v="Medium"/>
  </r>
  <r>
    <s v="24631 JADE Drive"/>
    <x v="11"/>
    <x v="0"/>
    <x v="645"/>
    <n v="101"/>
    <x v="0"/>
    <x v="5"/>
    <n v="2457"/>
    <n v="248.87667887667888"/>
    <s v="Medium"/>
  </r>
  <r>
    <s v="708 PARKMAN Drive"/>
    <x v="54"/>
    <x v="0"/>
    <x v="646"/>
    <n v="66"/>
    <x v="2"/>
    <x v="4"/>
    <n v="2900"/>
    <n v="210.86206896551724"/>
    <s v="Medium"/>
  </r>
  <r>
    <s v="273 Sandalwood Drive"/>
    <x v="3"/>
    <x v="0"/>
    <x v="647"/>
    <n v="17"/>
    <x v="0"/>
    <x v="5"/>
    <n v="2628"/>
    <n v="233.39840182648402"/>
    <s v="Medium"/>
  </r>
  <r>
    <s v="24426 Padstone Drive"/>
    <x v="16"/>
    <x v="0"/>
    <x v="648"/>
    <n v="64"/>
    <x v="0"/>
    <x v="5"/>
    <n v="2861"/>
    <n v="214.78504019573575"/>
    <s v="Medium"/>
  </r>
  <r>
    <s v="7286 N Village Drive"/>
    <x v="29"/>
    <x v="0"/>
    <x v="649"/>
    <n v="131"/>
    <x v="0"/>
    <x v="4"/>
    <n v="3000"/>
    <n v="205"/>
    <s v="Medium"/>
  </r>
  <r>
    <s v="521 HERITAGE RIDGE Drive"/>
    <x v="39"/>
    <x v="0"/>
    <x v="649"/>
    <n v="72"/>
    <x v="2"/>
    <x v="5"/>
    <n v="2262"/>
    <n v="271.88328912466841"/>
    <s v="Medium"/>
  </r>
  <r>
    <s v="20958 HASENCLEVER Drive"/>
    <x v="37"/>
    <x v="0"/>
    <x v="650"/>
    <n v="0"/>
    <x v="0"/>
    <x v="5"/>
    <n v="2705"/>
    <n v="228.02218114602587"/>
    <s v="Medium"/>
  </r>
  <r>
    <s v="1346 Ross Lane"/>
    <x v="46"/>
    <x v="0"/>
    <x v="651"/>
    <n v="29"/>
    <x v="0"/>
    <x v="14"/>
    <n v="2892"/>
    <n v="213.34716459197787"/>
    <s v="Medium"/>
  </r>
  <r>
    <s v="372 Boschma"/>
    <x v="30"/>
    <x v="0"/>
    <x v="652"/>
    <n v="92"/>
    <x v="2"/>
    <x v="5"/>
    <n v="2308"/>
    <n v="267.49870017331023"/>
    <s v="Medium"/>
  </r>
  <r>
    <s v="2375 CANYON RIDGE Drive"/>
    <x v="10"/>
    <x v="0"/>
    <x v="653"/>
    <n v="4"/>
    <x v="0"/>
    <x v="4"/>
    <n v="3147"/>
    <n v="197.01302828090246"/>
    <s v="Low"/>
  </r>
  <r>
    <s v="160 Woodedge Drive"/>
    <x v="48"/>
    <x v="0"/>
    <x v="653"/>
    <n v="13"/>
    <x v="0"/>
    <x v="4"/>
    <n v="2279"/>
    <n v="272.04914436156207"/>
    <s v="Medium"/>
  </r>
  <r>
    <s v="1291 WASHINGTON Boulevard"/>
    <x v="40"/>
    <x v="0"/>
    <x v="654"/>
    <n v="2"/>
    <x v="2"/>
    <x v="1"/>
    <n v="1076"/>
    <n v="577.13754646840152"/>
    <s v="High"/>
  </r>
  <r>
    <s v="24430 BETHANY Way"/>
    <x v="2"/>
    <x v="0"/>
    <x v="655"/>
    <n v="8"/>
    <x v="0"/>
    <x v="5"/>
    <n v="2579"/>
    <n v="241.37262504846839"/>
    <s v="Medium"/>
  </r>
  <r>
    <s v="4793 W Stonegate Circle"/>
    <x v="57"/>
    <x v="0"/>
    <x v="656"/>
    <n v="99"/>
    <x v="0"/>
    <x v="14"/>
    <n v="3110"/>
    <n v="200.32154340836013"/>
    <s v="Medium"/>
  </r>
  <r>
    <s v="3267 Greentree Road"/>
    <x v="48"/>
    <x v="0"/>
    <x v="657"/>
    <n v="5"/>
    <x v="0"/>
    <x v="4"/>
    <n v="2365"/>
    <n v="264.22832980972515"/>
    <s v="Medium"/>
  </r>
  <r>
    <s v="4009 PARKVIEW Drive"/>
    <x v="18"/>
    <x v="0"/>
    <x v="658"/>
    <n v="3"/>
    <x v="2"/>
    <x v="10"/>
    <n v="1610"/>
    <n v="388.19875776397515"/>
    <s v="High"/>
  </r>
  <r>
    <s v="2644 Limerick Lane"/>
    <x v="22"/>
    <x v="0"/>
    <x v="658"/>
    <n v="34"/>
    <x v="0"/>
    <x v="4"/>
    <n v="2706"/>
    <n v="230.96821877309682"/>
    <s v="Medium"/>
  </r>
  <r>
    <s v="1706 WHITE BIRCH Court"/>
    <x v="22"/>
    <x v="0"/>
    <x v="658"/>
    <n v="21"/>
    <x v="0"/>
    <x v="5"/>
    <n v="2677"/>
    <n v="233.47030257751214"/>
    <s v="Medium"/>
  </r>
  <r>
    <s v="960 CANDLESTICK"/>
    <x v="48"/>
    <x v="0"/>
    <x v="658"/>
    <n v="52"/>
    <x v="0"/>
    <x v="5"/>
    <n v="2585"/>
    <n v="241.77949709864603"/>
    <s v="Medium"/>
  </r>
  <r>
    <s v="4590 BARBARA KAY"/>
    <x v="10"/>
    <x v="0"/>
    <x v="658"/>
    <n v="5"/>
    <x v="2"/>
    <x v="5"/>
    <n v="2249"/>
    <n v="277.90128946198308"/>
    <s v="Medium"/>
  </r>
  <r>
    <s v="27727 WELLINGTON Street"/>
    <x v="11"/>
    <x v="0"/>
    <x v="658"/>
    <n v="54"/>
    <x v="6"/>
    <x v="12"/>
    <n v="3827"/>
    <n v="163.31330023517114"/>
    <s v="Low"/>
  </r>
  <r>
    <s v="5592 ELLEMERE Lane"/>
    <x v="24"/>
    <x v="0"/>
    <x v="659"/>
    <n v="270"/>
    <x v="1"/>
    <x v="2"/>
    <n v="1940"/>
    <n v="322.67783505154637"/>
    <s v="High"/>
  </r>
  <r>
    <s v="62017 SAVANNAH Drive"/>
    <x v="37"/>
    <x v="0"/>
    <x v="660"/>
    <n v="18"/>
    <x v="0"/>
    <x v="10"/>
    <n v="3477"/>
    <n v="180.04026459591603"/>
    <s v="Low"/>
  </r>
  <r>
    <s v="2032 Roundtree"/>
    <x v="3"/>
    <x v="0"/>
    <x v="661"/>
    <n v="38"/>
    <x v="0"/>
    <x v="4"/>
    <n v="2380"/>
    <n v="263.23529411764707"/>
    <s v="Medium"/>
  </r>
  <r>
    <s v="4790 Marquette Drive"/>
    <x v="49"/>
    <x v="0"/>
    <x v="662"/>
    <n v="14"/>
    <x v="0"/>
    <x v="4"/>
    <n v="3257"/>
    <n v="192.87534540988639"/>
    <s v="Low"/>
  </r>
  <r>
    <s v="2640 TOWERING OAKS Drive"/>
    <x v="10"/>
    <x v="0"/>
    <x v="663"/>
    <n v="11"/>
    <x v="0"/>
    <x v="4"/>
    <n v="2844"/>
    <n v="221.16736990154712"/>
    <s v="Medium"/>
  </r>
  <r>
    <s v="1085 NORFOLK Street"/>
    <x v="40"/>
    <x v="0"/>
    <x v="664"/>
    <n v="7"/>
    <x v="2"/>
    <x v="4"/>
    <n v="2076"/>
    <n v="303.42003853564546"/>
    <s v="High"/>
  </r>
  <r>
    <s v="6446 Hills Drive"/>
    <x v="48"/>
    <x v="0"/>
    <x v="665"/>
    <n v="0"/>
    <x v="2"/>
    <x v="5"/>
    <n v="2494"/>
    <n v="252.60625501202887"/>
    <s v="Medium"/>
  </r>
  <r>
    <s v="743 Caribou Court"/>
    <x v="46"/>
    <x v="0"/>
    <x v="665"/>
    <n v="3"/>
    <x v="0"/>
    <x v="4"/>
    <n v="2592"/>
    <n v="243.05555555555554"/>
    <s v="Medium"/>
  </r>
  <r>
    <s v="4414 BRANDYWYNE Drive"/>
    <x v="22"/>
    <x v="0"/>
    <x v="665"/>
    <n v="4"/>
    <x v="0"/>
    <x v="5"/>
    <n v="2605"/>
    <n v="241.84261036468331"/>
    <s v="Medium"/>
  </r>
  <r>
    <s v="6538  Cambridge  Circle"/>
    <x v="29"/>
    <x v="0"/>
    <x v="665"/>
    <n v="159"/>
    <x v="0"/>
    <x v="5"/>
    <n v="2426"/>
    <n v="259.68672712283592"/>
    <s v="Medium"/>
  </r>
  <r>
    <s v="4053 DREXEL Drive"/>
    <x v="22"/>
    <x v="0"/>
    <x v="665"/>
    <n v="47"/>
    <x v="0"/>
    <x v="4"/>
    <n v="2784"/>
    <n v="226.29310344827587"/>
    <s v="Medium"/>
  </r>
  <r>
    <s v="7076 BALMORAL Drive"/>
    <x v="24"/>
    <x v="0"/>
    <x v="665"/>
    <n v="89"/>
    <x v="0"/>
    <x v="5"/>
    <n v="3025"/>
    <n v="208.26446280991735"/>
    <s v="Medium"/>
  </r>
  <r>
    <s v="6431 ELMWOOD Drive"/>
    <x v="0"/>
    <x v="0"/>
    <x v="665"/>
    <n v="51"/>
    <x v="0"/>
    <x v="4"/>
    <n v="3180"/>
    <n v="198.11320754716982"/>
    <s v="Low"/>
  </r>
  <r>
    <s v="7030 TUTTLE"/>
    <x v="0"/>
    <x v="0"/>
    <x v="665"/>
    <n v="200"/>
    <x v="2"/>
    <x v="10"/>
    <n v="2663"/>
    <n v="236.5752910251596"/>
    <s v="Medium"/>
  </r>
  <r>
    <s v="4065 LAHRING Road"/>
    <x v="9"/>
    <x v="0"/>
    <x v="665"/>
    <n v="229"/>
    <x v="9"/>
    <x v="4"/>
    <n v="7264"/>
    <n v="86.729074889867846"/>
    <s v="Low"/>
  </r>
  <r>
    <s v="6751 CRESTVIEW Drive"/>
    <x v="22"/>
    <x v="0"/>
    <x v="666"/>
    <n v="29"/>
    <x v="0"/>
    <x v="4"/>
    <n v="3391"/>
    <n v="185.93335299321734"/>
    <s v="Low"/>
  </r>
  <r>
    <s v="3541 ARBOR Avenue"/>
    <x v="18"/>
    <x v="0"/>
    <x v="667"/>
    <n v="7"/>
    <x v="2"/>
    <x v="4"/>
    <n v="2184"/>
    <n v="289.3772893772894"/>
    <s v="Medium"/>
  </r>
  <r>
    <s v="6232 LYNN Court"/>
    <x v="24"/>
    <x v="0"/>
    <x v="667"/>
    <n v="86"/>
    <x v="2"/>
    <x v="4"/>
    <n v="3132"/>
    <n v="201.78799489144316"/>
    <s v="Medium"/>
  </r>
  <r>
    <s v="27464 PAMPLONA Lane"/>
    <x v="2"/>
    <x v="0"/>
    <x v="668"/>
    <n v="75"/>
    <x v="3"/>
    <x v="4"/>
    <n v="2958"/>
    <n v="214.63826910074374"/>
    <s v="Medium"/>
  </r>
  <r>
    <s v="6890 Cedarbrook Drive"/>
    <x v="48"/>
    <x v="0"/>
    <x v="669"/>
    <n v="8"/>
    <x v="0"/>
    <x v="5"/>
    <n v="1835"/>
    <n v="346.04904632152591"/>
    <s v="High"/>
  </r>
  <r>
    <s v="30690 Turtle Creek Court"/>
    <x v="11"/>
    <x v="0"/>
    <x v="669"/>
    <n v="5"/>
    <x v="3"/>
    <x v="4"/>
    <n v="3600"/>
    <n v="176.38888888888889"/>
    <s v="Low"/>
  </r>
  <r>
    <s v="57 CRESTFIELD Avenue"/>
    <x v="22"/>
    <x v="0"/>
    <x v="669"/>
    <n v="22"/>
    <x v="0"/>
    <x v="5"/>
    <n v="2584"/>
    <n v="245.74303405572755"/>
    <s v="Medium"/>
  </r>
  <r>
    <s v="2847 CUMMINGS Avenue"/>
    <x v="25"/>
    <x v="0"/>
    <x v="670"/>
    <n v="25"/>
    <x v="2"/>
    <x v="5"/>
    <n v="2445"/>
    <n v="259.91820040899796"/>
    <s v="Medium"/>
  </r>
  <r>
    <s v="10048 KING Road"/>
    <x v="28"/>
    <x v="0"/>
    <x v="670"/>
    <n v="91"/>
    <x v="2"/>
    <x v="10"/>
    <n v="2052"/>
    <n v="309.69785575048735"/>
    <s v="High"/>
  </r>
  <r>
    <s v="26644 INTERNATIONAL Drive"/>
    <x v="37"/>
    <x v="0"/>
    <x v="671"/>
    <n v="3"/>
    <x v="2"/>
    <x v="5"/>
    <n v="2391"/>
    <n v="266.39565035549981"/>
    <s v="Medium"/>
  </r>
  <r>
    <s v="2936 Briarwood Drive"/>
    <x v="22"/>
    <x v="0"/>
    <x v="672"/>
    <n v="83"/>
    <x v="0"/>
    <x v="4"/>
    <n v="3300"/>
    <n v="193.03030303030303"/>
    <s v="Low"/>
  </r>
  <r>
    <s v="3134 Cairncross Drive"/>
    <x v="35"/>
    <x v="0"/>
    <x v="673"/>
    <n v="14"/>
    <x v="1"/>
    <x v="2"/>
    <n v="1505"/>
    <n v="424.5847176079734"/>
    <s v="High"/>
  </r>
  <r>
    <s v="1946 Kohli Drive"/>
    <x v="22"/>
    <x v="0"/>
    <x v="674"/>
    <n v="21"/>
    <x v="0"/>
    <x v="5"/>
    <n v="2400"/>
    <n v="266.625"/>
    <s v="Medium"/>
  </r>
  <r>
    <s v="927 Leafdale Dr."/>
    <x v="3"/>
    <x v="0"/>
    <x v="675"/>
    <n v="14"/>
    <x v="0"/>
    <x v="5"/>
    <n v="2700"/>
    <n v="237.03703703703704"/>
    <s v="Medium"/>
  </r>
  <r>
    <s v="387 HILLWOOD"/>
    <x v="10"/>
    <x v="0"/>
    <x v="675"/>
    <n v="101"/>
    <x v="2"/>
    <x v="8"/>
    <n v="2168"/>
    <n v="295.2029520295203"/>
    <s v="Medium"/>
  </r>
  <r>
    <s v="4785 RANCH Lane"/>
    <x v="48"/>
    <x v="0"/>
    <x v="675"/>
    <n v="6"/>
    <x v="0"/>
    <x v="10"/>
    <n v="2274"/>
    <n v="281.4423922603342"/>
    <s v="Medium"/>
  </r>
  <r>
    <s v="20868 Hasenclever Drive"/>
    <x v="37"/>
    <x v="0"/>
    <x v="676"/>
    <n v="267"/>
    <x v="0"/>
    <x v="5"/>
    <n v="2690"/>
    <n v="238.25018587360594"/>
    <s v="Medium"/>
  </r>
  <r>
    <s v="5721 FENWICK"/>
    <x v="29"/>
    <x v="0"/>
    <x v="677"/>
    <n v="8"/>
    <x v="3"/>
    <x v="0"/>
    <n v="3107"/>
    <n v="206.30833601544899"/>
    <s v="Medium"/>
  </r>
  <r>
    <s v="2832 VINSETTA Boulevard"/>
    <x v="18"/>
    <x v="0"/>
    <x v="678"/>
    <n v="83"/>
    <x v="2"/>
    <x v="5"/>
    <n v="2116"/>
    <n v="303.87523629489601"/>
    <s v="High"/>
  </r>
  <r>
    <s v="26515 W 13 MILE Road"/>
    <x v="53"/>
    <x v="0"/>
    <x v="679"/>
    <n v="66"/>
    <x v="2"/>
    <x v="14"/>
    <n v="3641"/>
    <n v="177.14913485306235"/>
    <s v="Low"/>
  </r>
  <r>
    <s v="775 Marlayna"/>
    <x v="43"/>
    <x v="0"/>
    <x v="680"/>
    <n v="45"/>
    <x v="0"/>
    <x v="5"/>
    <n v="3000"/>
    <n v="215.25"/>
    <s v="Medium"/>
  </r>
  <r>
    <s v="8482 Ranch Estates  Road"/>
    <x v="29"/>
    <x v="0"/>
    <x v="681"/>
    <n v="4"/>
    <x v="0"/>
    <x v="10"/>
    <n v="2741"/>
    <n v="236.77489967165269"/>
    <s v="Medium"/>
  </r>
  <r>
    <s v="30164 TURTLE CREEK Circle"/>
    <x v="37"/>
    <x v="0"/>
    <x v="682"/>
    <n v="12"/>
    <x v="2"/>
    <x v="10"/>
    <n v="2491"/>
    <n v="260.93536732236049"/>
    <s v="Medium"/>
  </r>
  <r>
    <s v="4702 MIDDLEBURY Drive"/>
    <x v="13"/>
    <x v="0"/>
    <x v="683"/>
    <n v="4"/>
    <x v="0"/>
    <x v="4"/>
    <n v="3308"/>
    <n v="196.49334945586457"/>
    <s v="Low"/>
  </r>
  <r>
    <s v="3358 Phillips Avenue"/>
    <x v="25"/>
    <x v="0"/>
    <x v="683"/>
    <n v="128"/>
    <x v="0"/>
    <x v="5"/>
    <n v="2500"/>
    <n v="260"/>
    <s v="Medium"/>
  </r>
  <r>
    <s v="2457 Andover"/>
    <x v="35"/>
    <x v="0"/>
    <x v="683"/>
    <n v="72"/>
    <x v="0"/>
    <x v="14"/>
    <n v="3482"/>
    <n v="186.67432510051694"/>
    <s v="Low"/>
  </r>
  <r>
    <s v="2883 CREEK BEND Drive"/>
    <x v="22"/>
    <x v="0"/>
    <x v="683"/>
    <n v="50"/>
    <x v="0"/>
    <x v="5"/>
    <n v="2959"/>
    <n v="219.66880702940182"/>
    <s v="Medium"/>
  </r>
  <r>
    <s v="27190 PEMBRIDGE Lane"/>
    <x v="11"/>
    <x v="0"/>
    <x v="683"/>
    <n v="90"/>
    <x v="0"/>
    <x v="4"/>
    <n v="3709"/>
    <n v="175.24939336748449"/>
    <s v="Low"/>
  </r>
  <r>
    <s v="1801 Carnoustie"/>
    <x v="43"/>
    <x v="0"/>
    <x v="683"/>
    <n v="119"/>
    <x v="0"/>
    <x v="0"/>
    <n v="3027"/>
    <n v="214.73406012553684"/>
    <s v="Medium"/>
  </r>
  <r>
    <s v="1009 JAMES K Boulevard"/>
    <x v="1"/>
    <x v="0"/>
    <x v="684"/>
    <n v="80"/>
    <x v="3"/>
    <x v="4"/>
    <n v="1952"/>
    <n v="333.24795081967216"/>
    <s v="High"/>
  </r>
  <r>
    <s v="6008 WINSFORD Lane"/>
    <x v="29"/>
    <x v="0"/>
    <x v="685"/>
    <n v="137"/>
    <x v="3"/>
    <x v="10"/>
    <n v="3175"/>
    <n v="205.98110236220472"/>
    <s v="Medium"/>
  </r>
  <r>
    <s v="3720 Sunnyside Court"/>
    <x v="35"/>
    <x v="0"/>
    <x v="686"/>
    <n v="3"/>
    <x v="0"/>
    <x v="5"/>
    <n v="2614"/>
    <n v="250.38255547054322"/>
    <s v="Medium"/>
  </r>
  <r>
    <s v="18585 WALMER Lane"/>
    <x v="41"/>
    <x v="0"/>
    <x v="687"/>
    <n v="21"/>
    <x v="0"/>
    <x v="5"/>
    <n v="2410"/>
    <n v="271.78423236514521"/>
    <s v="Medium"/>
  </r>
  <r>
    <s v="3690 BERKSHIRE Drive"/>
    <x v="48"/>
    <x v="0"/>
    <x v="687"/>
    <n v="6"/>
    <x v="0"/>
    <x v="8"/>
    <n v="2456"/>
    <n v="266.69381107491859"/>
    <s v="Medium"/>
  </r>
  <r>
    <s v="42977 ASHBURY Drive"/>
    <x v="2"/>
    <x v="0"/>
    <x v="687"/>
    <n v="8"/>
    <x v="0"/>
    <x v="5"/>
    <n v="2989"/>
    <n v="219.13683506189361"/>
    <s v="Medium"/>
  </r>
  <r>
    <s v="3586 HIGH VIEW Drive"/>
    <x v="43"/>
    <x v="0"/>
    <x v="687"/>
    <n v="52"/>
    <x v="0"/>
    <x v="4"/>
    <n v="3109"/>
    <n v="210.67867481505309"/>
    <s v="Medium"/>
  </r>
  <r>
    <s v="3535 Dukeshire Highway"/>
    <x v="18"/>
    <x v="0"/>
    <x v="688"/>
    <n v="53"/>
    <x v="0"/>
    <x v="5"/>
    <n v="2328"/>
    <n v="281.78694158075604"/>
    <s v="Medium"/>
  </r>
  <r>
    <s v="24406 JADE Drive"/>
    <x v="38"/>
    <x v="0"/>
    <x v="689"/>
    <n v="1"/>
    <x v="3"/>
    <x v="10"/>
    <n v="2022"/>
    <n v="325.81107814045498"/>
    <s v="High"/>
  </r>
  <r>
    <s v="3662 MERRIWEATHER Lane"/>
    <x v="3"/>
    <x v="0"/>
    <x v="690"/>
    <n v="41"/>
    <x v="3"/>
    <x v="4"/>
    <n v="4141"/>
    <n v="159.14030427432988"/>
    <s v="Low"/>
  </r>
  <r>
    <s v="1761 HIDDEN VALLEY Drive"/>
    <x v="49"/>
    <x v="0"/>
    <x v="691"/>
    <n v="8"/>
    <x v="2"/>
    <x v="4"/>
    <n v="2521"/>
    <n v="261.80087266957554"/>
    <s v="Medium"/>
  </r>
  <r>
    <s v="725 WESTVIEW Road"/>
    <x v="54"/>
    <x v="0"/>
    <x v="691"/>
    <n v="49"/>
    <x v="3"/>
    <x v="4"/>
    <n v="3100"/>
    <n v="212.90322580645162"/>
    <s v="Medium"/>
  </r>
  <r>
    <s v="1248 EDENBROOK"/>
    <x v="47"/>
    <x v="0"/>
    <x v="692"/>
    <n v="9"/>
    <x v="0"/>
    <x v="0"/>
    <n v="3378"/>
    <n v="195.67791592658378"/>
    <s v="Low"/>
  </r>
  <r>
    <s v="2214 OLD NOVI Road"/>
    <x v="2"/>
    <x v="0"/>
    <x v="693"/>
    <n v="6"/>
    <x v="0"/>
    <x v="5"/>
    <n v="2657"/>
    <n v="248.81445238991344"/>
    <s v="Medium"/>
  </r>
  <r>
    <s v="770 Marlayna"/>
    <x v="43"/>
    <x v="0"/>
    <x v="694"/>
    <n v="80"/>
    <x v="0"/>
    <x v="4"/>
    <n v="3003"/>
    <n v="220.77922077922079"/>
    <s v="Medium"/>
  </r>
  <r>
    <s v="4531 N Campbell"/>
    <x v="18"/>
    <x v="0"/>
    <x v="695"/>
    <n v="225"/>
    <x v="0"/>
    <x v="5"/>
    <n v="2500"/>
    <n v="266"/>
    <s v="Medium"/>
  </r>
  <r>
    <s v="2196 E SHORE Drive"/>
    <x v="3"/>
    <x v="0"/>
    <x v="695"/>
    <n v="5"/>
    <x v="0"/>
    <x v="4"/>
    <n v="1906"/>
    <n v="348.89821615949631"/>
    <s v="High"/>
  </r>
  <r>
    <s v="2798 BUCKINGHAM Avenue"/>
    <x v="25"/>
    <x v="0"/>
    <x v="695"/>
    <n v="160"/>
    <x v="0"/>
    <x v="4"/>
    <n v="2653"/>
    <n v="250.65963060686016"/>
    <s v="Medium"/>
  </r>
  <r>
    <s v="4253 Sedgemoor"/>
    <x v="24"/>
    <x v="0"/>
    <x v="695"/>
    <n v="25"/>
    <x v="0"/>
    <x v="4"/>
    <n v="3014"/>
    <n v="220.63702720637028"/>
    <s v="Medium"/>
  </r>
  <r>
    <s v="20886 HASENCLEVER Drive"/>
    <x v="37"/>
    <x v="0"/>
    <x v="696"/>
    <n v="0"/>
    <x v="2"/>
    <x v="5"/>
    <n v="2212"/>
    <n v="300.97423146473778"/>
    <s v="High"/>
  </r>
  <r>
    <s v="18103 Riverside Drive"/>
    <x v="41"/>
    <x v="0"/>
    <x v="697"/>
    <n v="3"/>
    <x v="0"/>
    <x v="5"/>
    <n v="2446"/>
    <n v="273.09893704006544"/>
    <s v="Medium"/>
  </r>
  <r>
    <s v="4732 Tanglewood Lane"/>
    <x v="13"/>
    <x v="0"/>
    <x v="698"/>
    <n v="4"/>
    <x v="0"/>
    <x v="4"/>
    <n v="3384"/>
    <n v="197.99054373522458"/>
    <s v="Low"/>
  </r>
  <r>
    <s v="23672 Stoneleigh Drive"/>
    <x v="37"/>
    <x v="0"/>
    <x v="698"/>
    <n v="9"/>
    <x v="2"/>
    <x v="5"/>
    <n v="2918"/>
    <n v="229.60932145305003"/>
    <s v="Medium"/>
  </r>
  <r>
    <s v="74 PARK ISLAND Drive"/>
    <x v="36"/>
    <x v="0"/>
    <x v="698"/>
    <n v="56"/>
    <x v="2"/>
    <x v="5"/>
    <n v="1466"/>
    <n v="457.02592087312416"/>
    <s v="High"/>
  </r>
  <r>
    <s v="4128 NEWGARD Drive"/>
    <x v="13"/>
    <x v="0"/>
    <x v="698"/>
    <n v="203"/>
    <x v="3"/>
    <x v="10"/>
    <n v="3355"/>
    <n v="199.70193740685545"/>
    <s v="Low"/>
  </r>
  <r>
    <s v="6328 ELSEY Drive"/>
    <x v="22"/>
    <x v="0"/>
    <x v="699"/>
    <n v="7"/>
    <x v="0"/>
    <x v="5"/>
    <n v="2540"/>
    <n v="264.56692913385825"/>
    <s v="Medium"/>
  </r>
  <r>
    <s v="150 SINGH Boulevard"/>
    <x v="16"/>
    <x v="0"/>
    <x v="700"/>
    <n v="6"/>
    <x v="3"/>
    <x v="10"/>
    <n v="2988"/>
    <n v="225.23427041499332"/>
    <s v="Medium"/>
  </r>
  <r>
    <s v="21224 Prestwick"/>
    <x v="11"/>
    <x v="0"/>
    <x v="701"/>
    <n v="123"/>
    <x v="0"/>
    <x v="4"/>
    <n v="3505"/>
    <n v="192.58202567760341"/>
    <s v="Low"/>
  </r>
  <r>
    <s v="3881 Quarton Road"/>
    <x v="48"/>
    <x v="0"/>
    <x v="702"/>
    <n v="6"/>
    <x v="2"/>
    <x v="8"/>
    <n v="2653"/>
    <n v="255.93667546174143"/>
    <s v="Medium"/>
  </r>
  <r>
    <s v="443 Wesley"/>
    <x v="46"/>
    <x v="0"/>
    <x v="703"/>
    <n v="61"/>
    <x v="0"/>
    <x v="8"/>
    <n v="2309"/>
    <n v="294.45647466435685"/>
    <s v="Medium"/>
  </r>
  <r>
    <s v="6480 Park View Drive Drive"/>
    <x v="22"/>
    <x v="0"/>
    <x v="704"/>
    <n v="6"/>
    <x v="0"/>
    <x v="4"/>
    <n v="2917"/>
    <n v="233.11621528968118"/>
    <s v="Medium"/>
  </r>
  <r>
    <s v="71 CHILDRESS Avenue"/>
    <x v="3"/>
    <x v="0"/>
    <x v="704"/>
    <n v="120"/>
    <x v="0"/>
    <x v="5"/>
    <n v="2760"/>
    <n v="246.37681159420291"/>
    <s v="Medium"/>
  </r>
  <r>
    <s v="6500 RED OAK Drive"/>
    <x v="22"/>
    <x v="0"/>
    <x v="704"/>
    <n v="4"/>
    <x v="0"/>
    <x v="4"/>
    <n v="2917"/>
    <n v="233.11621528968118"/>
    <s v="Medium"/>
  </r>
  <r>
    <s v="4126 LIVERNOIS Road"/>
    <x v="22"/>
    <x v="0"/>
    <x v="704"/>
    <n v="316"/>
    <x v="0"/>
    <x v="4"/>
    <n v="3000"/>
    <n v="226.66666666666666"/>
    <s v="Medium"/>
  </r>
  <r>
    <s v="5263 VINEYARD Street"/>
    <x v="14"/>
    <x v="0"/>
    <x v="705"/>
    <n v="2"/>
    <x v="0"/>
    <x v="4"/>
    <n v="2725"/>
    <n v="251.37614678899084"/>
    <s v="Medium"/>
  </r>
  <r>
    <s v="2917 Bywater"/>
    <x v="22"/>
    <x v="0"/>
    <x v="705"/>
    <n v="19"/>
    <x v="3"/>
    <x v="0"/>
    <n v="2910"/>
    <n v="235.39518900343643"/>
    <s v="Medium"/>
  </r>
  <r>
    <s v="1878 FAIRWAY Drive"/>
    <x v="40"/>
    <x v="0"/>
    <x v="706"/>
    <n v="0"/>
    <x v="0"/>
    <x v="4"/>
    <n v="2390"/>
    <n v="288.70292887029291"/>
    <s v="Medium"/>
  </r>
  <r>
    <s v="3492 ARBOR Avenue"/>
    <x v="18"/>
    <x v="0"/>
    <x v="706"/>
    <n v="147"/>
    <x v="3"/>
    <x v="4"/>
    <n v="2757"/>
    <n v="250.27203482045701"/>
    <s v="Medium"/>
  </r>
  <r>
    <s v="1973 Kohli Drive"/>
    <x v="22"/>
    <x v="0"/>
    <x v="706"/>
    <n v="183"/>
    <x v="0"/>
    <x v="10"/>
    <n v="2411"/>
    <n v="286.18830360846124"/>
    <s v="Medium"/>
  </r>
  <r>
    <s v="2735 TULIP Way"/>
    <x v="14"/>
    <x v="0"/>
    <x v="706"/>
    <n v="230"/>
    <x v="3"/>
    <x v="10"/>
    <n v="3175"/>
    <n v="217.3228346456693"/>
    <s v="Medium"/>
  </r>
  <r>
    <s v="3555 SHADY BEACH Boulevard"/>
    <x v="56"/>
    <x v="0"/>
    <x v="707"/>
    <n v="27"/>
    <x v="0"/>
    <x v="5"/>
    <n v="2863"/>
    <n v="241.52986377925254"/>
    <s v="Medium"/>
  </r>
  <r>
    <s v="2802 DERBY Road"/>
    <x v="40"/>
    <x v="0"/>
    <x v="708"/>
    <n v="7"/>
    <x v="0"/>
    <x v="4"/>
    <n v="2311"/>
    <n v="300.73561228905237"/>
    <s v="High"/>
  </r>
  <r>
    <s v="1613 POPLAR Avenue"/>
    <x v="18"/>
    <x v="0"/>
    <x v="708"/>
    <n v="14"/>
    <x v="2"/>
    <x v="4"/>
    <n v="2350"/>
    <n v="295.74468085106383"/>
    <s v="Medium"/>
  </r>
  <r>
    <s v="8380 Woodspur Drive"/>
    <x v="14"/>
    <x v="0"/>
    <x v="708"/>
    <n v="185"/>
    <x v="0"/>
    <x v="4"/>
    <n v="3233"/>
    <n v="214.97061552737395"/>
    <s v="Medium"/>
  </r>
  <r>
    <s v="4385 STONELEIGH Road"/>
    <x v="48"/>
    <x v="0"/>
    <x v="709"/>
    <n v="1"/>
    <x v="0"/>
    <x v="5"/>
    <n v="2980"/>
    <n v="234.8993288590604"/>
    <s v="Medium"/>
  </r>
  <r>
    <s v="5075 MIDMOOR Road"/>
    <x v="48"/>
    <x v="0"/>
    <x v="709"/>
    <n v="0"/>
    <x v="0"/>
    <x v="14"/>
    <n v="3257"/>
    <n v="214.92170709241634"/>
    <s v="Medium"/>
  </r>
  <r>
    <s v="22367 WORCESTER Drive"/>
    <x v="2"/>
    <x v="0"/>
    <x v="709"/>
    <n v="7"/>
    <x v="3"/>
    <x v="4"/>
    <n v="3479"/>
    <n v="201.2072434607646"/>
    <s v="Medium"/>
  </r>
  <r>
    <s v="3712 ELMHURST Avenue"/>
    <x v="18"/>
    <x v="0"/>
    <x v="709"/>
    <n v="10"/>
    <x v="0"/>
    <x v="5"/>
    <n v="2497"/>
    <n v="280.33640368442133"/>
    <s v="Medium"/>
  </r>
  <r>
    <s v="2688 LAMPLIGHTER Lane"/>
    <x v="48"/>
    <x v="0"/>
    <x v="710"/>
    <n v="5"/>
    <x v="0"/>
    <x v="5"/>
    <n v="2677"/>
    <n v="262.42062009712367"/>
    <s v="Medium"/>
  </r>
  <r>
    <s v="26075 WOODLORE Road"/>
    <x v="53"/>
    <x v="0"/>
    <x v="711"/>
    <n v="12"/>
    <x v="0"/>
    <x v="5"/>
    <n v="2726"/>
    <n v="258.62068965517244"/>
    <s v="Medium"/>
  </r>
  <r>
    <s v="223 KIRKSWAY Lane"/>
    <x v="13"/>
    <x v="0"/>
    <x v="711"/>
    <n v="6"/>
    <x v="3"/>
    <x v="4"/>
    <n v="2866"/>
    <n v="245.98743893928821"/>
    <s v="Medium"/>
  </r>
  <r>
    <s v="2765 Tulip Way"/>
    <x v="14"/>
    <x v="0"/>
    <x v="712"/>
    <n v="381"/>
    <x v="3"/>
    <x v="10"/>
    <n v="3175"/>
    <n v="223.61889763779527"/>
    <s v="Medium"/>
  </r>
  <r>
    <s v="21071 WHEATON Lane"/>
    <x v="2"/>
    <x v="0"/>
    <x v="713"/>
    <n v="3"/>
    <x v="0"/>
    <x v="4"/>
    <n v="3234"/>
    <n v="219.54236239950527"/>
    <s v="Medium"/>
  </r>
  <r>
    <s v="1931 HAVERHILL Drive"/>
    <x v="3"/>
    <x v="0"/>
    <x v="713"/>
    <n v="10"/>
    <x v="0"/>
    <x v="14"/>
    <n v="3648"/>
    <n v="194.62719298245614"/>
    <s v="Low"/>
  </r>
  <r>
    <s v="6330 BRANFORD Drive"/>
    <x v="24"/>
    <x v="0"/>
    <x v="713"/>
    <n v="3"/>
    <x v="0"/>
    <x v="4"/>
    <n v="3710"/>
    <n v="191.37466307277629"/>
    <s v="Low"/>
  </r>
  <r>
    <s v="10001 ELLIS Road"/>
    <x v="28"/>
    <x v="0"/>
    <x v="713"/>
    <n v="59"/>
    <x v="0"/>
    <x v="4"/>
    <n v="2986"/>
    <n v="237.7762893503014"/>
    <s v="Medium"/>
  </r>
  <r>
    <s v="1693 TOWNSEND Road"/>
    <x v="55"/>
    <x v="0"/>
    <x v="714"/>
    <n v="191"/>
    <x v="0"/>
    <x v="4"/>
    <n v="3850"/>
    <n v="184.93506493506493"/>
    <s v="Low"/>
  </r>
  <r>
    <s v="13312 LUDLOW Avenue"/>
    <x v="50"/>
    <x v="0"/>
    <x v="715"/>
    <n v="2"/>
    <x v="2"/>
    <x v="4"/>
    <n v="2100"/>
    <n v="339.52380952380952"/>
    <s v="High"/>
  </r>
  <r>
    <s v="695 PEACH TREE Lane"/>
    <x v="3"/>
    <x v="0"/>
    <x v="716"/>
    <n v="11"/>
    <x v="0"/>
    <x v="4"/>
    <n v="2673"/>
    <n v="267.48971193415639"/>
    <s v="Medium"/>
  </r>
  <r>
    <s v="6235 WINDSTONE Circle"/>
    <x v="28"/>
    <x v="0"/>
    <x v="716"/>
    <n v="8"/>
    <x v="0"/>
    <x v="4"/>
    <n v="3362"/>
    <n v="212.67102914931587"/>
    <s v="Medium"/>
  </r>
  <r>
    <s v="6095 GOLFVIEW Drive"/>
    <x v="48"/>
    <x v="0"/>
    <x v="716"/>
    <n v="9"/>
    <x v="1"/>
    <x v="5"/>
    <n v="2284"/>
    <n v="313.04728546409808"/>
    <s v="High"/>
  </r>
  <r>
    <s v="11578 Haylock"/>
    <x v="28"/>
    <x v="0"/>
    <x v="716"/>
    <n v="71"/>
    <x v="0"/>
    <x v="8"/>
    <n v="3644"/>
    <n v="196.21295279912184"/>
    <s v="Low"/>
  </r>
  <r>
    <s v="550 BAY POINTE Drive"/>
    <x v="31"/>
    <x v="0"/>
    <x v="717"/>
    <n v="222"/>
    <x v="3"/>
    <x v="12"/>
    <n v="3572"/>
    <n v="201.00783874580068"/>
    <s v="Medium"/>
  </r>
  <r>
    <s v="2893 OAK HILL Trail"/>
    <x v="14"/>
    <x v="0"/>
    <x v="718"/>
    <n v="21"/>
    <x v="2"/>
    <x v="5"/>
    <n v="3100"/>
    <n v="232.58064516129033"/>
    <s v="Medium"/>
  </r>
  <r>
    <s v="7494 AUTUMN HILL Drive"/>
    <x v="24"/>
    <x v="0"/>
    <x v="719"/>
    <n v="9"/>
    <x v="0"/>
    <x v="8"/>
    <n v="3364"/>
    <n v="214.62544589774078"/>
    <s v="Medium"/>
  </r>
  <r>
    <s v="316 S VERMONT Avenue"/>
    <x v="18"/>
    <x v="0"/>
    <x v="720"/>
    <n v="78"/>
    <x v="0"/>
    <x v="8"/>
    <n v="2500"/>
    <n v="289.95999999999998"/>
    <s v="Medium"/>
  </r>
  <r>
    <s v="62249 KEENELAND"/>
    <x v="37"/>
    <x v="0"/>
    <x v="721"/>
    <n v="5"/>
    <x v="3"/>
    <x v="10"/>
    <n v="3641"/>
    <n v="199.12112057127163"/>
    <s v="Low"/>
  </r>
  <r>
    <s v="4523 Woodcliff Court"/>
    <x v="35"/>
    <x v="0"/>
    <x v="721"/>
    <n v="18"/>
    <x v="0"/>
    <x v="14"/>
    <n v="3350"/>
    <n v="216.41791044776119"/>
    <s v="Medium"/>
  </r>
  <r>
    <s v="1852 LATHAM Street"/>
    <x v="40"/>
    <x v="0"/>
    <x v="721"/>
    <n v="5"/>
    <x v="0"/>
    <x v="5"/>
    <n v="2393"/>
    <n v="302.9669870455495"/>
    <s v="High"/>
  </r>
  <r>
    <s v="3790 BURNING TREE Drive"/>
    <x v="48"/>
    <x v="0"/>
    <x v="721"/>
    <n v="4"/>
    <x v="0"/>
    <x v="4"/>
    <n v="2045"/>
    <n v="354.52322738386306"/>
    <s v="High"/>
  </r>
  <r>
    <s v="4901 LIVERNOIS Road"/>
    <x v="22"/>
    <x v="0"/>
    <x v="721"/>
    <n v="19"/>
    <x v="0"/>
    <x v="4"/>
    <n v="2994"/>
    <n v="242.15096860387442"/>
    <s v="Medium"/>
  </r>
  <r>
    <s v="1291 PALATINE Drive"/>
    <x v="35"/>
    <x v="0"/>
    <x v="721"/>
    <n v="20"/>
    <x v="0"/>
    <x v="5"/>
    <n v="3741"/>
    <n v="193.79844961240309"/>
    <s v="Low"/>
  </r>
  <r>
    <s v="614 ARDMOOR Drive"/>
    <x v="48"/>
    <x v="0"/>
    <x v="721"/>
    <n v="18"/>
    <x v="0"/>
    <x v="5"/>
    <n v="2756"/>
    <n v="263.06240928882437"/>
    <s v="Medium"/>
  </r>
  <r>
    <s v="7029 CARLYLE Crossing"/>
    <x v="24"/>
    <x v="0"/>
    <x v="721"/>
    <n v="110"/>
    <x v="3"/>
    <x v="18"/>
    <n v="3739"/>
    <n v="193.90211286440226"/>
    <s v="Low"/>
  </r>
  <r>
    <s v="1950 Trowbridge Lane"/>
    <x v="14"/>
    <x v="0"/>
    <x v="722"/>
    <n v="3"/>
    <x v="0"/>
    <x v="5"/>
    <n v="3278"/>
    <n v="222.6967663209274"/>
    <s v="Medium"/>
  </r>
  <r>
    <s v="2476 HUNT CLUB Drive"/>
    <x v="54"/>
    <x v="0"/>
    <x v="722"/>
    <n v="2"/>
    <x v="0"/>
    <x v="5"/>
    <n v="3283"/>
    <n v="222.35759975632044"/>
    <s v="Medium"/>
  </r>
  <r>
    <s v="1689  Gleneagles"/>
    <x v="17"/>
    <x v="0"/>
    <x v="722"/>
    <n v="3"/>
    <x v="2"/>
    <x v="5"/>
    <n v="2224"/>
    <n v="328.23741007194246"/>
    <s v="High"/>
  </r>
  <r>
    <s v="4511 LAKEVIEW"/>
    <x v="48"/>
    <x v="0"/>
    <x v="722"/>
    <n v="53"/>
    <x v="3"/>
    <x v="8"/>
    <n v="2618"/>
    <n v="278.83880825057298"/>
    <s v="Medium"/>
  </r>
  <r>
    <s v="7130 SUNCREST Road"/>
    <x v="24"/>
    <x v="0"/>
    <x v="723"/>
    <n v="143"/>
    <x v="2"/>
    <x v="4"/>
    <n v="2507"/>
    <n v="291.98244914240126"/>
    <s v="Medium"/>
  </r>
  <r>
    <s v="5600  Oak Bluff  Road"/>
    <x v="35"/>
    <x v="0"/>
    <x v="724"/>
    <n v="21"/>
    <x v="0"/>
    <x v="5"/>
    <n v="3262"/>
    <n v="225.32188841201716"/>
    <s v="Medium"/>
  </r>
  <r>
    <s v="93 OAKDALE Boulevard"/>
    <x v="42"/>
    <x v="0"/>
    <x v="724"/>
    <n v="114"/>
    <x v="2"/>
    <x v="5"/>
    <n v="2166"/>
    <n v="339.33518005540168"/>
    <s v="High"/>
  </r>
  <r>
    <s v="9235 Lakebluff Drive"/>
    <x v="28"/>
    <x v="0"/>
    <x v="725"/>
    <n v="15"/>
    <x v="3"/>
    <x v="16"/>
    <n v="2839"/>
    <n v="259.5808383233533"/>
    <s v="Medium"/>
  </r>
  <r>
    <s v="21669 Hampton Street"/>
    <x v="58"/>
    <x v="0"/>
    <x v="726"/>
    <n v="4"/>
    <x v="2"/>
    <x v="4"/>
    <n v="2878"/>
    <n v="256.08061153578876"/>
    <s v="Medium"/>
  </r>
  <r>
    <s v="16301 WINDY KNOLL Drive"/>
    <x v="27"/>
    <x v="0"/>
    <x v="727"/>
    <n v="188"/>
    <x v="2"/>
    <x v="4"/>
    <n v="2245"/>
    <n v="329.57683741648106"/>
    <s v="High"/>
  </r>
  <r>
    <s v="22767 Martin"/>
    <x v="37"/>
    <x v="0"/>
    <x v="728"/>
    <n v="280"/>
    <x v="3"/>
    <x v="0"/>
    <n v="3384"/>
    <n v="218.67316784869976"/>
    <s v="Medium"/>
  </r>
  <r>
    <s v="1809 COLE Street"/>
    <x v="40"/>
    <x v="0"/>
    <x v="729"/>
    <n v="49"/>
    <x v="0"/>
    <x v="4"/>
    <n v="2219"/>
    <n v="333.48355114916632"/>
    <s v="High"/>
  </r>
  <r>
    <s v="819 1st"/>
    <x v="46"/>
    <x v="0"/>
    <x v="729"/>
    <n v="41"/>
    <x v="0"/>
    <x v="5"/>
    <n v="2909"/>
    <n v="254.38294946717085"/>
    <s v="Medium"/>
  </r>
  <r>
    <s v="4153 HOLLY Lane"/>
    <x v="35"/>
    <x v="0"/>
    <x v="729"/>
    <n v="7"/>
    <x v="0"/>
    <x v="5"/>
    <n v="3132"/>
    <n v="236.27075351213281"/>
    <s v="Medium"/>
  </r>
  <r>
    <s v="1166 Copperwood Drive"/>
    <x v="48"/>
    <x v="0"/>
    <x v="729"/>
    <n v="5"/>
    <x v="7"/>
    <x v="19"/>
    <n v="2000"/>
    <n v="370"/>
    <s v="High"/>
  </r>
  <r>
    <s v="571 MILL Street"/>
    <x v="39"/>
    <x v="0"/>
    <x v="729"/>
    <n v="159"/>
    <x v="0"/>
    <x v="4"/>
    <n v="3180"/>
    <n v="232.70440251572327"/>
    <s v="Medium"/>
  </r>
  <r>
    <s v="16261 KIRKSHIRE Avenue"/>
    <x v="41"/>
    <x v="0"/>
    <x v="729"/>
    <n v="40"/>
    <x v="2"/>
    <x v="5"/>
    <n v="2446"/>
    <n v="302.5347506132461"/>
    <s v="High"/>
  </r>
  <r>
    <s v="735 E MAPLE Road"/>
    <x v="49"/>
    <x v="0"/>
    <x v="730"/>
    <n v="185"/>
    <x v="0"/>
    <x v="4"/>
    <n v="2400"/>
    <n v="312.08333333333331"/>
    <s v="High"/>
  </r>
  <r>
    <s v="7003 WOODBANK Drive"/>
    <x v="48"/>
    <x v="0"/>
    <x v="731"/>
    <n v="9"/>
    <x v="0"/>
    <x v="5"/>
    <n v="2800"/>
    <n v="267.85714285714283"/>
    <s v="Medium"/>
  </r>
  <r>
    <s v="635 WILLOW GLEN Court E"/>
    <x v="54"/>
    <x v="0"/>
    <x v="731"/>
    <n v="57"/>
    <x v="0"/>
    <x v="14"/>
    <n v="3163"/>
    <n v="237.11666139740751"/>
    <s v="Medium"/>
  </r>
  <r>
    <s v="303 KENDRY"/>
    <x v="48"/>
    <x v="0"/>
    <x v="731"/>
    <n v="58"/>
    <x v="0"/>
    <x v="5"/>
    <n v="3000"/>
    <n v="250"/>
    <s v="Medium"/>
  </r>
  <r>
    <s v="1966 DELL ROSE Drive"/>
    <x v="48"/>
    <x v="0"/>
    <x v="731"/>
    <n v="63"/>
    <x v="2"/>
    <x v="4"/>
    <n v="2574"/>
    <n v="291.3752913752914"/>
    <s v="Medium"/>
  </r>
  <r>
    <s v="3791 KLAIS Drive"/>
    <x v="13"/>
    <x v="0"/>
    <x v="731"/>
    <n v="72"/>
    <x v="0"/>
    <x v="4"/>
    <n v="3517"/>
    <n v="213.24992891669035"/>
    <s v="Medium"/>
  </r>
  <r>
    <s v="25937 Wembley Drive"/>
    <x v="2"/>
    <x v="0"/>
    <x v="732"/>
    <n v="5"/>
    <x v="0"/>
    <x v="4"/>
    <n v="2806"/>
    <n v="267.64076977904489"/>
    <s v="Medium"/>
  </r>
  <r>
    <s v="3585 Bloomfield Club Drive"/>
    <x v="48"/>
    <x v="0"/>
    <x v="733"/>
    <n v="19"/>
    <x v="2"/>
    <x v="4"/>
    <n v="2767"/>
    <n v="272.56956993133355"/>
    <s v="Medium"/>
  </r>
  <r>
    <s v="3620 LINWOOD Avenue"/>
    <x v="18"/>
    <x v="0"/>
    <x v="734"/>
    <n v="8"/>
    <x v="0"/>
    <x v="5"/>
    <n v="2556"/>
    <n v="295.38341158059467"/>
    <s v="Medium"/>
  </r>
  <r>
    <s v="30211  Pennington Court"/>
    <x v="2"/>
    <x v="0"/>
    <x v="734"/>
    <n v="62"/>
    <x v="0"/>
    <x v="0"/>
    <n v="3447"/>
    <n v="219.03104148534959"/>
    <s v="Medium"/>
  </r>
  <r>
    <s v="1786 HIDDEN VALLEY Drive"/>
    <x v="49"/>
    <x v="0"/>
    <x v="735"/>
    <n v="20"/>
    <x v="0"/>
    <x v="5"/>
    <n v="3419"/>
    <n v="222.28721848493711"/>
    <s v="Medium"/>
  </r>
  <r>
    <s v="692 Appalachi Street"/>
    <x v="14"/>
    <x v="0"/>
    <x v="736"/>
    <n v="64"/>
    <x v="2"/>
    <x v="10"/>
    <n v="2780"/>
    <n v="275.1798561151079"/>
    <s v="Medium"/>
  </r>
  <r>
    <s v="23824 MILLWOOD"/>
    <x v="37"/>
    <x v="0"/>
    <x v="736"/>
    <n v="5"/>
    <x v="0"/>
    <x v="4"/>
    <n v="3517"/>
    <n v="217.51492749502418"/>
    <s v="Medium"/>
  </r>
  <r>
    <s v="333 Wyngate Drive"/>
    <x v="46"/>
    <x v="0"/>
    <x v="737"/>
    <n v="6"/>
    <x v="0"/>
    <x v="14"/>
    <n v="3391"/>
    <n v="227.07166027720436"/>
    <s v="Medium"/>
  </r>
  <r>
    <s v="739 Elderberry Court"/>
    <x v="14"/>
    <x v="0"/>
    <x v="738"/>
    <n v="64"/>
    <x v="3"/>
    <x v="0"/>
    <n v="4126"/>
    <n v="187.83325254483762"/>
    <s v="Low"/>
  </r>
  <r>
    <s v="1351 GALENA"/>
    <x v="3"/>
    <x v="0"/>
    <x v="738"/>
    <n v="62"/>
    <x v="3"/>
    <x v="0"/>
    <n v="4004"/>
    <n v="193.55644355644355"/>
    <s v="Low"/>
  </r>
  <r>
    <s v="4662 COACHMAKER Drive"/>
    <x v="48"/>
    <x v="0"/>
    <x v="739"/>
    <n v="79"/>
    <x v="0"/>
    <x v="0"/>
    <n v="3104"/>
    <n v="250"/>
    <s v="Medium"/>
  </r>
  <r>
    <s v="111 ROYAL Avenue"/>
    <x v="18"/>
    <x v="0"/>
    <x v="740"/>
    <n v="9"/>
    <x v="2"/>
    <x v="5"/>
    <n v="3021"/>
    <n v="258.19265143992055"/>
    <s v="Medium"/>
  </r>
  <r>
    <s v="1962 Kohli Drive"/>
    <x v="22"/>
    <x v="0"/>
    <x v="740"/>
    <n v="80"/>
    <x v="0"/>
    <x v="4"/>
    <n v="3200"/>
    <n v="243.75"/>
    <s v="Medium"/>
  </r>
  <r>
    <s v="4038 DREXEL Drive"/>
    <x v="22"/>
    <x v="0"/>
    <x v="741"/>
    <n v="0"/>
    <x v="3"/>
    <x v="4"/>
    <n v="3180"/>
    <n v="246.54088050314465"/>
    <s v="Medium"/>
  </r>
  <r>
    <s v="6525 PARK VIEW Drive"/>
    <x v="22"/>
    <x v="0"/>
    <x v="742"/>
    <n v="10"/>
    <x v="0"/>
    <x v="8"/>
    <n v="3425"/>
    <n v="229.19708029197079"/>
    <s v="Medium"/>
  </r>
  <r>
    <s v="304 E TROY Street N"/>
    <x v="18"/>
    <x v="0"/>
    <x v="742"/>
    <n v="108"/>
    <x v="0"/>
    <x v="5"/>
    <n v="2854"/>
    <n v="275.05255781359494"/>
    <s v="Medium"/>
  </r>
  <r>
    <s v="1300 GRANDVIEW Drive"/>
    <x v="3"/>
    <x v="0"/>
    <x v="743"/>
    <n v="87"/>
    <x v="0"/>
    <x v="4"/>
    <n v="3520"/>
    <n v="223.57954545454547"/>
    <s v="Medium"/>
  </r>
  <r>
    <s v="55550 Lee Road"/>
    <x v="37"/>
    <x v="0"/>
    <x v="744"/>
    <n v="56"/>
    <x v="0"/>
    <x v="4"/>
    <n v="2606"/>
    <n v="305.06523407521104"/>
    <s v="High"/>
  </r>
  <r>
    <s v="23413 Millwood Street"/>
    <x v="16"/>
    <x v="0"/>
    <x v="745"/>
    <n v="47"/>
    <x v="0"/>
    <x v="0"/>
    <n v="3274"/>
    <n v="244.31887599266952"/>
    <s v="Medium"/>
  </r>
  <r>
    <s v="2173 BONNIE BRAE Street"/>
    <x v="3"/>
    <x v="0"/>
    <x v="746"/>
    <n v="4"/>
    <x v="0"/>
    <x v="5"/>
    <n v="3657"/>
    <n v="218.75854525567405"/>
    <s v="Medium"/>
  </r>
  <r>
    <s v="987 BENNAVILLE Avenue"/>
    <x v="40"/>
    <x v="0"/>
    <x v="746"/>
    <n v="2"/>
    <x v="2"/>
    <x v="8"/>
    <n v="2129"/>
    <n v="375.76326914044154"/>
    <s v="High"/>
  </r>
  <r>
    <s v="230 DEVON Road"/>
    <x v="48"/>
    <x v="0"/>
    <x v="746"/>
    <n v="45"/>
    <x v="3"/>
    <x v="4"/>
    <n v="3722"/>
    <n v="214.93820526598603"/>
    <s v="Medium"/>
  </r>
  <r>
    <s v="1418 Ferris"/>
    <x v="18"/>
    <x v="0"/>
    <x v="746"/>
    <n v="12"/>
    <x v="0"/>
    <x v="5"/>
    <n v="2925"/>
    <n v="273.5042735042735"/>
    <s v="Medium"/>
  </r>
  <r>
    <s v="1036 N Blair"/>
    <x v="18"/>
    <x v="0"/>
    <x v="746"/>
    <n v="100"/>
    <x v="0"/>
    <x v="5"/>
    <n v="2925"/>
    <n v="273.5042735042735"/>
    <s v="Medium"/>
  </r>
  <r>
    <s v="25571 CRYSTALCREEK WEST"/>
    <x v="37"/>
    <x v="0"/>
    <x v="747"/>
    <n v="1"/>
    <x v="2"/>
    <x v="5"/>
    <n v="2737"/>
    <n v="294.09280233832663"/>
    <s v="Medium"/>
  </r>
  <r>
    <s v="24555 THATCHER Drive W"/>
    <x v="2"/>
    <x v="0"/>
    <x v="748"/>
    <n v="87"/>
    <x v="0"/>
    <x v="0"/>
    <n v="3529"/>
    <n v="228.10994616038539"/>
    <s v="Medium"/>
  </r>
  <r>
    <s v="24129 ELIZABETH Lane"/>
    <x v="2"/>
    <x v="0"/>
    <x v="749"/>
    <n v="5"/>
    <x v="0"/>
    <x v="8"/>
    <n v="3026"/>
    <n v="266.85393258426967"/>
    <s v="Medium"/>
  </r>
  <r>
    <s v="23305 Crooked Tree Court S"/>
    <x v="37"/>
    <x v="0"/>
    <x v="750"/>
    <n v="32"/>
    <x v="0"/>
    <x v="0"/>
    <n v="3583"/>
    <n v="226.06754116662015"/>
    <s v="Medium"/>
  </r>
  <r>
    <s v="3869 MOUNTAIN LAUREL Boulevard"/>
    <x v="35"/>
    <x v="0"/>
    <x v="750"/>
    <n v="65"/>
    <x v="3"/>
    <x v="16"/>
    <n v="4031"/>
    <n v="200.94269412056562"/>
    <s v="Medium"/>
  </r>
  <r>
    <s v="2817 WOODCREEK Way"/>
    <x v="48"/>
    <x v="0"/>
    <x v="751"/>
    <n v="89"/>
    <x v="0"/>
    <x v="4"/>
    <n v="3126"/>
    <n v="260.71657069737682"/>
    <s v="Medium"/>
  </r>
  <r>
    <s v="4998 CHEYENNE Avenue"/>
    <x v="0"/>
    <x v="0"/>
    <x v="751"/>
    <n v="28"/>
    <x v="0"/>
    <x v="2"/>
    <n v="3219"/>
    <n v="253.18421870146008"/>
    <s v="Medium"/>
  </r>
  <r>
    <s v="1320 W Gunn Road"/>
    <x v="35"/>
    <x v="0"/>
    <x v="751"/>
    <n v="250"/>
    <x v="2"/>
    <x v="14"/>
    <n v="3824"/>
    <n v="213.12761506276149"/>
    <s v="Medium"/>
  </r>
  <r>
    <s v="2702 CREEK BEND Drive"/>
    <x v="22"/>
    <x v="0"/>
    <x v="752"/>
    <n v="3"/>
    <x v="0"/>
    <x v="5"/>
    <n v="3040"/>
    <n v="268.3388157894737"/>
    <s v="Medium"/>
  </r>
  <r>
    <s v="24688 NEPAVINE Drive"/>
    <x v="2"/>
    <x v="0"/>
    <x v="753"/>
    <n v="5"/>
    <x v="0"/>
    <x v="4"/>
    <n v="3473"/>
    <n v="235.55226029369422"/>
    <s v="Medium"/>
  </r>
  <r>
    <s v="1196 OTTER Avenue"/>
    <x v="0"/>
    <x v="0"/>
    <x v="754"/>
    <n v="171"/>
    <x v="0"/>
    <x v="4"/>
    <n v="4828"/>
    <n v="169.84258492129246"/>
    <s v="Low"/>
  </r>
  <r>
    <s v="23657 N CROOKED TREE"/>
    <x v="37"/>
    <x v="0"/>
    <x v="755"/>
    <n v="62"/>
    <x v="0"/>
    <x v="0"/>
    <n v="3510"/>
    <n v="235.04273504273505"/>
    <s v="Medium"/>
  </r>
  <r>
    <s v="25490 DOGWOOD Lane"/>
    <x v="2"/>
    <x v="0"/>
    <x v="756"/>
    <n v="6"/>
    <x v="0"/>
    <x v="4"/>
    <n v="3626"/>
    <n v="228.90237175951461"/>
    <s v="Medium"/>
  </r>
  <r>
    <s v="5437 RANGEMORE Drive"/>
    <x v="22"/>
    <x v="0"/>
    <x v="756"/>
    <n v="71"/>
    <x v="3"/>
    <x v="12"/>
    <n v="3141"/>
    <n v="264.24705507800064"/>
    <s v="Medium"/>
  </r>
  <r>
    <s v="4721 HEATHER Lane"/>
    <x v="48"/>
    <x v="0"/>
    <x v="757"/>
    <n v="10"/>
    <x v="2"/>
    <x v="5"/>
    <n v="1887"/>
    <n v="449.92050874403816"/>
    <s v="High"/>
  </r>
  <r>
    <s v="4331 Spruce Hill Lane"/>
    <x v="48"/>
    <x v="0"/>
    <x v="758"/>
    <n v="0"/>
    <x v="3"/>
    <x v="16"/>
    <n v="5283"/>
    <n v="160.89343176225628"/>
    <s v="Low"/>
  </r>
  <r>
    <s v="5942 STONEHAVEN Boulevard"/>
    <x v="35"/>
    <x v="0"/>
    <x v="758"/>
    <n v="7"/>
    <x v="0"/>
    <x v="0"/>
    <n v="3425"/>
    <n v="248.17518248175182"/>
    <s v="Medium"/>
  </r>
  <r>
    <s v="1339 ABERDOVEY"/>
    <x v="48"/>
    <x v="0"/>
    <x v="758"/>
    <n v="9"/>
    <x v="0"/>
    <x v="8"/>
    <n v="2874"/>
    <n v="295.75504523312458"/>
    <s v="Medium"/>
  </r>
  <r>
    <s v="1071 WOODBRIDGE Lane"/>
    <x v="35"/>
    <x v="0"/>
    <x v="758"/>
    <n v="223"/>
    <x v="0"/>
    <x v="14"/>
    <n v="3650"/>
    <n v="232.87671232876713"/>
    <s v="Medium"/>
  </r>
  <r>
    <s v="787 INVERNESS Court"/>
    <x v="22"/>
    <x v="0"/>
    <x v="758"/>
    <n v="9"/>
    <x v="0"/>
    <x v="4"/>
    <n v="3264"/>
    <n v="260.41666666666669"/>
    <s v="Medium"/>
  </r>
  <r>
    <s v="531 S MINERVA Avenue"/>
    <x v="18"/>
    <x v="0"/>
    <x v="758"/>
    <n v="0"/>
    <x v="0"/>
    <x v="5"/>
    <n v="2717"/>
    <n v="312.84504968715493"/>
    <s v="High"/>
  </r>
  <r>
    <s v="24456 Cavendish Avenue E"/>
    <x v="2"/>
    <x v="0"/>
    <x v="758"/>
    <n v="71"/>
    <x v="0"/>
    <x v="4"/>
    <n v="3538"/>
    <n v="240.2487280949689"/>
    <s v="Medium"/>
  </r>
  <r>
    <s v="3447 JOSSMAN Hills"/>
    <x v="27"/>
    <x v="0"/>
    <x v="758"/>
    <n v="24"/>
    <x v="0"/>
    <x v="16"/>
    <n v="5185"/>
    <n v="163.9344262295082"/>
    <s v="Low"/>
  </r>
  <r>
    <s v="2118 CHAPS"/>
    <x v="22"/>
    <x v="0"/>
    <x v="758"/>
    <n v="16"/>
    <x v="0"/>
    <x v="5"/>
    <n v="3322"/>
    <n v="255.86995785671283"/>
    <s v="Medium"/>
  </r>
  <r>
    <s v="722 PARKMAN Drive"/>
    <x v="54"/>
    <x v="0"/>
    <x v="758"/>
    <n v="113"/>
    <x v="6"/>
    <x v="20"/>
    <n v="4415"/>
    <n v="192.5254813137033"/>
    <s v="Low"/>
  </r>
  <r>
    <s v="1822 ARROWHEAD Trail"/>
    <x v="43"/>
    <x v="0"/>
    <x v="758"/>
    <n v="28"/>
    <x v="0"/>
    <x v="16"/>
    <n v="4304"/>
    <n v="197.49070631970261"/>
    <s v="Low"/>
  </r>
  <r>
    <s v="4370 STRATHDALE Lane"/>
    <x v="24"/>
    <x v="0"/>
    <x v="758"/>
    <n v="0"/>
    <x v="0"/>
    <x v="5"/>
    <n v="3300"/>
    <n v="257.57575757575756"/>
    <s v="Medium"/>
  </r>
  <r>
    <s v="433 S MAIN Street"/>
    <x v="39"/>
    <x v="0"/>
    <x v="759"/>
    <n v="12"/>
    <x v="3"/>
    <x v="12"/>
    <n v="3240"/>
    <n v="265.4320987654321"/>
    <s v="Medium"/>
  </r>
  <r>
    <s v="5786 CONCORD Court"/>
    <x v="22"/>
    <x v="0"/>
    <x v="759"/>
    <n v="24"/>
    <x v="0"/>
    <x v="14"/>
    <n v="4154"/>
    <n v="207.02936928261917"/>
    <s v="Medium"/>
  </r>
  <r>
    <s v="18234 BUCKINGHAM Avenue"/>
    <x v="41"/>
    <x v="0"/>
    <x v="760"/>
    <n v="9"/>
    <x v="0"/>
    <x v="5"/>
    <n v="2448"/>
    <n v="353.34967320261438"/>
    <s v="High"/>
  </r>
  <r>
    <s v="5329 RANGEMORE Drive"/>
    <x v="22"/>
    <x v="0"/>
    <x v="760"/>
    <n v="11"/>
    <x v="0"/>
    <x v="10"/>
    <n v="3293"/>
    <n v="262.67840874582447"/>
    <s v="Medium"/>
  </r>
  <r>
    <s v="5151 SPRINGDALE Court"/>
    <x v="29"/>
    <x v="0"/>
    <x v="760"/>
    <n v="20"/>
    <x v="3"/>
    <x v="0"/>
    <n v="4262"/>
    <n v="202.95635851712811"/>
    <s v="Medium"/>
  </r>
  <r>
    <s v="71 N Main Street"/>
    <x v="4"/>
    <x v="0"/>
    <x v="761"/>
    <n v="252"/>
    <x v="3"/>
    <x v="4"/>
    <n v="4827"/>
    <n v="179.61466749533872"/>
    <s v="Low"/>
  </r>
  <r>
    <s v="20965 TORBAY Drive"/>
    <x v="37"/>
    <x v="0"/>
    <x v="762"/>
    <n v="40"/>
    <x v="0"/>
    <x v="4"/>
    <n v="3277"/>
    <n v="265.23191943851083"/>
    <s v="Medium"/>
  </r>
  <r>
    <s v="3890 MOUNTAIN LAUREL Boulevard"/>
    <x v="35"/>
    <x v="0"/>
    <x v="763"/>
    <n v="46"/>
    <x v="3"/>
    <x v="0"/>
    <n v="3877"/>
    <n v="224.37451637864328"/>
    <s v="Medium"/>
  </r>
  <r>
    <s v="3242 PINE LAKE Road"/>
    <x v="24"/>
    <x v="0"/>
    <x v="764"/>
    <n v="14"/>
    <x v="2"/>
    <x v="16"/>
    <n v="4148"/>
    <n v="209.73963355834138"/>
    <s v="Medium"/>
  </r>
  <r>
    <s v="24190  Trafalgar Court"/>
    <x v="2"/>
    <x v="0"/>
    <x v="765"/>
    <n v="95"/>
    <x v="0"/>
    <x v="4"/>
    <n v="3572"/>
    <n v="244.96080627099664"/>
    <s v="Medium"/>
  </r>
  <r>
    <s v="829 HAWKSMOORE Drive"/>
    <x v="29"/>
    <x v="0"/>
    <x v="765"/>
    <n v="191"/>
    <x v="3"/>
    <x v="16"/>
    <n v="4849"/>
    <n v="180.44957723241905"/>
    <s v="Low"/>
  </r>
  <r>
    <s v="1803 SUNBURST Drive"/>
    <x v="22"/>
    <x v="0"/>
    <x v="766"/>
    <n v="7"/>
    <x v="0"/>
    <x v="14"/>
    <n v="3213"/>
    <n v="273.8873327108621"/>
    <s v="Medium"/>
  </r>
  <r>
    <s v="1011 FOREST Avenue"/>
    <x v="40"/>
    <x v="0"/>
    <x v="766"/>
    <n v="66"/>
    <x v="2"/>
    <x v="5"/>
    <n v="2500"/>
    <n v="352"/>
    <s v="High"/>
  </r>
  <r>
    <s v="811 Westlake"/>
    <x v="43"/>
    <x v="0"/>
    <x v="767"/>
    <n v="49"/>
    <x v="0"/>
    <x v="4"/>
    <n v="3175"/>
    <n v="279.96850393700788"/>
    <s v="Medium"/>
  </r>
  <r>
    <s v="32355 WESTLADY"/>
    <x v="41"/>
    <x v="0"/>
    <x v="768"/>
    <n v="17"/>
    <x v="2"/>
    <x v="5"/>
    <n v="2424"/>
    <n v="367.16171617161717"/>
    <s v="High"/>
  </r>
  <r>
    <s v="1949 Maryland Boulevard"/>
    <x v="40"/>
    <x v="0"/>
    <x v="768"/>
    <n v="13"/>
    <x v="2"/>
    <x v="4"/>
    <n v="2500"/>
    <n v="356"/>
    <s v="High"/>
  </r>
  <r>
    <s v="2018 OSPREY Drive"/>
    <x v="22"/>
    <x v="0"/>
    <x v="769"/>
    <n v="6"/>
    <x v="0"/>
    <x v="4"/>
    <n v="3200"/>
    <n v="278.71499999999997"/>
    <s v="Medium"/>
  </r>
  <r>
    <s v="8856 BRIDGE LAKE Road"/>
    <x v="28"/>
    <x v="0"/>
    <x v="770"/>
    <n v="11"/>
    <x v="3"/>
    <x v="4"/>
    <n v="2122"/>
    <n v="421.7719132893497"/>
    <s v="High"/>
  </r>
  <r>
    <s v="26668 HUNTINGTON Road"/>
    <x v="50"/>
    <x v="0"/>
    <x v="771"/>
    <n v="2"/>
    <x v="0"/>
    <x v="8"/>
    <n v="2620"/>
    <n v="343.51145038167937"/>
    <s v="High"/>
  </r>
  <r>
    <s v="22186 DALEVIEW Drive"/>
    <x v="2"/>
    <x v="0"/>
    <x v="771"/>
    <n v="43"/>
    <x v="3"/>
    <x v="4"/>
    <n v="3698"/>
    <n v="243.374797187669"/>
    <s v="Medium"/>
  </r>
  <r>
    <s v="329 Park"/>
    <x v="36"/>
    <x v="0"/>
    <x v="772"/>
    <n v="5"/>
    <x v="2"/>
    <x v="5"/>
    <n v="1595"/>
    <n v="567.39811912225707"/>
    <s v="High"/>
  </r>
  <r>
    <s v="2015 RIDGE Road"/>
    <x v="10"/>
    <x v="0"/>
    <x v="773"/>
    <n v="5"/>
    <x v="0"/>
    <x v="10"/>
    <n v="1990"/>
    <n v="459.79899497487435"/>
    <s v="High"/>
  </r>
  <r>
    <s v="6839 MINNOW POND Drive"/>
    <x v="24"/>
    <x v="0"/>
    <x v="773"/>
    <n v="52"/>
    <x v="0"/>
    <x v="16"/>
    <n v="4611"/>
    <n v="198.43851659076122"/>
    <s v="Low"/>
  </r>
  <r>
    <s v="5033 DEEP WOOD Road"/>
    <x v="48"/>
    <x v="0"/>
    <x v="774"/>
    <n v="67"/>
    <x v="0"/>
    <x v="4"/>
    <n v="4423"/>
    <n v="208.0036174542166"/>
    <s v="Medium"/>
  </r>
  <r>
    <s v="24252 SAYBROOK"/>
    <x v="2"/>
    <x v="0"/>
    <x v="775"/>
    <n v="7"/>
    <x v="3"/>
    <x v="4"/>
    <n v="3172"/>
    <n v="290.66834804539724"/>
    <s v="Medium"/>
  </r>
  <r>
    <s v="3589 MANN Road"/>
    <x v="4"/>
    <x v="0"/>
    <x v="776"/>
    <n v="3"/>
    <x v="0"/>
    <x v="4"/>
    <n v="2722"/>
    <n v="339.82365907421013"/>
    <s v="High"/>
  </r>
  <r>
    <s v="123 S Blair Avenue"/>
    <x v="18"/>
    <x v="0"/>
    <x v="776"/>
    <n v="7"/>
    <x v="0"/>
    <x v="0"/>
    <n v="3006"/>
    <n v="307.71789753825681"/>
    <s v="High"/>
  </r>
  <r>
    <s v="832 NORTHGATE Road"/>
    <x v="35"/>
    <x v="0"/>
    <x v="776"/>
    <n v="194"/>
    <x v="0"/>
    <x v="4"/>
    <n v="4664"/>
    <n v="198.32761578044597"/>
    <s v="Low"/>
  </r>
  <r>
    <s v="5353 KESWICK"/>
    <x v="35"/>
    <x v="0"/>
    <x v="777"/>
    <n v="127"/>
    <x v="0"/>
    <x v="14"/>
    <n v="3788"/>
    <n v="245.51214361140444"/>
    <s v="Medium"/>
  </r>
  <r>
    <s v="706 Great Oaks Drive"/>
    <x v="48"/>
    <x v="0"/>
    <x v="777"/>
    <n v="278"/>
    <x v="0"/>
    <x v="5"/>
    <n v="3277"/>
    <n v="283.79615501983523"/>
    <s v="Medium"/>
  </r>
  <r>
    <s v="4598 ISLAND PARK Drive"/>
    <x v="0"/>
    <x v="0"/>
    <x v="778"/>
    <n v="6"/>
    <x v="2"/>
    <x v="4"/>
    <n v="2536"/>
    <n v="368.69085173501577"/>
    <s v="High"/>
  </r>
  <r>
    <s v="52689 TRAILWOOD Drive"/>
    <x v="37"/>
    <x v="0"/>
    <x v="778"/>
    <n v="12"/>
    <x v="0"/>
    <x v="4"/>
    <n v="3900"/>
    <n v="239.74358974358975"/>
    <s v="Medium"/>
  </r>
  <r>
    <s v="39 HANOVER Road"/>
    <x v="42"/>
    <x v="0"/>
    <x v="778"/>
    <n v="86"/>
    <x v="0"/>
    <x v="4"/>
    <n v="2963"/>
    <n v="315.55855551805604"/>
    <s v="High"/>
  </r>
  <r>
    <s v="2057 KOHLI Drive"/>
    <x v="22"/>
    <x v="0"/>
    <x v="779"/>
    <n v="5"/>
    <x v="0"/>
    <x v="4"/>
    <n v="3600"/>
    <n v="261.08333333333331"/>
    <s v="Medium"/>
  </r>
  <r>
    <s v="90 OAKDALE Boulevard"/>
    <x v="42"/>
    <x v="0"/>
    <x v="780"/>
    <n v="0"/>
    <x v="0"/>
    <x v="0"/>
    <n v="2798"/>
    <n v="335.9542530378842"/>
    <s v="High"/>
  </r>
  <r>
    <s v="2980 WOODCREEK Way"/>
    <x v="48"/>
    <x v="0"/>
    <x v="781"/>
    <n v="112"/>
    <x v="3"/>
    <x v="4"/>
    <n v="3408"/>
    <n v="277.28873239436621"/>
    <s v="Medium"/>
  </r>
  <r>
    <s v="3417 S CENTURY OAK Circle"/>
    <x v="35"/>
    <x v="0"/>
    <x v="782"/>
    <n v="23"/>
    <x v="3"/>
    <x v="0"/>
    <n v="4118"/>
    <n v="230.6945118989801"/>
    <s v="Medium"/>
  </r>
  <r>
    <s v="1387 MARINA POINTE Boulevard"/>
    <x v="13"/>
    <x v="0"/>
    <x v="782"/>
    <n v="6"/>
    <x v="0"/>
    <x v="4"/>
    <n v="3002"/>
    <n v="316.45569620253167"/>
    <s v="High"/>
  </r>
  <r>
    <s v="3904 Bellevue Avenue"/>
    <x v="18"/>
    <x v="0"/>
    <x v="782"/>
    <n v="55"/>
    <x v="3"/>
    <x v="0"/>
    <n v="2850"/>
    <n v="333.33333333333331"/>
    <s v="High"/>
  </r>
  <r>
    <s v="119 ADAMS Road"/>
    <x v="40"/>
    <x v="0"/>
    <x v="782"/>
    <n v="133"/>
    <x v="3"/>
    <x v="4"/>
    <n v="3239"/>
    <n v="293.30040135844399"/>
    <s v="Medium"/>
  </r>
  <r>
    <s v="1315 BURNS Drive"/>
    <x v="22"/>
    <x v="0"/>
    <x v="782"/>
    <n v="67"/>
    <x v="0"/>
    <x v="21"/>
    <n v="4186"/>
    <n v="226.94696607740087"/>
    <s v="Medium"/>
  </r>
  <r>
    <s v="4689 Applewood  Court"/>
    <x v="35"/>
    <x v="0"/>
    <x v="783"/>
    <n v="5"/>
    <x v="0"/>
    <x v="4"/>
    <n v="2602"/>
    <n v="367.02536510376632"/>
    <s v="High"/>
  </r>
  <r>
    <s v="1222 Cole Street"/>
    <x v="40"/>
    <x v="0"/>
    <x v="784"/>
    <n v="14"/>
    <x v="2"/>
    <x v="10"/>
    <n v="2086"/>
    <n v="458.29338446788114"/>
    <s v="High"/>
  </r>
  <r>
    <s v="21317 Stone Meadow  Drive"/>
    <x v="37"/>
    <x v="0"/>
    <x v="785"/>
    <n v="1"/>
    <x v="3"/>
    <x v="12"/>
    <n v="3321"/>
    <n v="289.45739235170129"/>
    <s v="Medium"/>
  </r>
  <r>
    <s v="507 GIRARD Avenue"/>
    <x v="18"/>
    <x v="0"/>
    <x v="786"/>
    <n v="135"/>
    <x v="0"/>
    <x v="4"/>
    <n v="3054"/>
    <n v="314.99672560576295"/>
    <s v="High"/>
  </r>
  <r>
    <s v="604 Forest Avenue"/>
    <x v="18"/>
    <x v="0"/>
    <x v="787"/>
    <n v="93"/>
    <x v="0"/>
    <x v="5"/>
    <n v="2716"/>
    <n v="355.30191458026508"/>
    <s v="High"/>
  </r>
  <r>
    <s v="6525 WING LAKE Road"/>
    <x v="48"/>
    <x v="0"/>
    <x v="788"/>
    <n v="6"/>
    <x v="2"/>
    <x v="10"/>
    <n v="4044"/>
    <n v="239.86152324431256"/>
    <s v="Medium"/>
  </r>
  <r>
    <s v="662 DETROIT Avenue"/>
    <x v="36"/>
    <x v="0"/>
    <x v="788"/>
    <n v="20"/>
    <x v="0"/>
    <x v="10"/>
    <n v="1635"/>
    <n v="593.27217125382265"/>
    <s v="High"/>
  </r>
  <r>
    <s v="1870 WEBSTER Street"/>
    <x v="40"/>
    <x v="0"/>
    <x v="788"/>
    <n v="119"/>
    <x v="2"/>
    <x v="4"/>
    <n v="2363"/>
    <n v="410.49513330512059"/>
    <s v="High"/>
  </r>
  <r>
    <s v="1661 SILVERBELL Road"/>
    <x v="35"/>
    <x v="0"/>
    <x v="789"/>
    <n v="157"/>
    <x v="2"/>
    <x v="8"/>
    <n v="4442"/>
    <n v="219.0454750112562"/>
    <s v="Medium"/>
  </r>
  <r>
    <s v="4516 WAGON WHEEL Drive"/>
    <x v="48"/>
    <x v="0"/>
    <x v="790"/>
    <n v="30"/>
    <x v="0"/>
    <x v="4"/>
    <n v="4757"/>
    <n v="206.01198234181206"/>
    <s v="Medium"/>
  </r>
  <r>
    <s v="644 Watkins Street"/>
    <x v="40"/>
    <x v="0"/>
    <x v="791"/>
    <n v="35"/>
    <x v="2"/>
    <x v="5"/>
    <n v="2630"/>
    <n v="373.00380228136885"/>
    <s v="High"/>
  </r>
  <r>
    <s v="3522 Lennox"/>
    <x v="35"/>
    <x v="0"/>
    <x v="792"/>
    <n v="0"/>
    <x v="0"/>
    <x v="4"/>
    <n v="3434"/>
    <n v="286.23587652882935"/>
    <s v="Medium"/>
  </r>
  <r>
    <s v="22423 Montebello  Court"/>
    <x v="2"/>
    <x v="0"/>
    <x v="793"/>
    <n v="177"/>
    <x v="0"/>
    <x v="4"/>
    <n v="3049"/>
    <n v="323.05673991472617"/>
    <s v="High"/>
  </r>
  <r>
    <s v="3608 WALNUT BROOK Drive"/>
    <x v="3"/>
    <x v="0"/>
    <x v="793"/>
    <n v="116"/>
    <x v="0"/>
    <x v="4"/>
    <n v="3125"/>
    <n v="315.2"/>
    <s v="High"/>
  </r>
  <r>
    <s v="497 Beverly Island Drive"/>
    <x v="0"/>
    <x v="0"/>
    <x v="794"/>
    <n v="147"/>
    <x v="2"/>
    <x v="5"/>
    <n v="1480"/>
    <n v="668.91891891891896"/>
    <s v="High"/>
  </r>
  <r>
    <s v="3101 Delano Road"/>
    <x v="43"/>
    <x v="0"/>
    <x v="795"/>
    <n v="6"/>
    <x v="0"/>
    <x v="16"/>
    <n v="3995"/>
    <n v="248.31038798498122"/>
    <s v="Medium"/>
  </r>
  <r>
    <s v="3 Riverbank  Drive"/>
    <x v="41"/>
    <x v="0"/>
    <x v="796"/>
    <n v="20"/>
    <x v="3"/>
    <x v="4"/>
    <n v="3552"/>
    <n v="281.25"/>
    <s v="Medium"/>
  </r>
  <r>
    <s v="419 PARKDALE Avenue"/>
    <x v="18"/>
    <x v="0"/>
    <x v="796"/>
    <n v="139"/>
    <x v="0"/>
    <x v="4"/>
    <n v="3023"/>
    <n v="330.46642408203769"/>
    <s v="High"/>
  </r>
  <r>
    <s v="564 OVERHILL Road"/>
    <x v="48"/>
    <x v="0"/>
    <x v="797"/>
    <n v="0"/>
    <x v="0"/>
    <x v="5"/>
    <n v="3282"/>
    <n v="304.69226081657524"/>
    <s v="High"/>
  </r>
  <r>
    <s v="1700 W Lincoln Street"/>
    <x v="40"/>
    <x v="0"/>
    <x v="797"/>
    <n v="191"/>
    <x v="0"/>
    <x v="18"/>
    <n v="2380"/>
    <n v="420.16806722689074"/>
    <s v="High"/>
  </r>
  <r>
    <s v="3715 DURHAM Road"/>
    <x v="18"/>
    <x v="0"/>
    <x v="797"/>
    <n v="126"/>
    <x v="0"/>
    <x v="17"/>
    <n v="3050"/>
    <n v="327.86885245901641"/>
    <s v="High"/>
  </r>
  <r>
    <s v="1221 FAIRFAX Street"/>
    <x v="40"/>
    <x v="0"/>
    <x v="798"/>
    <n v="6"/>
    <x v="2"/>
    <x v="5"/>
    <n v="2227"/>
    <n v="451.72878311629995"/>
    <s v="High"/>
  </r>
  <r>
    <s v="5052 Rockaway"/>
    <x v="29"/>
    <x v="0"/>
    <x v="799"/>
    <n v="2"/>
    <x v="3"/>
    <x v="21"/>
    <n v="3988"/>
    <n v="253.25977933801406"/>
    <s v="Medium"/>
  </r>
  <r>
    <s v="207 N Maple Avenue"/>
    <x v="18"/>
    <x v="0"/>
    <x v="800"/>
    <n v="6"/>
    <x v="7"/>
    <x v="13"/>
    <n v="3079"/>
    <n v="332.90029230269568"/>
    <s v="High"/>
  </r>
  <r>
    <s v="519 LLOYD Avenue"/>
    <x v="18"/>
    <x v="0"/>
    <x v="801"/>
    <n v="175"/>
    <x v="0"/>
    <x v="4"/>
    <n v="3025"/>
    <n v="340.82644628099172"/>
    <s v="High"/>
  </r>
  <r>
    <s v="683 HALF MOON Road"/>
    <x v="48"/>
    <x v="0"/>
    <x v="802"/>
    <n v="44"/>
    <x v="3"/>
    <x v="14"/>
    <n v="3496"/>
    <n v="303.91876430205951"/>
    <s v="High"/>
  </r>
  <r>
    <s v="3516 LINWOOD Avenue"/>
    <x v="18"/>
    <x v="0"/>
    <x v="803"/>
    <n v="153"/>
    <x v="0"/>
    <x v="17"/>
    <n v="3200"/>
    <n v="334.6875"/>
    <s v="High"/>
  </r>
  <r>
    <s v="42 CAMBRIDGE Boulevard"/>
    <x v="42"/>
    <x v="0"/>
    <x v="804"/>
    <n v="9"/>
    <x v="3"/>
    <x v="5"/>
    <n v="3778"/>
    <n v="284.54208575966118"/>
    <s v="Medium"/>
  </r>
  <r>
    <s v="3883 Coachwood Lane"/>
    <x v="3"/>
    <x v="0"/>
    <x v="805"/>
    <n v="77"/>
    <x v="0"/>
    <x v="4"/>
    <n v="3200"/>
    <n v="337.15625"/>
    <s v="High"/>
  </r>
  <r>
    <s v="3883 COACHWOOD Lane"/>
    <x v="3"/>
    <x v="0"/>
    <x v="805"/>
    <n v="333"/>
    <x v="0"/>
    <x v="4"/>
    <n v="3200"/>
    <n v="337.15625"/>
    <s v="High"/>
  </r>
  <r>
    <s v="1105 CHARRINGTON Road"/>
    <x v="48"/>
    <x v="0"/>
    <x v="806"/>
    <n v="85"/>
    <x v="0"/>
    <x v="16"/>
    <n v="3188"/>
    <n v="341.27979924717692"/>
    <s v="High"/>
  </r>
  <r>
    <s v="980 WIMBLETON "/>
    <x v="40"/>
    <x v="0"/>
    <x v="807"/>
    <n v="72"/>
    <x v="3"/>
    <x v="17"/>
    <n v="3189"/>
    <n v="341.79993728441519"/>
    <s v="High"/>
  </r>
  <r>
    <s v="600 COVINGTON Road"/>
    <x v="48"/>
    <x v="0"/>
    <x v="808"/>
    <n v="6"/>
    <x v="3"/>
    <x v="4"/>
    <n v="3068"/>
    <n v="358.53976531942635"/>
    <s v="High"/>
  </r>
  <r>
    <s v="3237 GLEN IRIS Drive"/>
    <x v="14"/>
    <x v="0"/>
    <x v="808"/>
    <n v="8"/>
    <x v="0"/>
    <x v="12"/>
    <n v="3543"/>
    <n v="310.47135196161446"/>
    <s v="High"/>
  </r>
  <r>
    <s v="1590 SCENIC HOLLOW Drive"/>
    <x v="3"/>
    <x v="0"/>
    <x v="808"/>
    <n v="34"/>
    <x v="0"/>
    <x v="16"/>
    <n v="4535"/>
    <n v="242.55788313120178"/>
    <s v="Medium"/>
  </r>
  <r>
    <s v="4234 Mankato Avenue"/>
    <x v="18"/>
    <x v="0"/>
    <x v="809"/>
    <n v="7"/>
    <x v="0"/>
    <x v="0"/>
    <n v="3200"/>
    <n v="353.125"/>
    <s v="High"/>
  </r>
  <r>
    <s v="654 Hamilton Road"/>
    <x v="54"/>
    <x v="0"/>
    <x v="810"/>
    <n v="3"/>
    <x v="0"/>
    <x v="22"/>
    <n v="3373"/>
    <n v="339.46042099021645"/>
    <s v="High"/>
  </r>
  <r>
    <s v="4879 PARK MANOR Drive"/>
    <x v="22"/>
    <x v="0"/>
    <x v="811"/>
    <n v="7"/>
    <x v="0"/>
    <x v="4"/>
    <n v="3700"/>
    <n v="310.81081081081084"/>
    <s v="High"/>
  </r>
  <r>
    <s v="3480 Burning Bush Road"/>
    <x v="48"/>
    <x v="0"/>
    <x v="811"/>
    <n v="14"/>
    <x v="3"/>
    <x v="14"/>
    <n v="4383"/>
    <n v="262.37736710015969"/>
    <s v="Medium"/>
  </r>
  <r>
    <s v="4610 CIMARRON Drive"/>
    <x v="48"/>
    <x v="0"/>
    <x v="811"/>
    <n v="71"/>
    <x v="6"/>
    <x v="23"/>
    <n v="4660"/>
    <n v="246.78111587982832"/>
    <s v="Medium"/>
  </r>
  <r>
    <s v="1235 RUFFNER Avenue"/>
    <x v="40"/>
    <x v="0"/>
    <x v="812"/>
    <n v="28"/>
    <x v="0"/>
    <x v="0"/>
    <n v="2547"/>
    <n v="455.43776992540245"/>
    <s v="High"/>
  </r>
  <r>
    <s v="1084 BROOKWOOD Street"/>
    <x v="40"/>
    <x v="0"/>
    <x v="813"/>
    <n v="103"/>
    <x v="3"/>
    <x v="14"/>
    <n v="4128"/>
    <n v="283.18798449612405"/>
    <s v="Medium"/>
  </r>
  <r>
    <s v="2109 N VERMONT Avenue"/>
    <x v="18"/>
    <x v="0"/>
    <x v="814"/>
    <n v="48"/>
    <x v="2"/>
    <x v="5"/>
    <n v="2514"/>
    <n v="467.38265712012731"/>
    <s v="High"/>
  </r>
  <r>
    <s v="52797 TRAILWOOD Drive"/>
    <x v="37"/>
    <x v="0"/>
    <x v="815"/>
    <n v="14"/>
    <x v="3"/>
    <x v="0"/>
    <n v="4180"/>
    <n v="281.57894736842104"/>
    <s v="Medium"/>
  </r>
  <r>
    <s v="350 CATALPA Drive"/>
    <x v="40"/>
    <x v="0"/>
    <x v="816"/>
    <n v="314"/>
    <x v="0"/>
    <x v="4"/>
    <n v="3200"/>
    <n v="375"/>
    <s v="High"/>
  </r>
  <r>
    <s v="2220 CHESTNUT Drive"/>
    <x v="54"/>
    <x v="0"/>
    <x v="816"/>
    <n v="248"/>
    <x v="2"/>
    <x v="24"/>
    <n v="6227"/>
    <n v="192.70916974466036"/>
    <s v="Low"/>
  </r>
  <r>
    <s v="596 HENRIETTA Street"/>
    <x v="40"/>
    <x v="0"/>
    <x v="817"/>
    <n v="139"/>
    <x v="2"/>
    <x v="4"/>
    <n v="2729"/>
    <n v="455.29497984609748"/>
    <s v="High"/>
  </r>
  <r>
    <s v="21445 Ballantyne Boulevard"/>
    <x v="2"/>
    <x v="0"/>
    <x v="818"/>
    <n v="3"/>
    <x v="0"/>
    <x v="4"/>
    <n v="3676"/>
    <n v="338.68443960826988"/>
    <s v="High"/>
  </r>
  <r>
    <s v="21147 Ballantyne Boulevard"/>
    <x v="2"/>
    <x v="0"/>
    <x v="819"/>
    <n v="283"/>
    <x v="0"/>
    <x v="12"/>
    <n v="3973"/>
    <n v="315.89730682104204"/>
    <s v="High"/>
  </r>
  <r>
    <s v="25528 SHERWOOD Drive"/>
    <x v="50"/>
    <x v="0"/>
    <x v="820"/>
    <n v="6"/>
    <x v="3"/>
    <x v="12"/>
    <n v="4000"/>
    <n v="314.75"/>
    <s v="High"/>
  </r>
  <r>
    <s v="54153 DEER RIDGE Court"/>
    <x v="3"/>
    <x v="0"/>
    <x v="821"/>
    <n v="72"/>
    <x v="0"/>
    <x v="17"/>
    <n v="5231"/>
    <n v="243.73924679793538"/>
    <s v="Medium"/>
  </r>
  <r>
    <s v="1669 Webster Street"/>
    <x v="40"/>
    <x v="0"/>
    <x v="822"/>
    <n v="144"/>
    <x v="0"/>
    <x v="4"/>
    <n v="3406"/>
    <n v="378.00939518496773"/>
    <s v="High"/>
  </r>
  <r>
    <s v="4885 Loch Lomond Drive"/>
    <x v="48"/>
    <x v="0"/>
    <x v="823"/>
    <n v="114"/>
    <x v="0"/>
    <x v="16"/>
    <n v="5033"/>
    <n v="258.2952513411484"/>
    <s v="Medium"/>
  </r>
  <r>
    <s v="21351 Ballantyne Boulevard"/>
    <x v="2"/>
    <x v="0"/>
    <x v="824"/>
    <n v="32"/>
    <x v="3"/>
    <x v="12"/>
    <n v="3973"/>
    <n v="332.23231814749562"/>
    <s v="High"/>
  </r>
  <r>
    <s v="1188 WASHINGTON Boulevard"/>
    <x v="40"/>
    <x v="0"/>
    <x v="825"/>
    <n v="7"/>
    <x v="3"/>
    <x v="17"/>
    <n v="3500"/>
    <n v="380"/>
    <s v="High"/>
  </r>
  <r>
    <s v="2574 GINGER Court"/>
    <x v="48"/>
    <x v="0"/>
    <x v="826"/>
    <n v="37"/>
    <x v="0"/>
    <x v="0"/>
    <n v="3921"/>
    <n v="344.2999234889059"/>
    <s v="High"/>
  </r>
  <r>
    <s v="45950 W 11 MILE Road"/>
    <x v="2"/>
    <x v="0"/>
    <x v="827"/>
    <n v="23"/>
    <x v="3"/>
    <x v="0"/>
    <n v="4959"/>
    <n v="273.24057269610807"/>
    <s v="Medium"/>
  </r>
  <r>
    <s v="714 WELLINGTON Circle"/>
    <x v="3"/>
    <x v="0"/>
    <x v="828"/>
    <n v="35"/>
    <x v="0"/>
    <x v="16"/>
    <n v="4393"/>
    <n v="314.13612565445027"/>
    <s v="High"/>
  </r>
  <r>
    <s v="2395 KINGSBURY Drive"/>
    <x v="22"/>
    <x v="0"/>
    <x v="829"/>
    <n v="0"/>
    <x v="3"/>
    <x v="17"/>
    <n v="5334"/>
    <n v="262.46719160104988"/>
    <s v="Medium"/>
  </r>
  <r>
    <s v="5128 Echo Road"/>
    <x v="48"/>
    <x v="0"/>
    <x v="830"/>
    <n v="26"/>
    <x v="0"/>
    <x v="0"/>
    <n v="4478"/>
    <n v="318.22242072353731"/>
    <s v="High"/>
  </r>
  <r>
    <s v="596 Rudgate Road"/>
    <x v="54"/>
    <x v="0"/>
    <x v="831"/>
    <n v="10"/>
    <x v="3"/>
    <x v="14"/>
    <n v="2975"/>
    <n v="487.39495798319325"/>
    <s v="High"/>
  </r>
  <r>
    <s v="1772 HERON RIDGE Drive"/>
    <x v="48"/>
    <x v="0"/>
    <x v="831"/>
    <n v="480"/>
    <x v="0"/>
    <x v="16"/>
    <n v="4800"/>
    <n v="302.08333333333331"/>
    <s v="High"/>
  </r>
  <r>
    <s v="2000 Touraine"/>
    <x v="35"/>
    <x v="0"/>
    <x v="832"/>
    <n v="1"/>
    <x v="0"/>
    <x v="16"/>
    <n v="6942"/>
    <n v="216.07605877268799"/>
    <s v="Medium"/>
  </r>
  <r>
    <s v="3225 CHESTNUT RUN Drive"/>
    <x v="48"/>
    <x v="0"/>
    <x v="832"/>
    <n v="6"/>
    <x v="0"/>
    <x v="25"/>
    <n v="4879"/>
    <n v="307.44004919040788"/>
    <s v="High"/>
  </r>
  <r>
    <s v="74253 Dequindre Road"/>
    <x v="55"/>
    <x v="0"/>
    <x v="833"/>
    <n v="117"/>
    <x v="0"/>
    <x v="4"/>
    <n v="4395"/>
    <n v="346.98521046643913"/>
    <s v="High"/>
  </r>
  <r>
    <s v="25675 SHORELINE Drive"/>
    <x v="2"/>
    <x v="0"/>
    <x v="834"/>
    <n v="45"/>
    <x v="3"/>
    <x v="0"/>
    <n v="4771"/>
    <n v="324.87948019283169"/>
    <s v="High"/>
  </r>
  <r>
    <s v="1892 Seminole Ct. "/>
    <x v="48"/>
    <x v="0"/>
    <x v="834"/>
    <n v="36"/>
    <x v="3"/>
    <x v="26"/>
    <n v="5117"/>
    <n v="302.91186241938635"/>
    <s v="High"/>
  </r>
  <r>
    <s v="1409 Cedar Drive"/>
    <x v="40"/>
    <x v="0"/>
    <x v="835"/>
    <n v="168"/>
    <x v="0"/>
    <x v="20"/>
    <n v="4095"/>
    <n v="388.76678876678875"/>
    <s v="High"/>
  </r>
  <r>
    <s v="1244 Cole Street"/>
    <x v="40"/>
    <x v="0"/>
    <x v="836"/>
    <n v="5"/>
    <x v="3"/>
    <x v="16"/>
    <n v="3633"/>
    <n v="438.75584916047342"/>
    <s v="High"/>
  </r>
  <r>
    <s v="335 PINE RIDGE Drive"/>
    <x v="54"/>
    <x v="0"/>
    <x v="837"/>
    <n v="5"/>
    <x v="0"/>
    <x v="16"/>
    <n v="5133"/>
    <n v="310.73446327683615"/>
    <s v="High"/>
  </r>
  <r>
    <s v="1792 HENRIETTA"/>
    <x v="40"/>
    <x v="0"/>
    <x v="838"/>
    <n v="113"/>
    <x v="0"/>
    <x v="17"/>
    <n v="3123"/>
    <n v="512.32788984950366"/>
    <s v="High"/>
  </r>
  <r>
    <s v="1141 LAKE PARK Drive"/>
    <x v="40"/>
    <x v="0"/>
    <x v="839"/>
    <n v="0"/>
    <x v="0"/>
    <x v="4"/>
    <n v="3687"/>
    <n v="440.73772714944397"/>
    <s v="High"/>
  </r>
  <r>
    <s v="1470 Washington Boulevard"/>
    <x v="40"/>
    <x v="0"/>
    <x v="839"/>
    <n v="5"/>
    <x v="3"/>
    <x v="17"/>
    <n v="3843"/>
    <n v="422.84673432214419"/>
    <s v="High"/>
  </r>
  <r>
    <s v="5140 Crest Knolls Court"/>
    <x v="48"/>
    <x v="0"/>
    <x v="840"/>
    <n v="18"/>
    <x v="6"/>
    <x v="26"/>
    <n v="4668"/>
    <n v="353.47043701799487"/>
    <s v="High"/>
  </r>
  <r>
    <s v="8376 BRIDLEWOOD"/>
    <x v="28"/>
    <x v="0"/>
    <x v="840"/>
    <n v="177"/>
    <x v="0"/>
    <x v="14"/>
    <n v="6493"/>
    <n v="254.11982134606498"/>
    <s v="Medium"/>
  </r>
  <r>
    <s v="1021 Clear Creek"/>
    <x v="3"/>
    <x v="0"/>
    <x v="841"/>
    <n v="10"/>
    <x v="0"/>
    <x v="16"/>
    <n v="5272"/>
    <n v="314.87101669195749"/>
    <s v="High"/>
  </r>
  <r>
    <s v="3160 BERKSHIRE Drive"/>
    <x v="48"/>
    <x v="0"/>
    <x v="842"/>
    <n v="81"/>
    <x v="3"/>
    <x v="0"/>
    <n v="3910"/>
    <n v="434.78260869565219"/>
    <s v="High"/>
  </r>
  <r>
    <s v="7145 OLD MILL Road"/>
    <x v="48"/>
    <x v="0"/>
    <x v="843"/>
    <n v="24"/>
    <x v="0"/>
    <x v="18"/>
    <n v="4553"/>
    <n v="378.87107401713155"/>
    <s v="High"/>
  </r>
  <r>
    <s v="1700 NORTHLAWN Boulevard"/>
    <x v="40"/>
    <x v="0"/>
    <x v="844"/>
    <n v="101"/>
    <x v="3"/>
    <x v="26"/>
    <n v="5176"/>
    <n v="342.9289026275116"/>
    <s v="High"/>
  </r>
  <r>
    <s v="547 SOUTHFIELD Road"/>
    <x v="40"/>
    <x v="0"/>
    <x v="845"/>
    <n v="119"/>
    <x v="0"/>
    <x v="26"/>
    <n v="4200"/>
    <n v="434.52380952380952"/>
    <s v="High"/>
  </r>
  <r>
    <s v="789 VINEWOOD Avenue"/>
    <x v="40"/>
    <x v="0"/>
    <x v="846"/>
    <n v="35"/>
    <x v="0"/>
    <x v="14"/>
    <n v="3700"/>
    <n v="527.02702702702697"/>
    <s v="High"/>
  </r>
  <r>
    <s v="6530 Commerce Road"/>
    <x v="24"/>
    <x v="0"/>
    <x v="847"/>
    <n v="160"/>
    <x v="0"/>
    <x v="16"/>
    <n v="6459"/>
    <n v="305.20204366000928"/>
    <s v="High"/>
  </r>
  <r>
    <s v="4540 THE HEIGHTS Boulevard"/>
    <x v="35"/>
    <x v="0"/>
    <x v="848"/>
    <n v="210"/>
    <x v="0"/>
    <x v="0"/>
    <n v="4749"/>
    <n v="419.76668772373131"/>
    <s v="High"/>
  </r>
  <r>
    <s v="3520 W BRADFORD Drive"/>
    <x v="48"/>
    <x v="0"/>
    <x v="849"/>
    <n v="0"/>
    <x v="0"/>
    <x v="14"/>
    <n v="3760"/>
    <n v="585.78590425531911"/>
    <s v="High"/>
  </r>
  <r>
    <s v="787 Ann Street"/>
    <x v="40"/>
    <x v="0"/>
    <x v="850"/>
    <n v="31"/>
    <x v="0"/>
    <x v="26"/>
    <n v="3849"/>
    <n v="623.53858144972719"/>
    <s v="High"/>
  </r>
  <r>
    <s v="1076 FAIRFAX Street"/>
    <x v="40"/>
    <x v="0"/>
    <x v="851"/>
    <n v="13"/>
    <x v="3"/>
    <x v="17"/>
    <n v="4500"/>
    <n v="544.44444444444446"/>
    <s v="High"/>
  </r>
  <r>
    <s v="437 Linden Road"/>
    <x v="40"/>
    <x v="0"/>
    <x v="852"/>
    <n v="11"/>
    <x v="3"/>
    <x v="26"/>
    <n v="5500"/>
    <n v="462.27272727272725"/>
    <s v="High"/>
  </r>
  <r>
    <s v="1202 LYONHURST Street"/>
    <x v="40"/>
    <x v="0"/>
    <x v="853"/>
    <n v="62"/>
    <x v="3"/>
    <x v="17"/>
    <n v="4360"/>
    <n v="584.86238532110087"/>
    <s v="High"/>
  </r>
  <r>
    <s v="1389 PILGRIM Avenue"/>
    <x v="40"/>
    <x v="0"/>
    <x v="854"/>
    <n v="20"/>
    <x v="3"/>
    <x v="25"/>
    <n v="6464"/>
    <n v="409.96287128712873"/>
    <s v="High"/>
  </r>
  <r>
    <s v="4800 N HARSDALE Road"/>
    <x v="48"/>
    <x v="0"/>
    <x v="855"/>
    <n v="0"/>
    <x v="0"/>
    <x v="17"/>
    <n v="4423"/>
    <n v="609.99321727334393"/>
    <s v="High"/>
  </r>
  <r>
    <s v="1408 SODON LAKE Drive"/>
    <x v="48"/>
    <x v="0"/>
    <x v="856"/>
    <n v="22"/>
    <x v="3"/>
    <x v="26"/>
    <n v="6400"/>
    <n v="436.71875"/>
    <s v="High"/>
  </r>
  <r>
    <s v="3030 HERON Place"/>
    <x v="48"/>
    <x v="0"/>
    <x v="857"/>
    <n v="252"/>
    <x v="3"/>
    <x v="26"/>
    <n v="7200"/>
    <n v="409.72222222222223"/>
    <s v="High"/>
  </r>
  <r>
    <s v="6134 RUE DU LAC"/>
    <x v="24"/>
    <x v="0"/>
    <x v="858"/>
    <n v="1"/>
    <x v="0"/>
    <x v="16"/>
    <n v="4890"/>
    <n v="613.49693251533745"/>
    <s v="High"/>
  </r>
  <r>
    <s v="200 LAKE PARK Drive"/>
    <x v="40"/>
    <x v="0"/>
    <x v="859"/>
    <n v="37"/>
    <x v="6"/>
    <x v="16"/>
    <n v="6864"/>
    <n v="455.27389277389278"/>
    <s v="High"/>
  </r>
  <r>
    <s v="380 LINDEN Road"/>
    <x v="40"/>
    <x v="0"/>
    <x v="860"/>
    <n v="44"/>
    <x v="3"/>
    <x v="26"/>
    <n v="5020"/>
    <n v="647.41035856573706"/>
    <s v="High"/>
  </r>
  <r>
    <s v="23 Hidden Ridge"/>
    <x v="54"/>
    <x v="0"/>
    <x v="861"/>
    <n v="7"/>
    <x v="3"/>
    <x v="20"/>
    <n v="9800"/>
    <n v="346.9387755102041"/>
    <s v="High"/>
  </r>
  <r>
    <s v="651 BENNINGTON Drive"/>
    <x v="54"/>
    <x v="0"/>
    <x v="861"/>
    <n v="77"/>
    <x v="3"/>
    <x v="27"/>
    <n v="7429"/>
    <n v="457.66590389016017"/>
    <s v="High"/>
  </r>
  <r>
    <s v="23 HIDDEN Ridge"/>
    <x v="54"/>
    <x v="0"/>
    <x v="861"/>
    <n v="58"/>
    <x v="3"/>
    <x v="20"/>
    <n v="9800"/>
    <n v="346.9387755102041"/>
    <s v="High"/>
  </r>
  <r>
    <s v="3190 W LONG LAKE Road"/>
    <x v="24"/>
    <x v="0"/>
    <x v="862"/>
    <n v="107"/>
    <x v="3"/>
    <x v="14"/>
    <n v="4970"/>
    <n v="704.22535211267609"/>
    <s v="High"/>
  </r>
  <r>
    <s v="4985 MIDDLEBELT Road"/>
    <x v="24"/>
    <x v="0"/>
    <x v="863"/>
    <n v="14"/>
    <x v="0"/>
    <x v="15"/>
    <n v="6121"/>
    <n v="604.4763927462833"/>
    <s v="High"/>
  </r>
  <r>
    <s v="51 CRANBROOK Road"/>
    <x v="54"/>
    <x v="0"/>
    <x v="864"/>
    <n v="17"/>
    <x v="6"/>
    <x v="28"/>
    <n v="7515"/>
    <n v="598.80239520958082"/>
    <s v="High"/>
  </r>
  <r>
    <s v="21101 CAMBRIDGE Drive"/>
    <x v="2"/>
    <x v="0"/>
    <x v="865"/>
    <n v="7"/>
    <x v="8"/>
    <x v="29"/>
    <n v="8738"/>
    <n v="572.21332112611583"/>
    <s v="High"/>
  </r>
  <r>
    <s v="46627 Bonaparte Drive"/>
    <x v="59"/>
    <x v="1"/>
    <x v="866"/>
    <n v="17"/>
    <x v="1"/>
    <x v="1"/>
    <n v="640"/>
    <n v="26.5625"/>
    <s v="Low"/>
  </r>
  <r>
    <s v="25360 MACOMB Street"/>
    <x v="60"/>
    <x v="1"/>
    <x v="867"/>
    <n v="1"/>
    <x v="1"/>
    <x v="1"/>
    <n v="901"/>
    <n v="22.197558268590456"/>
    <s v="Low"/>
  </r>
  <r>
    <s v="11309 Ford"/>
    <x v="61"/>
    <x v="1"/>
    <x v="867"/>
    <n v="5"/>
    <x v="1"/>
    <x v="1"/>
    <n v="725"/>
    <n v="27.586206896551722"/>
    <s v="Low"/>
  </r>
  <r>
    <s v="13404 VERNON Avenue"/>
    <x v="61"/>
    <x v="1"/>
    <x v="868"/>
    <n v="3"/>
    <x v="1"/>
    <x v="1"/>
    <n v="816"/>
    <n v="42.892156862745097"/>
    <s v="Low"/>
  </r>
  <r>
    <s v="113 RATHBONE Street"/>
    <x v="62"/>
    <x v="1"/>
    <x v="6"/>
    <n v="5"/>
    <x v="1"/>
    <x v="1"/>
    <n v="1050"/>
    <n v="38.095238095238095"/>
    <s v="Low"/>
  </r>
  <r>
    <s v="22438 Piper"/>
    <x v="63"/>
    <x v="1"/>
    <x v="869"/>
    <n v="14"/>
    <x v="1"/>
    <x v="1"/>
    <n v="928"/>
    <n v="44.719827586206897"/>
    <s v="Low"/>
  </r>
  <r>
    <s v="8476 ORCHARD Avenue"/>
    <x v="61"/>
    <x v="1"/>
    <x v="8"/>
    <n v="5"/>
    <x v="1"/>
    <x v="1"/>
    <n v="720"/>
    <n v="62.5"/>
    <s v="Low"/>
  </r>
  <r>
    <s v="21264 AUDREY Avenue"/>
    <x v="61"/>
    <x v="1"/>
    <x v="8"/>
    <n v="21"/>
    <x v="2"/>
    <x v="3"/>
    <n v="1032"/>
    <n v="43.604651162790695"/>
    <s v="Low"/>
  </r>
  <r>
    <s v="23481 WELLINGTON Avenue"/>
    <x v="61"/>
    <x v="1"/>
    <x v="870"/>
    <n v="7"/>
    <x v="2"/>
    <x v="1"/>
    <n v="1060"/>
    <n v="46.226415094339622"/>
    <s v="Low"/>
  </r>
  <r>
    <s v="46628 Bonaparte  Drive"/>
    <x v="59"/>
    <x v="1"/>
    <x v="871"/>
    <n v="49"/>
    <x v="1"/>
    <x v="2"/>
    <n v="1792"/>
    <n v="27.901785714285715"/>
    <s v="Low"/>
  </r>
  <r>
    <s v="8125 Toepfer"/>
    <x v="61"/>
    <x v="1"/>
    <x v="872"/>
    <n v="433"/>
    <x v="1"/>
    <x v="1"/>
    <n v="596"/>
    <n v="87.24832214765101"/>
    <s v="Low"/>
  </r>
  <r>
    <s v="11235 Ford"/>
    <x v="61"/>
    <x v="1"/>
    <x v="12"/>
    <n v="0"/>
    <x v="1"/>
    <x v="1"/>
    <n v="725"/>
    <n v="75.862068965517238"/>
    <s v="Low"/>
  </r>
  <r>
    <s v="34151 KENTUCKY"/>
    <x v="64"/>
    <x v="1"/>
    <x v="12"/>
    <n v="7"/>
    <x v="6"/>
    <x v="2"/>
    <n v="1524"/>
    <n v="36.089238845144358"/>
    <s v="Low"/>
  </r>
  <r>
    <s v="58784 Morning Glory"/>
    <x v="65"/>
    <x v="1"/>
    <x v="12"/>
    <n v="25"/>
    <x v="2"/>
    <x v="2"/>
    <n v="2016"/>
    <n v="27.281746031746032"/>
    <s v="Low"/>
  </r>
  <r>
    <s v="12764 Sidonie Avenue"/>
    <x v="61"/>
    <x v="1"/>
    <x v="873"/>
    <n v="8"/>
    <x v="7"/>
    <x v="6"/>
    <n v="850"/>
    <n v="65.294117647058826"/>
    <s v="Low"/>
  </r>
  <r>
    <s v="28110 WAVERLY Street"/>
    <x v="60"/>
    <x v="1"/>
    <x v="15"/>
    <n v="1"/>
    <x v="1"/>
    <x v="1"/>
    <n v="645"/>
    <n v="93.023255813953483"/>
    <s v="Low"/>
  </r>
  <r>
    <s v="26510 CLANCY Street"/>
    <x v="60"/>
    <x v="1"/>
    <x v="874"/>
    <n v="17"/>
    <x v="2"/>
    <x v="1"/>
    <n v="924"/>
    <n v="65.476190476190482"/>
    <s v="Low"/>
  </r>
  <r>
    <s v="8249 Rivard Avenue"/>
    <x v="61"/>
    <x v="1"/>
    <x v="875"/>
    <n v="16"/>
    <x v="1"/>
    <x v="1"/>
    <n v="916"/>
    <n v="66.593886462882097"/>
    <s v="Low"/>
  </r>
  <r>
    <s v="45112  Chateau Thierry Blvd"/>
    <x v="59"/>
    <x v="1"/>
    <x v="875"/>
    <n v="72"/>
    <x v="2"/>
    <x v="2"/>
    <n v="1057"/>
    <n v="57.710501419110692"/>
    <s v="Low"/>
  </r>
  <r>
    <s v="13006 SIDONIE Avenue"/>
    <x v="61"/>
    <x v="1"/>
    <x v="876"/>
    <n v="34"/>
    <x v="1"/>
    <x v="1"/>
    <n v="696"/>
    <n v="89.080459770114942"/>
    <s v="Low"/>
  </r>
  <r>
    <s v="16719 Veronica"/>
    <x v="63"/>
    <x v="1"/>
    <x v="877"/>
    <n v="64"/>
    <x v="1"/>
    <x v="1"/>
    <n v="852"/>
    <n v="73.943661971830991"/>
    <s v="Low"/>
  </r>
  <r>
    <s v="29439 GALLOWAY Street"/>
    <x v="60"/>
    <x v="1"/>
    <x v="878"/>
    <n v="64"/>
    <x v="1"/>
    <x v="1"/>
    <n v="980"/>
    <n v="65.306122448979593"/>
    <s v="Low"/>
  </r>
  <r>
    <s v="42892 DEQUINDRE Road"/>
    <x v="66"/>
    <x v="1"/>
    <x v="17"/>
    <n v="23"/>
    <x v="1"/>
    <x v="1"/>
    <n v="696"/>
    <n v="93.390804597701148"/>
    <s v="Low"/>
  </r>
  <r>
    <s v="8329 RIVARD Avenue"/>
    <x v="61"/>
    <x v="1"/>
    <x v="17"/>
    <n v="4"/>
    <x v="1"/>
    <x v="1"/>
    <n v="856"/>
    <n v="75.934579439252332"/>
    <s v="Low"/>
  </r>
  <r>
    <s v="19021 Birmingham"/>
    <x v="60"/>
    <x v="1"/>
    <x v="17"/>
    <n v="42"/>
    <x v="1"/>
    <x v="1"/>
    <n v="1078"/>
    <n v="60.296846011131727"/>
    <s v="Low"/>
  </r>
  <r>
    <s v="13466 SIDONIE Avenue"/>
    <x v="61"/>
    <x v="1"/>
    <x v="17"/>
    <n v="50"/>
    <x v="1"/>
    <x v="1"/>
    <n v="696"/>
    <n v="93.390804597701148"/>
    <s v="Low"/>
  </r>
  <r>
    <s v="1967 Woodruff"/>
    <x v="61"/>
    <x v="1"/>
    <x v="879"/>
    <n v="14"/>
    <x v="2"/>
    <x v="1"/>
    <n v="1058"/>
    <n v="64.03591682419659"/>
    <s v="Low"/>
  </r>
  <r>
    <s v="21762 Elroy"/>
    <x v="61"/>
    <x v="1"/>
    <x v="19"/>
    <n v="6"/>
    <x v="1"/>
    <x v="1"/>
    <n v="1040"/>
    <n v="65.384615384615387"/>
    <s v="Low"/>
  </r>
  <r>
    <s v="13756 LEONARD Avenue"/>
    <x v="61"/>
    <x v="1"/>
    <x v="880"/>
    <n v="10"/>
    <x v="2"/>
    <x v="1"/>
    <n v="1596"/>
    <n v="42.711779448621556"/>
    <s v="Low"/>
  </r>
  <r>
    <s v="24677 LAUREN Avenue"/>
    <x v="61"/>
    <x v="1"/>
    <x v="881"/>
    <n v="12"/>
    <x v="2"/>
    <x v="1"/>
    <n v="910"/>
    <n v="75.824175824175825"/>
    <s v="Low"/>
  </r>
  <r>
    <s v="8233 MEADOW Avenue"/>
    <x v="61"/>
    <x v="1"/>
    <x v="882"/>
    <n v="43"/>
    <x v="1"/>
    <x v="1"/>
    <n v="1012"/>
    <n v="68.675889328063235"/>
    <s v="Low"/>
  </r>
  <r>
    <s v="21746 Nevada"/>
    <x v="63"/>
    <x v="1"/>
    <x v="20"/>
    <n v="3"/>
    <x v="1"/>
    <x v="1"/>
    <n v="866"/>
    <n v="80.831408775981529"/>
    <s v="Low"/>
  </r>
  <r>
    <s v="11319 CHALMERS Avenue"/>
    <x v="61"/>
    <x v="1"/>
    <x v="20"/>
    <n v="80"/>
    <x v="2"/>
    <x v="1"/>
    <n v="975"/>
    <n v="71.794871794871796"/>
    <s v="Low"/>
  </r>
  <r>
    <s v="21241 MARIE Avenue"/>
    <x v="61"/>
    <x v="1"/>
    <x v="20"/>
    <n v="136"/>
    <x v="1"/>
    <x v="1"/>
    <n v="704"/>
    <n v="99.431818181818187"/>
    <s v="Low"/>
  </r>
  <r>
    <s v="22535 WILMOT Avenue"/>
    <x v="63"/>
    <x v="1"/>
    <x v="20"/>
    <n v="180"/>
    <x v="1"/>
    <x v="1"/>
    <n v="776"/>
    <n v="90.206185567010309"/>
    <s v="Low"/>
  </r>
  <r>
    <s v="21520 DEXTER Boulevard"/>
    <x v="61"/>
    <x v="1"/>
    <x v="883"/>
    <n v="192"/>
    <x v="2"/>
    <x v="1"/>
    <n v="891"/>
    <n v="82.772166105499437"/>
    <s v="Low"/>
  </r>
  <r>
    <s v="22519 CUSHING Avenue"/>
    <x v="63"/>
    <x v="1"/>
    <x v="23"/>
    <n v="52"/>
    <x v="1"/>
    <x v="1"/>
    <n v="792"/>
    <n v="93.434343434343432"/>
    <s v="Low"/>
  </r>
  <r>
    <s v="21057 Atlantic"/>
    <x v="61"/>
    <x v="1"/>
    <x v="884"/>
    <n v="26"/>
    <x v="2"/>
    <x v="2"/>
    <n v="1429"/>
    <n v="52.414275717284816"/>
    <s v="Low"/>
  </r>
  <r>
    <s v="28324 Rosebriar"/>
    <x v="67"/>
    <x v="1"/>
    <x v="25"/>
    <n v="46"/>
    <x v="2"/>
    <x v="3"/>
    <n v="1124"/>
    <n v="66.72597864768683"/>
    <s v="Low"/>
  </r>
  <r>
    <s v="22828 NAGEL Street"/>
    <x v="61"/>
    <x v="1"/>
    <x v="25"/>
    <n v="179"/>
    <x v="2"/>
    <x v="1"/>
    <n v="1080"/>
    <n v="69.444444444444443"/>
    <s v="Low"/>
  </r>
  <r>
    <s v="23209 Hayes Ave."/>
    <x v="63"/>
    <x v="1"/>
    <x v="885"/>
    <n v="5"/>
    <x v="1"/>
    <x v="1"/>
    <n v="781"/>
    <n v="96.286811779769522"/>
    <s v="Low"/>
  </r>
  <r>
    <s v="7569 WESTMINSTER Avenue"/>
    <x v="61"/>
    <x v="1"/>
    <x v="886"/>
    <n v="6"/>
    <x v="2"/>
    <x v="3"/>
    <n v="907"/>
    <n v="85.556780595369347"/>
    <s v="Low"/>
  </r>
  <r>
    <s v="14040 HENDRICKS Avenue"/>
    <x v="61"/>
    <x v="1"/>
    <x v="887"/>
    <n v="93"/>
    <x v="1"/>
    <x v="1"/>
    <n v="770"/>
    <n v="101.2987012987013"/>
    <s v="Low"/>
  </r>
  <r>
    <s v="19101 Illinois"/>
    <x v="60"/>
    <x v="1"/>
    <x v="27"/>
    <n v="5"/>
    <x v="2"/>
    <x v="1"/>
    <n v="960"/>
    <n v="83.333333333333329"/>
    <s v="Low"/>
  </r>
  <r>
    <s v="22084 PIPER Avenue"/>
    <x v="63"/>
    <x v="1"/>
    <x v="27"/>
    <n v="58"/>
    <x v="1"/>
    <x v="1"/>
    <n v="727"/>
    <n v="110.04126547455296"/>
    <s v="Low"/>
  </r>
  <r>
    <s v="27561 KAUFMAN Street"/>
    <x v="60"/>
    <x v="1"/>
    <x v="888"/>
    <n v="2"/>
    <x v="2"/>
    <x v="1"/>
    <n v="1092"/>
    <n v="75.549450549450555"/>
    <s v="Low"/>
  </r>
  <r>
    <s v="14300 HOBART Avenue"/>
    <x v="61"/>
    <x v="1"/>
    <x v="888"/>
    <n v="2"/>
    <x v="2"/>
    <x v="1"/>
    <n v="750"/>
    <n v="110"/>
    <s v="Low"/>
  </r>
  <r>
    <s v="14073 Hendricks"/>
    <x v="61"/>
    <x v="1"/>
    <x v="889"/>
    <n v="100"/>
    <x v="1"/>
    <x v="1"/>
    <n v="984"/>
    <n v="85.111788617886177"/>
    <s v="Low"/>
  </r>
  <r>
    <s v="26710 LEHNER Street"/>
    <x v="60"/>
    <x v="1"/>
    <x v="890"/>
    <n v="7"/>
    <x v="2"/>
    <x v="1"/>
    <n v="924"/>
    <n v="90.909090909090907"/>
    <s v="Low"/>
  </r>
  <r>
    <s v="21360 Waltham Rd"/>
    <x v="61"/>
    <x v="1"/>
    <x v="32"/>
    <n v="10"/>
    <x v="1"/>
    <x v="1"/>
    <n v="696"/>
    <n v="122.1264367816092"/>
    <s v="Low"/>
  </r>
  <r>
    <s v="2144 PEARL Avenue"/>
    <x v="61"/>
    <x v="1"/>
    <x v="32"/>
    <n v="6"/>
    <x v="1"/>
    <x v="1"/>
    <n v="700"/>
    <n v="121.42857142857143"/>
    <s v="Low"/>
  </r>
  <r>
    <s v="13012 Sarsfield"/>
    <x v="61"/>
    <x v="1"/>
    <x v="32"/>
    <n v="2"/>
    <x v="1"/>
    <x v="1"/>
    <n v="700"/>
    <n v="121.42857142857143"/>
    <s v="Low"/>
  </r>
  <r>
    <s v="22765 Teppert"/>
    <x v="63"/>
    <x v="1"/>
    <x v="32"/>
    <n v="46"/>
    <x v="2"/>
    <x v="1"/>
    <n v="1265"/>
    <n v="67.193675889328063"/>
    <s v="Low"/>
  </r>
  <r>
    <s v="11011 DODGE Avenue"/>
    <x v="61"/>
    <x v="1"/>
    <x v="32"/>
    <n v="9"/>
    <x v="2"/>
    <x v="1"/>
    <n v="935"/>
    <n v="90.909090909090907"/>
    <s v="Low"/>
  </r>
  <r>
    <s v="8393 STATE Park"/>
    <x v="68"/>
    <x v="1"/>
    <x v="32"/>
    <n v="41"/>
    <x v="0"/>
    <x v="1"/>
    <n v="1100"/>
    <n v="77.272727272727266"/>
    <s v="Low"/>
  </r>
  <r>
    <s v="7543 MAXWELL Avenue"/>
    <x v="61"/>
    <x v="1"/>
    <x v="891"/>
    <n v="38"/>
    <x v="2"/>
    <x v="1"/>
    <n v="1050"/>
    <n v="81.904761904761898"/>
    <s v="Low"/>
  </r>
  <r>
    <s v="23823 Columbus"/>
    <x v="61"/>
    <x v="1"/>
    <x v="891"/>
    <n v="21"/>
    <x v="1"/>
    <x v="1"/>
    <n v="806"/>
    <n v="106.69975186104219"/>
    <s v="Low"/>
  </r>
  <r>
    <s v="3525 POPLAR Avenue"/>
    <x v="61"/>
    <x v="1"/>
    <x v="892"/>
    <n v="175"/>
    <x v="1"/>
    <x v="1"/>
    <n v="704"/>
    <n v="122.86931818181819"/>
    <s v="Low"/>
  </r>
  <r>
    <s v="8095 PROSPECT Avenue"/>
    <x v="61"/>
    <x v="1"/>
    <x v="893"/>
    <n v="38"/>
    <x v="1"/>
    <x v="1"/>
    <n v="998"/>
    <n v="87.174348697394791"/>
    <s v="Low"/>
  </r>
  <r>
    <s v="22486 Heussner"/>
    <x v="61"/>
    <x v="1"/>
    <x v="894"/>
    <n v="6"/>
    <x v="1"/>
    <x v="1"/>
    <n v="720"/>
    <n v="121.52777777777777"/>
    <s v="Low"/>
  </r>
  <r>
    <s v="14320 Marshall"/>
    <x v="61"/>
    <x v="1"/>
    <x v="895"/>
    <n v="96"/>
    <x v="1"/>
    <x v="1"/>
    <n v="810"/>
    <n v="108.64197530864197"/>
    <s v="Low"/>
  </r>
  <r>
    <s v="31546 FAIRFIELD Drive"/>
    <x v="61"/>
    <x v="1"/>
    <x v="896"/>
    <n v="15"/>
    <x v="2"/>
    <x v="3"/>
    <n v="981"/>
    <n v="90.332313965341484"/>
    <s v="Low"/>
  </r>
  <r>
    <s v="28915 Essex"/>
    <x v="60"/>
    <x v="1"/>
    <x v="35"/>
    <n v="6"/>
    <x v="1"/>
    <x v="1"/>
    <n v="1023"/>
    <n v="87.976539589442808"/>
    <s v="Low"/>
  </r>
  <r>
    <s v="7276 STUDEBAKER Avenue"/>
    <x v="61"/>
    <x v="1"/>
    <x v="35"/>
    <n v="45"/>
    <x v="1"/>
    <x v="1"/>
    <n v="824"/>
    <n v="109.22330097087378"/>
    <s v="Low"/>
  </r>
  <r>
    <s v="21507 WALTHAM Road"/>
    <x v="61"/>
    <x v="1"/>
    <x v="35"/>
    <n v="6"/>
    <x v="2"/>
    <x v="1"/>
    <n v="807"/>
    <n v="111.52416356877323"/>
    <s v="Low"/>
  </r>
  <r>
    <s v="8620 Paige Avenue"/>
    <x v="61"/>
    <x v="1"/>
    <x v="897"/>
    <n v="8"/>
    <x v="2"/>
    <x v="1"/>
    <n v="900"/>
    <n v="101.11111111111111"/>
    <s v="Low"/>
  </r>
  <r>
    <s v="16269 NICOLAI Avenue"/>
    <x v="63"/>
    <x v="1"/>
    <x v="898"/>
    <n v="7"/>
    <x v="2"/>
    <x v="1"/>
    <n v="1036"/>
    <n v="88.223938223938219"/>
    <s v="Low"/>
  </r>
  <r>
    <s v="22625 OAKLANE Street"/>
    <x v="61"/>
    <x v="1"/>
    <x v="36"/>
    <n v="4"/>
    <x v="0"/>
    <x v="1"/>
    <n v="1250"/>
    <n v="73.599999999999994"/>
    <s v="Low"/>
  </r>
  <r>
    <s v="21351 NUMMER Street"/>
    <x v="61"/>
    <x v="1"/>
    <x v="36"/>
    <n v="20"/>
    <x v="2"/>
    <x v="1"/>
    <n v="900"/>
    <n v="102.22222222222223"/>
    <s v="Low"/>
  </r>
  <r>
    <s v="7583 CHALMERS Avenue"/>
    <x v="61"/>
    <x v="1"/>
    <x v="38"/>
    <n v="44"/>
    <x v="2"/>
    <x v="1"/>
    <n v="851"/>
    <n v="109.28319623971798"/>
    <s v="Low"/>
  </r>
  <r>
    <s v="7020 ORCHARD Avenue"/>
    <x v="61"/>
    <x v="1"/>
    <x v="38"/>
    <n v="21"/>
    <x v="2"/>
    <x v="1"/>
    <n v="1200"/>
    <n v="77.5"/>
    <s v="Low"/>
  </r>
  <r>
    <s v="12412 GEORGIANA Avenue"/>
    <x v="61"/>
    <x v="1"/>
    <x v="899"/>
    <n v="10"/>
    <x v="2"/>
    <x v="1"/>
    <n v="1038"/>
    <n v="90.077071290944119"/>
    <s v="Low"/>
  </r>
  <r>
    <s v="17656 TOEPFER Drive"/>
    <x v="63"/>
    <x v="1"/>
    <x v="899"/>
    <n v="32"/>
    <x v="2"/>
    <x v="1"/>
    <n v="1202"/>
    <n v="77.787021630615641"/>
    <s v="Low"/>
  </r>
  <r>
    <s v="2135 JARVIS Avenue"/>
    <x v="61"/>
    <x v="1"/>
    <x v="39"/>
    <n v="68"/>
    <x v="1"/>
    <x v="1"/>
    <n v="1080"/>
    <n v="87.037037037037038"/>
    <s v="Low"/>
  </r>
  <r>
    <s v="81 MEADLE"/>
    <x v="62"/>
    <x v="1"/>
    <x v="900"/>
    <n v="12"/>
    <x v="2"/>
    <x v="1"/>
    <n v="1000"/>
    <n v="96"/>
    <s v="Low"/>
  </r>
  <r>
    <s v="4236 Joliet Avenue"/>
    <x v="61"/>
    <x v="1"/>
    <x v="43"/>
    <n v="17"/>
    <x v="2"/>
    <x v="1"/>
    <n v="888"/>
    <n v="108.67117117117117"/>
    <s v="Low"/>
  </r>
  <r>
    <s v="21369 WALTHAM Road"/>
    <x v="61"/>
    <x v="1"/>
    <x v="901"/>
    <n v="50"/>
    <x v="1"/>
    <x v="1"/>
    <n v="916"/>
    <n v="105.89519650655022"/>
    <s v="Low"/>
  </r>
  <r>
    <s v="3201 Capitol"/>
    <x v="61"/>
    <x v="1"/>
    <x v="901"/>
    <n v="31"/>
    <x v="1"/>
    <x v="1"/>
    <n v="720"/>
    <n v="134.72222222222223"/>
    <s v="Low"/>
  </r>
  <r>
    <s v="45527 JEFFERSON Avenue"/>
    <x v="69"/>
    <x v="1"/>
    <x v="901"/>
    <n v="63"/>
    <x v="1"/>
    <x v="1"/>
    <n v="920"/>
    <n v="105.43478260869566"/>
    <s v="Low"/>
  </r>
  <r>
    <s v="21369 WALTHAM Road"/>
    <x v="61"/>
    <x v="1"/>
    <x v="901"/>
    <n v="98"/>
    <x v="1"/>
    <x v="1"/>
    <n v="916"/>
    <n v="105.89519650655022"/>
    <s v="Low"/>
  </r>
  <r>
    <s v="11032 CONTINENTAL Avenue"/>
    <x v="61"/>
    <x v="1"/>
    <x v="44"/>
    <n v="26"/>
    <x v="0"/>
    <x v="1"/>
    <n v="930"/>
    <n v="104.83870967741936"/>
    <s v="Low"/>
  </r>
  <r>
    <s v="2207 WOODRUFF Avenue"/>
    <x v="61"/>
    <x v="1"/>
    <x v="902"/>
    <n v="6"/>
    <x v="2"/>
    <x v="1"/>
    <n v="968"/>
    <n v="102.27272727272727"/>
    <s v="Low"/>
  </r>
  <r>
    <s v="16790 MAY Avenue"/>
    <x v="63"/>
    <x v="1"/>
    <x v="46"/>
    <n v="1"/>
    <x v="2"/>
    <x v="1"/>
    <n v="1026"/>
    <n v="97.465886939571149"/>
    <s v="Low"/>
  </r>
  <r>
    <s v="8431 MEADOW Avenue"/>
    <x v="61"/>
    <x v="1"/>
    <x v="46"/>
    <n v="0"/>
    <x v="1"/>
    <x v="1"/>
    <n v="700"/>
    <n v="142.85714285714286"/>
    <s v="Low"/>
  </r>
  <r>
    <s v="14224 Sherman"/>
    <x v="61"/>
    <x v="1"/>
    <x v="46"/>
    <n v="37"/>
    <x v="2"/>
    <x v="1"/>
    <n v="896"/>
    <n v="111.60714285714286"/>
    <s v="Low"/>
  </r>
  <r>
    <s v="23836 LEXINGTON Avenue"/>
    <x v="63"/>
    <x v="1"/>
    <x v="46"/>
    <n v="10"/>
    <x v="1"/>
    <x v="1"/>
    <n v="681"/>
    <n v="146.84287812041117"/>
    <s v="Low"/>
  </r>
  <r>
    <s v="22619 Furton"/>
    <x v="67"/>
    <x v="1"/>
    <x v="46"/>
    <n v="83"/>
    <x v="1"/>
    <x v="1"/>
    <n v="633"/>
    <n v="157.9778830963665"/>
    <s v="Low"/>
  </r>
  <r>
    <s v="71240 COON CREEK Road"/>
    <x v="70"/>
    <x v="1"/>
    <x v="46"/>
    <n v="80"/>
    <x v="2"/>
    <x v="1"/>
    <n v="1000"/>
    <n v="100"/>
    <s v="Low"/>
  </r>
  <r>
    <s v="8212 CONTINENTAL Avenue"/>
    <x v="61"/>
    <x v="1"/>
    <x v="903"/>
    <n v="35"/>
    <x v="1"/>
    <x v="1"/>
    <n v="700"/>
    <n v="144.28571428571428"/>
    <s v="Low"/>
  </r>
  <r>
    <s v="13634 KNOX Avenue"/>
    <x v="61"/>
    <x v="1"/>
    <x v="903"/>
    <n v="57"/>
    <x v="1"/>
    <x v="1"/>
    <n v="675"/>
    <n v="149.62962962962962"/>
    <s v="Low"/>
  </r>
  <r>
    <s v="3690 MORRISSEY Avenue"/>
    <x v="61"/>
    <x v="1"/>
    <x v="903"/>
    <n v="98"/>
    <x v="1"/>
    <x v="1"/>
    <n v="810"/>
    <n v="124.69135802469135"/>
    <s v="Low"/>
  </r>
  <r>
    <s v="22484 BRITTANY Avenue"/>
    <x v="63"/>
    <x v="1"/>
    <x v="904"/>
    <n v="24"/>
    <x v="2"/>
    <x v="1"/>
    <n v="911"/>
    <n v="111.08671789242591"/>
    <s v="Low"/>
  </r>
  <r>
    <s v="8655 Dodge Avenue"/>
    <x v="61"/>
    <x v="1"/>
    <x v="905"/>
    <n v="8"/>
    <x v="2"/>
    <x v="1"/>
    <n v="944"/>
    <n v="108.05084745762711"/>
    <s v="Low"/>
  </r>
  <r>
    <s v="23511 Stewart Avenue"/>
    <x v="61"/>
    <x v="1"/>
    <x v="48"/>
    <n v="6"/>
    <x v="2"/>
    <x v="1"/>
    <n v="943"/>
    <n v="109.22587486744433"/>
    <s v="Low"/>
  </r>
  <r>
    <s v="27200 Grandmont"/>
    <x v="60"/>
    <x v="1"/>
    <x v="48"/>
    <n v="50"/>
    <x v="2"/>
    <x v="1"/>
    <n v="1210"/>
    <n v="85.123966942148755"/>
    <s v="Low"/>
  </r>
  <r>
    <s v="20913 BEHRENDT Avenue"/>
    <x v="61"/>
    <x v="1"/>
    <x v="48"/>
    <n v="10"/>
    <x v="2"/>
    <x v="1"/>
    <n v="971"/>
    <n v="106.07621009268794"/>
    <s v="Low"/>
  </r>
  <r>
    <s v="24317 BOLAM Avenue"/>
    <x v="61"/>
    <x v="1"/>
    <x v="50"/>
    <n v="3"/>
    <x v="2"/>
    <x v="1"/>
    <n v="910"/>
    <n v="115.38461538461539"/>
    <s v="Low"/>
  </r>
  <r>
    <s v="24602 Rosalind"/>
    <x v="63"/>
    <x v="1"/>
    <x v="50"/>
    <n v="29"/>
    <x v="2"/>
    <x v="1"/>
    <n v="1013"/>
    <n v="103.65251727541954"/>
    <s v="Low"/>
  </r>
  <r>
    <s v="57832 MAIN Street"/>
    <x v="71"/>
    <x v="1"/>
    <x v="50"/>
    <n v="13"/>
    <x v="1"/>
    <x v="1"/>
    <n v="697"/>
    <n v="150.64562410329987"/>
    <s v="Low"/>
  </r>
  <r>
    <s v="7074 Yacht Avenue"/>
    <x v="61"/>
    <x v="1"/>
    <x v="50"/>
    <n v="15"/>
    <x v="1"/>
    <x v="1"/>
    <n v="960"/>
    <n v="109.375"/>
    <s v="Low"/>
  </r>
  <r>
    <s v="11116 CHALMERS Avenue"/>
    <x v="61"/>
    <x v="1"/>
    <x v="50"/>
    <n v="22"/>
    <x v="1"/>
    <x v="1"/>
    <n v="696"/>
    <n v="150.86206896551724"/>
    <s v="Low"/>
  </r>
  <r>
    <s v="20790 DEXTER Boulevard"/>
    <x v="61"/>
    <x v="1"/>
    <x v="50"/>
    <n v="0"/>
    <x v="2"/>
    <x v="1"/>
    <n v="1341"/>
    <n v="78.299776286353463"/>
    <s v="Low"/>
  </r>
  <r>
    <s v="6804 MAXWELL Avenue"/>
    <x v="61"/>
    <x v="1"/>
    <x v="906"/>
    <n v="26"/>
    <x v="1"/>
    <x v="1"/>
    <n v="720"/>
    <n v="147.91666666666666"/>
    <s v="Low"/>
  </r>
  <r>
    <s v="11320 Sherman"/>
    <x v="61"/>
    <x v="1"/>
    <x v="907"/>
    <n v="71"/>
    <x v="1"/>
    <x v="1"/>
    <n v="720"/>
    <n v="149.93055555555554"/>
    <s v="Low"/>
  </r>
  <r>
    <s v="12817 PROSPECT Avenue"/>
    <x v="61"/>
    <x v="1"/>
    <x v="908"/>
    <n v="2"/>
    <x v="2"/>
    <x v="1"/>
    <n v="984"/>
    <n v="109.7560975609756"/>
    <s v="Low"/>
  </r>
  <r>
    <s v="16783 Lincoln Avenue"/>
    <x v="63"/>
    <x v="1"/>
    <x v="909"/>
    <n v="69"/>
    <x v="1"/>
    <x v="1"/>
    <n v="724"/>
    <n v="150.55248618784532"/>
    <s v="Low"/>
  </r>
  <r>
    <s v="25111 DALE Street"/>
    <x v="60"/>
    <x v="1"/>
    <x v="909"/>
    <n v="26"/>
    <x v="1"/>
    <x v="1"/>
    <n v="754"/>
    <n v="144.56233421750665"/>
    <s v="Low"/>
  </r>
  <r>
    <s v="13012 SARSFIELD Avenue"/>
    <x v="61"/>
    <x v="1"/>
    <x v="52"/>
    <n v="23"/>
    <x v="1"/>
    <x v="1"/>
    <n v="700"/>
    <n v="157.14285714285714"/>
    <s v="Low"/>
  </r>
  <r>
    <s v="17928 ELIZABETH Street"/>
    <x v="60"/>
    <x v="1"/>
    <x v="52"/>
    <n v="1"/>
    <x v="3"/>
    <x v="2"/>
    <n v="1658"/>
    <n v="66.344993968636913"/>
    <s v="Low"/>
  </r>
  <r>
    <s v="34177 CHOPE"/>
    <x v="64"/>
    <x v="1"/>
    <x v="52"/>
    <n v="3"/>
    <x v="2"/>
    <x v="1"/>
    <n v="1000"/>
    <n v="110"/>
    <s v="Low"/>
  </r>
  <r>
    <s v="21718 MAXINE Street"/>
    <x v="67"/>
    <x v="1"/>
    <x v="52"/>
    <n v="20"/>
    <x v="0"/>
    <x v="1"/>
    <n v="1323"/>
    <n v="83.144368858654573"/>
    <s v="Low"/>
  </r>
  <r>
    <s v="7255 MCKINLEY"/>
    <x v="68"/>
    <x v="1"/>
    <x v="52"/>
    <n v="29"/>
    <x v="2"/>
    <x v="1"/>
    <n v="808"/>
    <n v="136.13861386138615"/>
    <s v="Low"/>
  </r>
  <r>
    <s v="14920 Mona"/>
    <x v="61"/>
    <x v="1"/>
    <x v="910"/>
    <n v="5"/>
    <x v="2"/>
    <x v="1"/>
    <n v="910"/>
    <n v="123.07692307692308"/>
    <s v="Low"/>
  </r>
  <r>
    <s v="7204 PACKARD Avenue"/>
    <x v="61"/>
    <x v="1"/>
    <x v="911"/>
    <n v="35"/>
    <x v="2"/>
    <x v="1"/>
    <n v="770"/>
    <n v="146.10389610389609"/>
    <s v="Low"/>
  </r>
  <r>
    <s v="4201 Joliet Avenue"/>
    <x v="61"/>
    <x v="1"/>
    <x v="54"/>
    <n v="11"/>
    <x v="1"/>
    <x v="1"/>
    <n v="775"/>
    <n v="145.80645161290323"/>
    <s v="Low"/>
  </r>
  <r>
    <s v="18946 Martin Road"/>
    <x v="60"/>
    <x v="1"/>
    <x v="55"/>
    <n v="2"/>
    <x v="2"/>
    <x v="3"/>
    <n v="936"/>
    <n v="122.86324786324786"/>
    <s v="Low"/>
  </r>
  <r>
    <s v="22435 BRITTANY Avenue"/>
    <x v="63"/>
    <x v="1"/>
    <x v="55"/>
    <n v="48"/>
    <x v="2"/>
    <x v="3"/>
    <n v="1206"/>
    <n v="95.356550580431175"/>
    <s v="Low"/>
  </r>
  <r>
    <s v="23147 LAMBRECHT Avenue"/>
    <x v="63"/>
    <x v="1"/>
    <x v="55"/>
    <n v="40"/>
    <x v="2"/>
    <x v="1"/>
    <n v="1518"/>
    <n v="75.757575757575751"/>
    <s v="Low"/>
  </r>
  <r>
    <s v="24236 Melrose"/>
    <x v="63"/>
    <x v="1"/>
    <x v="55"/>
    <n v="16"/>
    <x v="2"/>
    <x v="1"/>
    <n v="1020"/>
    <n v="112.74509803921569"/>
    <s v="Low"/>
  </r>
  <r>
    <s v="24909 DALE Avenue"/>
    <x v="63"/>
    <x v="1"/>
    <x v="55"/>
    <n v="10"/>
    <x v="1"/>
    <x v="1"/>
    <n v="1012"/>
    <n v="113.63636363636364"/>
    <s v="Low"/>
  </r>
  <r>
    <s v="8220 Lozier"/>
    <x v="61"/>
    <x v="1"/>
    <x v="912"/>
    <n v="58"/>
    <x v="2"/>
    <x v="1"/>
    <n v="988"/>
    <n v="116.90283400809717"/>
    <s v="Low"/>
  </r>
  <r>
    <s v="24268 Lexington"/>
    <x v="63"/>
    <x v="1"/>
    <x v="913"/>
    <n v="12"/>
    <x v="2"/>
    <x v="3"/>
    <n v="950"/>
    <n v="123.15789473684211"/>
    <s v="Low"/>
  </r>
  <r>
    <s v="17375 ROSEVILLE Boulevard"/>
    <x v="60"/>
    <x v="1"/>
    <x v="914"/>
    <n v="30"/>
    <x v="2"/>
    <x v="3"/>
    <n v="1091"/>
    <n v="107.69935838680109"/>
    <s v="Low"/>
  </r>
  <r>
    <s v="28373 ROSEMONT Street"/>
    <x v="60"/>
    <x v="1"/>
    <x v="56"/>
    <n v="12"/>
    <x v="1"/>
    <x v="1"/>
    <n v="696"/>
    <n v="169.54022988505747"/>
    <s v="Low"/>
  </r>
  <r>
    <s v="12214 LOUISIANA Avenue"/>
    <x v="61"/>
    <x v="1"/>
    <x v="915"/>
    <n v="1"/>
    <x v="1"/>
    <x v="1"/>
    <n v="740"/>
    <n v="160.13513513513513"/>
    <s v="Low"/>
  </r>
  <r>
    <s v="22815 Francis"/>
    <x v="67"/>
    <x v="1"/>
    <x v="916"/>
    <n v="3"/>
    <x v="1"/>
    <x v="1"/>
    <n v="806"/>
    <n v="148.75930521091811"/>
    <s v="Low"/>
  </r>
  <r>
    <s v="21421 CYMAN Avenue"/>
    <x v="61"/>
    <x v="1"/>
    <x v="57"/>
    <n v="3"/>
    <x v="2"/>
    <x v="1"/>
    <n v="1103"/>
    <n v="108.79419764279238"/>
    <s v="Low"/>
  </r>
  <r>
    <s v="2159 Goulson Avenue"/>
    <x v="61"/>
    <x v="1"/>
    <x v="57"/>
    <n v="8"/>
    <x v="2"/>
    <x v="1"/>
    <n v="944"/>
    <n v="127.11864406779661"/>
    <s v="Low"/>
  </r>
  <r>
    <s v="21549 WILLOW WISP Street"/>
    <x v="67"/>
    <x v="1"/>
    <x v="57"/>
    <n v="35"/>
    <x v="2"/>
    <x v="1"/>
    <n v="1033"/>
    <n v="116.16650532429816"/>
    <s v="Low"/>
  </r>
  <r>
    <s v="6262 GARDEN"/>
    <x v="61"/>
    <x v="1"/>
    <x v="57"/>
    <n v="14"/>
    <x v="2"/>
    <x v="3"/>
    <n v="1487"/>
    <n v="80.699394754539341"/>
    <s v="Low"/>
  </r>
  <r>
    <s v="3030 ALVINA Avenue"/>
    <x v="61"/>
    <x v="1"/>
    <x v="57"/>
    <n v="19"/>
    <x v="2"/>
    <x v="3"/>
    <n v="1556"/>
    <n v="77.120822622107966"/>
    <s v="Low"/>
  </r>
  <r>
    <s v="12482 GEORGIANA Avenue"/>
    <x v="61"/>
    <x v="1"/>
    <x v="57"/>
    <n v="63"/>
    <x v="1"/>
    <x v="1"/>
    <n v="944"/>
    <n v="127.11864406779661"/>
    <s v="Low"/>
  </r>
  <r>
    <s v="11289 PACKARD Avenue"/>
    <x v="61"/>
    <x v="1"/>
    <x v="917"/>
    <n v="1"/>
    <x v="0"/>
    <x v="1"/>
    <n v="1004"/>
    <n v="120.0199203187251"/>
    <s v="Low"/>
  </r>
  <r>
    <s v="22050 SHAKESPEARE Avenue"/>
    <x v="63"/>
    <x v="1"/>
    <x v="917"/>
    <n v="5"/>
    <x v="2"/>
    <x v="3"/>
    <n v="986"/>
    <n v="122.21095334685599"/>
    <s v="Low"/>
  </r>
  <r>
    <s v="25241 ROSENBUSCH Boulevard"/>
    <x v="61"/>
    <x v="1"/>
    <x v="918"/>
    <n v="9"/>
    <x v="1"/>
    <x v="1"/>
    <n v="725"/>
    <n v="166.89655172413794"/>
    <s v="Low"/>
  </r>
  <r>
    <s v="21068 SYRACUSE Avenue"/>
    <x v="61"/>
    <x v="1"/>
    <x v="918"/>
    <n v="11"/>
    <x v="2"/>
    <x v="1"/>
    <n v="960"/>
    <n v="126.04166666666667"/>
    <s v="Low"/>
  </r>
  <r>
    <s v="22756 Rein"/>
    <x v="63"/>
    <x v="1"/>
    <x v="918"/>
    <n v="13"/>
    <x v="2"/>
    <x v="1"/>
    <n v="1257"/>
    <n v="96.260938743038977"/>
    <s v="Low"/>
  </r>
  <r>
    <s v="58553 Chennault"/>
    <x v="71"/>
    <x v="1"/>
    <x v="919"/>
    <n v="15"/>
    <x v="2"/>
    <x v="3"/>
    <n v="1488"/>
    <n v="81.653225806451616"/>
    <s v="Low"/>
  </r>
  <r>
    <s v="22433 MELROSE"/>
    <x v="63"/>
    <x v="1"/>
    <x v="920"/>
    <n v="9"/>
    <x v="2"/>
    <x v="3"/>
    <n v="1455"/>
    <n v="83.848797250859107"/>
    <s v="Low"/>
  </r>
  <r>
    <s v="24596 EUREKA Avenue"/>
    <x v="61"/>
    <x v="1"/>
    <x v="920"/>
    <n v="6"/>
    <x v="1"/>
    <x v="1"/>
    <n v="1005"/>
    <n v="121.39303482587064"/>
    <s v="Low"/>
  </r>
  <r>
    <s v="4016 KINGMONT Drive"/>
    <x v="72"/>
    <x v="1"/>
    <x v="920"/>
    <n v="6"/>
    <x v="2"/>
    <x v="1"/>
    <n v="1050"/>
    <n v="116.19047619047619"/>
    <s v="Low"/>
  </r>
  <r>
    <s v="23832 LAMBRECHT Avenue"/>
    <x v="63"/>
    <x v="1"/>
    <x v="920"/>
    <n v="41"/>
    <x v="2"/>
    <x v="1"/>
    <n v="835"/>
    <n v="146.10778443113773"/>
    <s v="Low"/>
  </r>
  <r>
    <s v="23601 Glenbrook"/>
    <x v="67"/>
    <x v="1"/>
    <x v="921"/>
    <n v="2"/>
    <x v="2"/>
    <x v="3"/>
    <n v="2424"/>
    <n v="50.742574257425744"/>
    <s v="Low"/>
  </r>
  <r>
    <s v="17053 EGO Avenue"/>
    <x v="63"/>
    <x v="1"/>
    <x v="922"/>
    <n v="51"/>
    <x v="2"/>
    <x v="3"/>
    <n v="1086"/>
    <n v="113.72099447513813"/>
    <s v="Low"/>
  </r>
  <r>
    <s v="22624 Maxine"/>
    <x v="67"/>
    <x v="1"/>
    <x v="923"/>
    <n v="4"/>
    <x v="1"/>
    <x v="1"/>
    <n v="750"/>
    <n v="165.33333333333334"/>
    <s v="Low"/>
  </r>
  <r>
    <s v="26718 GRANT"/>
    <x v="67"/>
    <x v="1"/>
    <x v="923"/>
    <n v="4"/>
    <x v="2"/>
    <x v="1"/>
    <n v="965"/>
    <n v="128.49740932642487"/>
    <s v="Low"/>
  </r>
  <r>
    <s v="22840 DONALD Avenue"/>
    <x v="63"/>
    <x v="1"/>
    <x v="60"/>
    <n v="1"/>
    <x v="2"/>
    <x v="1"/>
    <n v="950"/>
    <n v="131.47368421052633"/>
    <s v="Low"/>
  </r>
  <r>
    <s v="22042 Gascony"/>
    <x v="63"/>
    <x v="1"/>
    <x v="60"/>
    <n v="96"/>
    <x v="2"/>
    <x v="1"/>
    <n v="1084"/>
    <n v="115.22140221402213"/>
    <s v="Low"/>
  </r>
  <r>
    <s v="29000 Rosebriar"/>
    <x v="67"/>
    <x v="1"/>
    <x v="61"/>
    <n v="5"/>
    <x v="2"/>
    <x v="1"/>
    <n v="950"/>
    <n v="131.57894736842104"/>
    <s v="Low"/>
  </r>
  <r>
    <s v="8735 CHALMERS Avenue"/>
    <x v="61"/>
    <x v="1"/>
    <x v="61"/>
    <n v="6"/>
    <x v="2"/>
    <x v="1"/>
    <n v="936"/>
    <n v="133.54700854700855"/>
    <s v="Low"/>
  </r>
  <r>
    <s v="26036 BELANGER Street"/>
    <x v="60"/>
    <x v="1"/>
    <x v="61"/>
    <n v="57"/>
    <x v="2"/>
    <x v="1"/>
    <n v="986"/>
    <n v="126.77484787018255"/>
    <s v="Low"/>
  </r>
  <r>
    <s v="185 N Walnut"/>
    <x v="62"/>
    <x v="1"/>
    <x v="61"/>
    <n v="97"/>
    <x v="2"/>
    <x v="1"/>
    <n v="800"/>
    <n v="156.25"/>
    <s v="Low"/>
  </r>
  <r>
    <s v="8484 Lozier"/>
    <x v="61"/>
    <x v="1"/>
    <x v="924"/>
    <n v="4"/>
    <x v="1"/>
    <x v="1"/>
    <n v="875"/>
    <n v="144.57142857142858"/>
    <s v="Low"/>
  </r>
  <r>
    <s v="22353 BEECHWOOD Avenue"/>
    <x v="63"/>
    <x v="1"/>
    <x v="924"/>
    <n v="51"/>
    <x v="2"/>
    <x v="1"/>
    <n v="966"/>
    <n v="130.95238095238096"/>
    <s v="Low"/>
  </r>
  <r>
    <s v="27819 Lasslett"/>
    <x v="60"/>
    <x v="1"/>
    <x v="925"/>
    <n v="5"/>
    <x v="2"/>
    <x v="1"/>
    <n v="924"/>
    <n v="137.44588744588745"/>
    <s v="Low"/>
  </r>
  <r>
    <s v="23863 DORMONT Avenue"/>
    <x v="61"/>
    <x v="1"/>
    <x v="925"/>
    <n v="0"/>
    <x v="2"/>
    <x v="1"/>
    <n v="942"/>
    <n v="134.81953290870487"/>
    <s v="Low"/>
  </r>
  <r>
    <s v="2119 ROME Avenue"/>
    <x v="61"/>
    <x v="1"/>
    <x v="925"/>
    <n v="0"/>
    <x v="0"/>
    <x v="2"/>
    <n v="1556"/>
    <n v="81.61953727506426"/>
    <s v="Low"/>
  </r>
  <r>
    <s v="22455 REIN Avenue"/>
    <x v="63"/>
    <x v="1"/>
    <x v="63"/>
    <n v="28"/>
    <x v="1"/>
    <x v="1"/>
    <n v="891"/>
    <n v="143.0976430976431"/>
    <s v="Low"/>
  </r>
  <r>
    <s v="35300 Bordman"/>
    <x v="73"/>
    <x v="1"/>
    <x v="63"/>
    <n v="62"/>
    <x v="2"/>
    <x v="3"/>
    <n v="1696"/>
    <n v="75.176886792452834"/>
    <s v="Low"/>
  </r>
  <r>
    <s v="16734 Toepfer"/>
    <x v="63"/>
    <x v="1"/>
    <x v="64"/>
    <n v="28"/>
    <x v="2"/>
    <x v="1"/>
    <n v="985"/>
    <n v="129.94923857868019"/>
    <s v="Low"/>
  </r>
  <r>
    <s v="178 N Walnut"/>
    <x v="62"/>
    <x v="1"/>
    <x v="66"/>
    <n v="16"/>
    <x v="2"/>
    <x v="1"/>
    <n v="1255"/>
    <n v="103.50597609561753"/>
    <s v="Low"/>
  </r>
  <r>
    <s v="24606 Berry"/>
    <x v="61"/>
    <x v="1"/>
    <x v="66"/>
    <n v="54"/>
    <x v="2"/>
    <x v="1"/>
    <n v="910"/>
    <n v="142.74725274725276"/>
    <s v="Low"/>
  </r>
  <r>
    <s v="21434 AUDREY Avenue"/>
    <x v="61"/>
    <x v="1"/>
    <x v="67"/>
    <n v="18"/>
    <x v="2"/>
    <x v="1"/>
    <n v="1044"/>
    <n v="124.52107279693486"/>
    <s v="Low"/>
  </r>
  <r>
    <s v="27243 COLLINGWOOD"/>
    <x v="60"/>
    <x v="1"/>
    <x v="67"/>
    <n v="16"/>
    <x v="2"/>
    <x v="1"/>
    <n v="1090"/>
    <n v="119.26605504587155"/>
    <s v="Low"/>
  </r>
  <r>
    <s v="71 Grove Park Street"/>
    <x v="62"/>
    <x v="1"/>
    <x v="67"/>
    <n v="10"/>
    <x v="7"/>
    <x v="13"/>
    <n v="1284"/>
    <n v="101.24610591900311"/>
    <s v="Low"/>
  </r>
  <r>
    <s v="23942 Woodrow Wilson"/>
    <x v="61"/>
    <x v="1"/>
    <x v="67"/>
    <n v="39"/>
    <x v="2"/>
    <x v="1"/>
    <n v="853"/>
    <n v="152.40328253223916"/>
    <s v="Low"/>
  </r>
  <r>
    <s v="11320 Dodge"/>
    <x v="61"/>
    <x v="1"/>
    <x v="67"/>
    <n v="44"/>
    <x v="2"/>
    <x v="1"/>
    <n v="908"/>
    <n v="143.17180616740089"/>
    <s v="Low"/>
  </r>
  <r>
    <s v="71 GROVE PARK Street"/>
    <x v="62"/>
    <x v="1"/>
    <x v="67"/>
    <n v="76"/>
    <x v="2"/>
    <x v="1"/>
    <n v="1284"/>
    <n v="101.24610591900311"/>
    <s v="Low"/>
  </r>
  <r>
    <s v="15628 LINCOLN Avenue"/>
    <x v="63"/>
    <x v="1"/>
    <x v="67"/>
    <n v="66"/>
    <x v="2"/>
    <x v="3"/>
    <n v="1398"/>
    <n v="92.989985693848354"/>
    <s v="Low"/>
  </r>
  <r>
    <s v="17043 EGO Avenue"/>
    <x v="63"/>
    <x v="1"/>
    <x v="67"/>
    <n v="182"/>
    <x v="2"/>
    <x v="1"/>
    <n v="1041"/>
    <n v="124.87992315081652"/>
    <s v="Low"/>
  </r>
  <r>
    <s v="11567 Dodge Avenue"/>
    <x v="61"/>
    <x v="1"/>
    <x v="926"/>
    <n v="5"/>
    <x v="0"/>
    <x v="3"/>
    <n v="1360"/>
    <n v="96.32352941176471"/>
    <s v="Low"/>
  </r>
  <r>
    <s v="54 Union"/>
    <x v="62"/>
    <x v="1"/>
    <x v="926"/>
    <n v="3"/>
    <x v="1"/>
    <x v="1"/>
    <n v="728"/>
    <n v="179.94505494505495"/>
    <s v="Low"/>
  </r>
  <r>
    <s v="26391 Kathy"/>
    <x v="60"/>
    <x v="1"/>
    <x v="927"/>
    <n v="74"/>
    <x v="2"/>
    <x v="1"/>
    <n v="924"/>
    <n v="142.85714285714286"/>
    <s v="Low"/>
  </r>
  <r>
    <s v="22580 Oaklane"/>
    <x v="61"/>
    <x v="1"/>
    <x v="928"/>
    <n v="18"/>
    <x v="2"/>
    <x v="1"/>
    <n v="902"/>
    <n v="147.450110864745"/>
    <s v="Low"/>
  </r>
  <r>
    <s v="27611 21 Mile Road"/>
    <x v="69"/>
    <x v="1"/>
    <x v="928"/>
    <n v="13"/>
    <x v="2"/>
    <x v="1"/>
    <n v="1014"/>
    <n v="131.16370808678502"/>
    <s v="Low"/>
  </r>
  <r>
    <s v="13846 MARSHALL Avenue"/>
    <x v="61"/>
    <x v="1"/>
    <x v="929"/>
    <n v="16"/>
    <x v="1"/>
    <x v="1"/>
    <n v="900"/>
    <n v="148.88888888888889"/>
    <s v="Low"/>
  </r>
  <r>
    <s v="23832 BRITTANY Avenue"/>
    <x v="63"/>
    <x v="1"/>
    <x v="929"/>
    <n v="11"/>
    <x v="2"/>
    <x v="1"/>
    <n v="1251"/>
    <n v="107.11430855315747"/>
    <s v="Low"/>
  </r>
  <r>
    <s v="24528 LAUREN Avenue"/>
    <x v="61"/>
    <x v="1"/>
    <x v="930"/>
    <n v="29"/>
    <x v="2"/>
    <x v="1"/>
    <n v="1085"/>
    <n v="124.23963133640552"/>
    <s v="Low"/>
  </r>
  <r>
    <s v="28205 Asmus"/>
    <x v="60"/>
    <x v="1"/>
    <x v="70"/>
    <n v="3"/>
    <x v="1"/>
    <x v="1"/>
    <n v="1102"/>
    <n v="122.50453720508168"/>
    <s v="Low"/>
  </r>
  <r>
    <s v="13845 MARSHALL Avenue"/>
    <x v="61"/>
    <x v="1"/>
    <x v="70"/>
    <n v="16"/>
    <x v="1"/>
    <x v="1"/>
    <n v="900"/>
    <n v="150"/>
    <s v="Low"/>
  </r>
  <r>
    <s v="26510 Nagel"/>
    <x v="60"/>
    <x v="1"/>
    <x v="70"/>
    <n v="18"/>
    <x v="2"/>
    <x v="1"/>
    <n v="1122"/>
    <n v="120.32085561497327"/>
    <s v="Low"/>
  </r>
  <r>
    <s v="26403 CULVER Street"/>
    <x v="67"/>
    <x v="1"/>
    <x v="70"/>
    <n v="67"/>
    <x v="2"/>
    <x v="1"/>
    <n v="1125"/>
    <n v="120"/>
    <s v="Low"/>
  </r>
  <r>
    <s v="14310 HOBART Avenue"/>
    <x v="61"/>
    <x v="1"/>
    <x v="70"/>
    <n v="4"/>
    <x v="2"/>
    <x v="1"/>
    <n v="888"/>
    <n v="152.02702702702703"/>
    <s v="Low"/>
  </r>
  <r>
    <s v="21137 Beechwood Avenue"/>
    <x v="63"/>
    <x v="1"/>
    <x v="70"/>
    <n v="31"/>
    <x v="7"/>
    <x v="13"/>
    <n v="1192"/>
    <n v="113.25503355704699"/>
    <s v="Low"/>
  </r>
  <r>
    <s v="15022 CHARLES R Avenue"/>
    <x v="63"/>
    <x v="1"/>
    <x v="70"/>
    <n v="3"/>
    <x v="1"/>
    <x v="3"/>
    <n v="936"/>
    <n v="144.23076923076923"/>
    <s v="Low"/>
  </r>
  <r>
    <s v="4229 DOLORES Avenue"/>
    <x v="61"/>
    <x v="1"/>
    <x v="70"/>
    <n v="43"/>
    <x v="2"/>
    <x v="1"/>
    <n v="1181"/>
    <n v="114.30990685859442"/>
    <s v="Low"/>
  </r>
  <r>
    <s v="21137 BEECHWOOD Avenue"/>
    <x v="63"/>
    <x v="1"/>
    <x v="70"/>
    <n v="15"/>
    <x v="2"/>
    <x v="1"/>
    <n v="1192"/>
    <n v="113.25503355704699"/>
    <s v="Low"/>
  </r>
  <r>
    <s v="21515 BLACKMAR Avenue"/>
    <x v="61"/>
    <x v="1"/>
    <x v="70"/>
    <n v="61"/>
    <x v="1"/>
    <x v="1"/>
    <n v="1037"/>
    <n v="130.18322082931533"/>
    <s v="Low"/>
  </r>
  <r>
    <s v="19782 WOODWARD Street"/>
    <x v="64"/>
    <x v="1"/>
    <x v="931"/>
    <n v="51"/>
    <x v="2"/>
    <x v="1"/>
    <n v="864"/>
    <n v="157.40740740740742"/>
    <s v="Low"/>
  </r>
  <r>
    <s v="22064 Schroeder"/>
    <x v="63"/>
    <x v="1"/>
    <x v="71"/>
    <n v="3"/>
    <x v="2"/>
    <x v="3"/>
    <n v="955"/>
    <n v="143.45549738219896"/>
    <s v="Low"/>
  </r>
  <r>
    <s v="18650 EASTLAND Street"/>
    <x v="60"/>
    <x v="1"/>
    <x v="71"/>
    <n v="3"/>
    <x v="2"/>
    <x v="1"/>
    <n v="1339"/>
    <n v="102.31516056758775"/>
    <s v="Low"/>
  </r>
  <r>
    <s v="17055 LOWELL Street"/>
    <x v="60"/>
    <x v="1"/>
    <x v="73"/>
    <n v="7"/>
    <x v="2"/>
    <x v="1"/>
    <n v="1135"/>
    <n v="121.58590308370044"/>
    <s v="Low"/>
  </r>
  <r>
    <s v="22533 RAVEN Avenue"/>
    <x v="63"/>
    <x v="1"/>
    <x v="73"/>
    <n v="57"/>
    <x v="1"/>
    <x v="1"/>
    <n v="905"/>
    <n v="152.48618784530387"/>
    <s v="Low"/>
  </r>
  <r>
    <s v="26629 Dale"/>
    <x v="60"/>
    <x v="1"/>
    <x v="73"/>
    <n v="100"/>
    <x v="2"/>
    <x v="1"/>
    <n v="960"/>
    <n v="143.75"/>
    <s v="Low"/>
  </r>
  <r>
    <s v="373 Cass"/>
    <x v="62"/>
    <x v="1"/>
    <x v="932"/>
    <n v="17"/>
    <x v="1"/>
    <x v="1"/>
    <n v="864"/>
    <n v="161.45833333333334"/>
    <s v="Low"/>
  </r>
  <r>
    <s v="19054 E 13 MILE Road"/>
    <x v="60"/>
    <x v="1"/>
    <x v="75"/>
    <n v="3"/>
    <x v="2"/>
    <x v="1"/>
    <n v="960"/>
    <n v="145.83333333333334"/>
    <s v="Low"/>
  </r>
  <r>
    <s v="15714 Ash"/>
    <x v="63"/>
    <x v="1"/>
    <x v="75"/>
    <n v="6"/>
    <x v="2"/>
    <x v="2"/>
    <n v="1150"/>
    <n v="121.73913043478261"/>
    <s v="Low"/>
  </r>
  <r>
    <s v="15760 COUZENS Avenue"/>
    <x v="63"/>
    <x v="1"/>
    <x v="75"/>
    <n v="2"/>
    <x v="0"/>
    <x v="5"/>
    <n v="1953"/>
    <n v="71.68458781362007"/>
    <s v="Low"/>
  </r>
  <r>
    <s v="8220 LOZIER Avenue"/>
    <x v="61"/>
    <x v="1"/>
    <x v="75"/>
    <n v="10"/>
    <x v="2"/>
    <x v="1"/>
    <n v="1000"/>
    <n v="140"/>
    <s v="Low"/>
  </r>
  <r>
    <s v="16515 15 Mile"/>
    <x v="64"/>
    <x v="1"/>
    <x v="75"/>
    <n v="4"/>
    <x v="2"/>
    <x v="3"/>
    <n v="1564"/>
    <n v="89.514066496163679"/>
    <s v="Low"/>
  </r>
  <r>
    <s v="24725 Saxony Avenue"/>
    <x v="63"/>
    <x v="1"/>
    <x v="75"/>
    <n v="36"/>
    <x v="2"/>
    <x v="1"/>
    <n v="972"/>
    <n v="144.03292181069958"/>
    <s v="Low"/>
  </r>
  <r>
    <s v="3991 STOLZENFELD Avenue"/>
    <x v="61"/>
    <x v="1"/>
    <x v="76"/>
    <n v="6"/>
    <x v="1"/>
    <x v="1"/>
    <n v="720"/>
    <n v="195.83333333333334"/>
    <s v="Low"/>
  </r>
  <r>
    <s v="7532 THEUT Avenue"/>
    <x v="61"/>
    <x v="1"/>
    <x v="76"/>
    <n v="69"/>
    <x v="2"/>
    <x v="1"/>
    <n v="1275"/>
    <n v="110.58823529411765"/>
    <s v="Low"/>
  </r>
  <r>
    <s v="19331 Meier"/>
    <x v="60"/>
    <x v="1"/>
    <x v="933"/>
    <n v="24"/>
    <x v="2"/>
    <x v="1"/>
    <n v="960"/>
    <n v="147.39583333333334"/>
    <s v="Low"/>
  </r>
  <r>
    <s v="23641 Stewart"/>
    <x v="61"/>
    <x v="1"/>
    <x v="934"/>
    <n v="5"/>
    <x v="2"/>
    <x v="1"/>
    <n v="1107"/>
    <n v="128.72628726287263"/>
    <s v="Low"/>
  </r>
  <r>
    <s v="22118 Cushing Avenue"/>
    <x v="63"/>
    <x v="1"/>
    <x v="935"/>
    <n v="4"/>
    <x v="2"/>
    <x v="3"/>
    <n v="1224"/>
    <n v="116.83006535947712"/>
    <s v="Low"/>
  </r>
  <r>
    <s v="8647 Stephens"/>
    <x v="68"/>
    <x v="1"/>
    <x v="935"/>
    <n v="47"/>
    <x v="1"/>
    <x v="3"/>
    <n v="936"/>
    <n v="152.77777777777777"/>
    <s v="Low"/>
  </r>
  <r>
    <s v="8108 Republic Avenue"/>
    <x v="61"/>
    <x v="1"/>
    <x v="936"/>
    <n v="9"/>
    <x v="2"/>
    <x v="2"/>
    <n v="1087"/>
    <n v="132.01471941122355"/>
    <s v="Low"/>
  </r>
  <r>
    <s v="23467 HARVARD SHORE Drive"/>
    <x v="64"/>
    <x v="1"/>
    <x v="936"/>
    <n v="4"/>
    <x v="1"/>
    <x v="1"/>
    <n v="718"/>
    <n v="199.86072423398329"/>
    <s v="Low"/>
  </r>
  <r>
    <s v="21115 ALBANY Avenue"/>
    <x v="61"/>
    <x v="1"/>
    <x v="79"/>
    <n v="71"/>
    <x v="2"/>
    <x v="3"/>
    <n v="859"/>
    <n v="167.63678696158323"/>
    <s v="Low"/>
  </r>
  <r>
    <s v="21184 Nummer Street"/>
    <x v="61"/>
    <x v="1"/>
    <x v="937"/>
    <n v="5"/>
    <x v="0"/>
    <x v="5"/>
    <n v="1089"/>
    <n v="133.05785123966942"/>
    <s v="Low"/>
  </r>
  <r>
    <s v="20171 WILLIAMSON Street"/>
    <x v="64"/>
    <x v="1"/>
    <x v="81"/>
    <n v="1"/>
    <x v="2"/>
    <x v="1"/>
    <n v="1008"/>
    <n v="143.84920634920636"/>
    <s v="Low"/>
  </r>
  <r>
    <s v="28805 Melvin"/>
    <x v="60"/>
    <x v="1"/>
    <x v="81"/>
    <n v="3"/>
    <x v="1"/>
    <x v="1"/>
    <n v="1014"/>
    <n v="142.99802761341223"/>
    <s v="Low"/>
  </r>
  <r>
    <s v="35858 LITTLE MACK Avenue"/>
    <x v="64"/>
    <x v="1"/>
    <x v="81"/>
    <n v="7"/>
    <x v="2"/>
    <x v="5"/>
    <n v="1103"/>
    <n v="131.4596554850408"/>
    <s v="Low"/>
  </r>
  <r>
    <s v="19205 Martin Road"/>
    <x v="60"/>
    <x v="1"/>
    <x v="81"/>
    <n v="9"/>
    <x v="2"/>
    <x v="1"/>
    <n v="1025"/>
    <n v="141.46341463414635"/>
    <s v="Low"/>
  </r>
  <r>
    <s v="11308 REPUBLIC Avenue"/>
    <x v="61"/>
    <x v="1"/>
    <x v="81"/>
    <n v="6"/>
    <x v="2"/>
    <x v="1"/>
    <n v="960"/>
    <n v="151.04166666666666"/>
    <s v="Low"/>
  </r>
  <r>
    <s v="15296 Frazho"/>
    <x v="60"/>
    <x v="1"/>
    <x v="81"/>
    <n v="30"/>
    <x v="2"/>
    <x v="3"/>
    <n v="1290"/>
    <n v="112.40310077519379"/>
    <s v="Low"/>
  </r>
  <r>
    <s v="68970 HOWARD Street"/>
    <x v="74"/>
    <x v="1"/>
    <x v="81"/>
    <n v="3"/>
    <x v="1"/>
    <x v="1"/>
    <n v="600"/>
    <n v="241.66666666666666"/>
    <s v="Medium"/>
  </r>
  <r>
    <s v="35325 31 MILE Road"/>
    <x v="65"/>
    <x v="1"/>
    <x v="938"/>
    <n v="4"/>
    <x v="2"/>
    <x v="3"/>
    <n v="1300"/>
    <n v="112.24692307692308"/>
    <s v="Low"/>
  </r>
  <r>
    <s v="26243 PATTOW Street"/>
    <x v="60"/>
    <x v="1"/>
    <x v="82"/>
    <n v="25"/>
    <x v="2"/>
    <x v="1"/>
    <n v="1082"/>
    <n v="134.93530499075786"/>
    <s v="Low"/>
  </r>
  <r>
    <s v="20900 FINLEY Street"/>
    <x v="64"/>
    <x v="1"/>
    <x v="83"/>
    <n v="8"/>
    <x v="2"/>
    <x v="1"/>
    <n v="1000"/>
    <n v="147"/>
    <s v="Low"/>
  </r>
  <r>
    <s v="30342 Hayes"/>
    <x v="60"/>
    <x v="1"/>
    <x v="83"/>
    <n v="12"/>
    <x v="2"/>
    <x v="1"/>
    <n v="1015"/>
    <n v="144.82758620689654"/>
    <s v="Low"/>
  </r>
  <r>
    <s v="20905 SUNSET Avenue"/>
    <x v="61"/>
    <x v="1"/>
    <x v="83"/>
    <n v="71"/>
    <x v="2"/>
    <x v="1"/>
    <n v="1000"/>
    <n v="147"/>
    <s v="Low"/>
  </r>
  <r>
    <s v="24529 Grove"/>
    <x v="63"/>
    <x v="1"/>
    <x v="939"/>
    <n v="14"/>
    <x v="2"/>
    <x v="2"/>
    <n v="1301"/>
    <n v="113.37432744043043"/>
    <s v="Low"/>
  </r>
  <r>
    <s v="21910 Elizabeth"/>
    <x v="67"/>
    <x v="1"/>
    <x v="86"/>
    <n v="110"/>
    <x v="1"/>
    <x v="3"/>
    <n v="984"/>
    <n v="151.42276422764229"/>
    <s v="Low"/>
  </r>
  <r>
    <s v="47457 Hennings"/>
    <x v="69"/>
    <x v="1"/>
    <x v="940"/>
    <n v="46"/>
    <x v="1"/>
    <x v="2"/>
    <n v="1320"/>
    <n v="113.55757575757576"/>
    <s v="Low"/>
  </r>
  <r>
    <s v="23629 Lorraine Avenue"/>
    <x v="61"/>
    <x v="1"/>
    <x v="87"/>
    <n v="27"/>
    <x v="2"/>
    <x v="1"/>
    <n v="1000"/>
    <n v="149.9"/>
    <s v="Low"/>
  </r>
  <r>
    <s v="19981 MACEL Street"/>
    <x v="60"/>
    <x v="1"/>
    <x v="87"/>
    <n v="15"/>
    <x v="2"/>
    <x v="1"/>
    <n v="1000"/>
    <n v="149.9"/>
    <s v="Low"/>
  </r>
  <r>
    <s v="19981 MACEL Street"/>
    <x v="60"/>
    <x v="1"/>
    <x v="87"/>
    <n v="11"/>
    <x v="2"/>
    <x v="1"/>
    <n v="1000"/>
    <n v="149.9"/>
    <s v="Low"/>
  </r>
  <r>
    <s v="41145 Conger Bay"/>
    <x v="75"/>
    <x v="1"/>
    <x v="88"/>
    <n v="5"/>
    <x v="1"/>
    <x v="1"/>
    <n v="900"/>
    <n v="166.66666666666666"/>
    <s v="Low"/>
  </r>
  <r>
    <s v="22111 David"/>
    <x v="63"/>
    <x v="1"/>
    <x v="88"/>
    <n v="8"/>
    <x v="2"/>
    <x v="3"/>
    <n v="1172"/>
    <n v="127.9863481228669"/>
    <s v="Low"/>
  </r>
  <r>
    <s v="28087 Oneil"/>
    <x v="60"/>
    <x v="1"/>
    <x v="88"/>
    <n v="4"/>
    <x v="2"/>
    <x v="3"/>
    <n v="1358"/>
    <n v="110.45655375552283"/>
    <s v="Low"/>
  </r>
  <r>
    <s v="8840 E 14 Mile"/>
    <x v="61"/>
    <x v="1"/>
    <x v="88"/>
    <n v="99"/>
    <x v="2"/>
    <x v="1"/>
    <n v="956"/>
    <n v="156.90376569037656"/>
    <s v="Low"/>
  </r>
  <r>
    <s v="14852 ELEANOR Avenue"/>
    <x v="61"/>
    <x v="1"/>
    <x v="88"/>
    <n v="2"/>
    <x v="2"/>
    <x v="2"/>
    <n v="944"/>
    <n v="158.89830508474577"/>
    <s v="Low"/>
  </r>
  <r>
    <s v="8111 COOLIDGE"/>
    <x v="68"/>
    <x v="1"/>
    <x v="88"/>
    <n v="44"/>
    <x v="2"/>
    <x v="1"/>
    <n v="1026"/>
    <n v="146.19883040935673"/>
    <s v="Low"/>
  </r>
  <r>
    <s v="17040 Lowell"/>
    <x v="60"/>
    <x v="1"/>
    <x v="88"/>
    <n v="47"/>
    <x v="2"/>
    <x v="1"/>
    <n v="1000"/>
    <n v="150"/>
    <s v="Low"/>
  </r>
  <r>
    <s v="23112 Melrose"/>
    <x v="63"/>
    <x v="1"/>
    <x v="88"/>
    <n v="14"/>
    <x v="2"/>
    <x v="1"/>
    <n v="1106"/>
    <n v="135.62386980108499"/>
    <s v="Low"/>
  </r>
  <r>
    <s v="35646 Silvano"/>
    <x v="64"/>
    <x v="1"/>
    <x v="88"/>
    <n v="109"/>
    <x v="2"/>
    <x v="1"/>
    <n v="1120"/>
    <n v="133.92857142857142"/>
    <s v="Low"/>
  </r>
  <r>
    <s v="25951 Clinton"/>
    <x v="75"/>
    <x v="1"/>
    <x v="88"/>
    <n v="188"/>
    <x v="0"/>
    <x v="2"/>
    <n v="1824"/>
    <n v="82.236842105263165"/>
    <s v="Low"/>
  </r>
  <r>
    <s v="26584 KATHY Street"/>
    <x v="60"/>
    <x v="1"/>
    <x v="89"/>
    <n v="12"/>
    <x v="1"/>
    <x v="1"/>
    <n v="1000"/>
    <n v="151"/>
    <s v="Low"/>
  </r>
  <r>
    <s v="23182 STEWART Avenue"/>
    <x v="61"/>
    <x v="1"/>
    <x v="941"/>
    <n v="40"/>
    <x v="0"/>
    <x v="1"/>
    <n v="1000"/>
    <n v="151.1"/>
    <s v="Low"/>
  </r>
  <r>
    <s v="22143 Pleasant"/>
    <x v="63"/>
    <x v="1"/>
    <x v="90"/>
    <n v="5"/>
    <x v="2"/>
    <x v="3"/>
    <n v="1040"/>
    <n v="146.15384615384616"/>
    <s v="Low"/>
  </r>
  <r>
    <s v="21713 Woodbridge"/>
    <x v="67"/>
    <x v="1"/>
    <x v="942"/>
    <n v="6"/>
    <x v="2"/>
    <x v="1"/>
    <n v="1330"/>
    <n v="114.3609022556391"/>
    <s v="Low"/>
  </r>
  <r>
    <s v="26340 HAYES Road"/>
    <x v="60"/>
    <x v="1"/>
    <x v="943"/>
    <n v="10"/>
    <x v="2"/>
    <x v="3"/>
    <n v="936"/>
    <n v="163.35470085470087"/>
    <s v="Low"/>
  </r>
  <r>
    <s v="21030 Panama Street"/>
    <x v="61"/>
    <x v="1"/>
    <x v="93"/>
    <n v="38"/>
    <x v="2"/>
    <x v="1"/>
    <n v="976"/>
    <n v="157.78688524590163"/>
    <s v="Low"/>
  </r>
  <r>
    <s v="250 Euclid Street"/>
    <x v="62"/>
    <x v="1"/>
    <x v="94"/>
    <n v="11"/>
    <x v="0"/>
    <x v="3"/>
    <n v="1700"/>
    <n v="90.882352941176464"/>
    <s v="Low"/>
  </r>
  <r>
    <s v="21099 Albany Avenue"/>
    <x v="61"/>
    <x v="1"/>
    <x v="95"/>
    <n v="4"/>
    <x v="2"/>
    <x v="1"/>
    <n v="859"/>
    <n v="180.32596041909196"/>
    <s v="Low"/>
  </r>
  <r>
    <s v="26327 BELANGER Street"/>
    <x v="60"/>
    <x v="1"/>
    <x v="96"/>
    <n v="10"/>
    <x v="2"/>
    <x v="1"/>
    <n v="912"/>
    <n v="169.95614035087721"/>
    <s v="Low"/>
  </r>
  <r>
    <s v="20763 SYRACUSE Avenue"/>
    <x v="61"/>
    <x v="1"/>
    <x v="96"/>
    <n v="35"/>
    <x v="2"/>
    <x v="1"/>
    <n v="1052"/>
    <n v="147.3384030418251"/>
    <s v="Low"/>
  </r>
  <r>
    <s v="22362 LE FEVER Avenue"/>
    <x v="61"/>
    <x v="1"/>
    <x v="96"/>
    <n v="4"/>
    <x v="2"/>
    <x v="1"/>
    <n v="1000"/>
    <n v="155"/>
    <s v="Low"/>
  </r>
  <r>
    <s v="22628 LAKE Drive"/>
    <x v="67"/>
    <x v="1"/>
    <x v="96"/>
    <n v="21"/>
    <x v="2"/>
    <x v="3"/>
    <n v="957"/>
    <n v="161.96447230929991"/>
    <s v="Low"/>
  </r>
  <r>
    <s v="3825 Michael Avenue"/>
    <x v="61"/>
    <x v="1"/>
    <x v="96"/>
    <n v="30"/>
    <x v="2"/>
    <x v="1"/>
    <n v="1092"/>
    <n v="141.94139194139194"/>
    <s v="Low"/>
  </r>
  <r>
    <s v="24371 Antoinette"/>
    <x v="61"/>
    <x v="1"/>
    <x v="96"/>
    <n v="17"/>
    <x v="2"/>
    <x v="1"/>
    <n v="1496"/>
    <n v="103.6096256684492"/>
    <s v="Low"/>
  </r>
  <r>
    <s v="22433 Wilmot"/>
    <x v="63"/>
    <x v="1"/>
    <x v="96"/>
    <n v="7"/>
    <x v="2"/>
    <x v="1"/>
    <n v="1050"/>
    <n v="147.61904761904762"/>
    <s v="Low"/>
  </r>
  <r>
    <s v="24035 Melody"/>
    <x v="61"/>
    <x v="1"/>
    <x v="96"/>
    <n v="113"/>
    <x v="2"/>
    <x v="1"/>
    <n v="1085"/>
    <n v="142.85714285714286"/>
    <s v="Low"/>
  </r>
  <r>
    <s v="25276 HAYES Road"/>
    <x v="60"/>
    <x v="1"/>
    <x v="96"/>
    <n v="41"/>
    <x v="2"/>
    <x v="2"/>
    <n v="1285"/>
    <n v="120.62256809338521"/>
    <s v="Low"/>
  </r>
  <r>
    <s v="2016 OTIS Avenue"/>
    <x v="61"/>
    <x v="1"/>
    <x v="96"/>
    <n v="18"/>
    <x v="1"/>
    <x v="1"/>
    <n v="1002"/>
    <n v="154.69061876247505"/>
    <s v="Low"/>
  </r>
  <r>
    <s v="24639 LEXINGTON Avenue"/>
    <x v="63"/>
    <x v="1"/>
    <x v="944"/>
    <n v="3"/>
    <x v="2"/>
    <x v="3"/>
    <n v="948"/>
    <n v="164.0295358649789"/>
    <s v="Low"/>
  </r>
  <r>
    <s v="25030 FORD Street"/>
    <x v="63"/>
    <x v="1"/>
    <x v="97"/>
    <n v="10"/>
    <x v="2"/>
    <x v="1"/>
    <n v="1043"/>
    <n v="149.56855225311602"/>
    <s v="Low"/>
  </r>
  <r>
    <s v="25824 Koontz Street"/>
    <x v="60"/>
    <x v="1"/>
    <x v="97"/>
    <n v="16"/>
    <x v="2"/>
    <x v="1"/>
    <n v="999"/>
    <n v="156.15615615615616"/>
    <s v="Low"/>
  </r>
  <r>
    <s v="30709 NORMAL Street"/>
    <x v="60"/>
    <x v="1"/>
    <x v="97"/>
    <n v="22"/>
    <x v="2"/>
    <x v="1"/>
    <n v="960"/>
    <n v="162.5"/>
    <s v="Low"/>
  </r>
  <r>
    <s v="22432 LAMBRECHT Avenue"/>
    <x v="63"/>
    <x v="1"/>
    <x v="945"/>
    <n v="43"/>
    <x v="2"/>
    <x v="3"/>
    <n v="705"/>
    <n v="222.6950354609929"/>
    <s v="Medium"/>
  </r>
  <r>
    <s v="30932 Normal Street"/>
    <x v="60"/>
    <x v="1"/>
    <x v="945"/>
    <n v="12"/>
    <x v="2"/>
    <x v="1"/>
    <n v="960"/>
    <n v="163.54166666666666"/>
    <s v="Low"/>
  </r>
  <r>
    <s v="21268 SHARKEY Street"/>
    <x v="64"/>
    <x v="1"/>
    <x v="946"/>
    <n v="9"/>
    <x v="2"/>
    <x v="1"/>
    <n v="1032"/>
    <n v="152.22868217054264"/>
    <s v="Low"/>
  </r>
  <r>
    <s v="27863 Garfield"/>
    <x v="60"/>
    <x v="1"/>
    <x v="947"/>
    <n v="24"/>
    <x v="1"/>
    <x v="3"/>
    <n v="890"/>
    <n v="176.85393258426967"/>
    <s v="Low"/>
  </r>
  <r>
    <s v="20950 NUMMER Street"/>
    <x v="61"/>
    <x v="1"/>
    <x v="948"/>
    <n v="50"/>
    <x v="2"/>
    <x v="3"/>
    <n v="1000"/>
    <n v="157.9"/>
    <s v="Low"/>
  </r>
  <r>
    <s v="30806 RIDGEFIELD Avenue"/>
    <x v="61"/>
    <x v="1"/>
    <x v="949"/>
    <n v="8"/>
    <x v="2"/>
    <x v="3"/>
    <n v="1112"/>
    <n v="142.35611510791367"/>
    <s v="Low"/>
  </r>
  <r>
    <s v="17244 Ivanhoe"/>
    <x v="60"/>
    <x v="1"/>
    <x v="950"/>
    <n v="0"/>
    <x v="0"/>
    <x v="1"/>
    <n v="1104"/>
    <n v="143.84057971014494"/>
    <s v="Low"/>
  </r>
  <r>
    <s v="22344 FIRWOOD Avenue"/>
    <x v="63"/>
    <x v="1"/>
    <x v="951"/>
    <n v="133"/>
    <x v="2"/>
    <x v="1"/>
    <n v="917"/>
    <n v="173.39149400218102"/>
    <s v="Low"/>
  </r>
  <r>
    <s v="25620 TECLA Avenue"/>
    <x v="61"/>
    <x v="1"/>
    <x v="952"/>
    <n v="8"/>
    <x v="2"/>
    <x v="1"/>
    <n v="1000"/>
    <n v="159.9"/>
    <s v="Low"/>
  </r>
  <r>
    <s v="16003 Stephens Drive"/>
    <x v="63"/>
    <x v="1"/>
    <x v="101"/>
    <n v="4"/>
    <x v="2"/>
    <x v="3"/>
    <n v="1234"/>
    <n v="129.65964343598054"/>
    <s v="Low"/>
  </r>
  <r>
    <s v="22139 NORMANDY Avenue"/>
    <x v="63"/>
    <x v="1"/>
    <x v="101"/>
    <n v="3"/>
    <x v="2"/>
    <x v="2"/>
    <n v="1133"/>
    <n v="141.2180052956752"/>
    <s v="Low"/>
  </r>
  <r>
    <s v="25104 Wagner"/>
    <x v="61"/>
    <x v="1"/>
    <x v="101"/>
    <n v="9"/>
    <x v="2"/>
    <x v="1"/>
    <n v="906"/>
    <n v="176.60044150110375"/>
    <s v="Low"/>
  </r>
  <r>
    <s v="7432 Anna Avenue"/>
    <x v="61"/>
    <x v="1"/>
    <x v="101"/>
    <n v="55"/>
    <x v="2"/>
    <x v="1"/>
    <n v="888"/>
    <n v="180.18018018018017"/>
    <s v="Low"/>
  </r>
  <r>
    <s v="21848 CURIE Avenue"/>
    <x v="61"/>
    <x v="1"/>
    <x v="101"/>
    <n v="5"/>
    <x v="2"/>
    <x v="3"/>
    <n v="1214"/>
    <n v="131.79571663920922"/>
    <s v="Low"/>
  </r>
  <r>
    <s v="21848 Curie"/>
    <x v="61"/>
    <x v="1"/>
    <x v="101"/>
    <n v="6"/>
    <x v="2"/>
    <x v="3"/>
    <n v="1214"/>
    <n v="131.79571663920922"/>
    <s v="Low"/>
  </r>
  <r>
    <s v="18475 MARQUETTE Street"/>
    <x v="60"/>
    <x v="1"/>
    <x v="101"/>
    <n v="18"/>
    <x v="2"/>
    <x v="1"/>
    <n v="938"/>
    <n v="170.57569296375266"/>
    <s v="Low"/>
  </r>
  <r>
    <s v="24684 LAMBRECHT Avenue"/>
    <x v="63"/>
    <x v="1"/>
    <x v="101"/>
    <n v="64"/>
    <x v="2"/>
    <x v="1"/>
    <n v="1042"/>
    <n v="153.55086372360844"/>
    <s v="Low"/>
  </r>
  <r>
    <s v="29510 MICHIGAN Street"/>
    <x v="60"/>
    <x v="1"/>
    <x v="101"/>
    <n v="66"/>
    <x v="7"/>
    <x v="6"/>
    <n v="1100"/>
    <n v="145.45454545454547"/>
    <s v="Low"/>
  </r>
  <r>
    <s v="24724 SAXONY Avenue"/>
    <x v="63"/>
    <x v="1"/>
    <x v="101"/>
    <n v="59"/>
    <x v="2"/>
    <x v="2"/>
    <n v="949"/>
    <n v="168.59852476290831"/>
    <s v="Low"/>
  </r>
  <r>
    <s v="22828 Pleasant"/>
    <x v="63"/>
    <x v="1"/>
    <x v="101"/>
    <n v="13"/>
    <x v="2"/>
    <x v="3"/>
    <n v="1420"/>
    <n v="112.67605633802818"/>
    <s v="Low"/>
  </r>
  <r>
    <s v="14860 Frazho"/>
    <x v="61"/>
    <x v="1"/>
    <x v="101"/>
    <n v="5"/>
    <x v="2"/>
    <x v="1"/>
    <n v="912"/>
    <n v="175.43859649122808"/>
    <s v="Low"/>
  </r>
  <r>
    <s v="27370 30 Mile"/>
    <x v="65"/>
    <x v="1"/>
    <x v="101"/>
    <n v="9"/>
    <x v="2"/>
    <x v="1"/>
    <n v="1000"/>
    <n v="160"/>
    <s v="Low"/>
  </r>
  <r>
    <s v="16154 FOREST Avenue"/>
    <x v="63"/>
    <x v="1"/>
    <x v="101"/>
    <n v="64"/>
    <x v="2"/>
    <x v="3"/>
    <n v="1208"/>
    <n v="132.4503311258278"/>
    <s v="Low"/>
  </r>
  <r>
    <s v="22644 Logue Avenue"/>
    <x v="61"/>
    <x v="1"/>
    <x v="101"/>
    <n v="15"/>
    <x v="3"/>
    <x v="2"/>
    <n v="1701"/>
    <n v="94.062316284538511"/>
    <s v="Low"/>
  </r>
  <r>
    <s v="20505 SHADY LANE Avenue"/>
    <x v="67"/>
    <x v="1"/>
    <x v="101"/>
    <n v="36"/>
    <x v="0"/>
    <x v="2"/>
    <n v="1800"/>
    <n v="88.888888888888886"/>
    <s v="Low"/>
  </r>
  <r>
    <s v="80 Eastman"/>
    <x v="62"/>
    <x v="1"/>
    <x v="101"/>
    <n v="40"/>
    <x v="0"/>
    <x v="2"/>
    <n v="1498"/>
    <n v="106.8090787716956"/>
    <s v="Low"/>
  </r>
  <r>
    <s v="14815 ALVIN Avenue"/>
    <x v="61"/>
    <x v="1"/>
    <x v="101"/>
    <n v="0"/>
    <x v="2"/>
    <x v="1"/>
    <n v="988"/>
    <n v="161.94331983805668"/>
    <s v="Low"/>
  </r>
  <r>
    <s v="15593 EVERGREEN Avenue"/>
    <x v="63"/>
    <x v="1"/>
    <x v="101"/>
    <n v="158"/>
    <x v="3"/>
    <x v="3"/>
    <n v="2337"/>
    <n v="68.463842533162179"/>
    <s v="Low"/>
  </r>
  <r>
    <s v="29851 Ruthdale"/>
    <x v="60"/>
    <x v="1"/>
    <x v="953"/>
    <n v="7"/>
    <x v="2"/>
    <x v="1"/>
    <n v="1120"/>
    <n v="143.30357142857142"/>
    <s v="Low"/>
  </r>
  <r>
    <s v="35510 MIAMI Road"/>
    <x v="64"/>
    <x v="1"/>
    <x v="953"/>
    <n v="21"/>
    <x v="2"/>
    <x v="1"/>
    <n v="1205"/>
    <n v="133.19502074688796"/>
    <s v="Low"/>
  </r>
  <r>
    <s v="25502 BUICK Street"/>
    <x v="60"/>
    <x v="1"/>
    <x v="954"/>
    <n v="107"/>
    <x v="2"/>
    <x v="1"/>
    <n v="1248"/>
    <n v="128.90625"/>
    <s v="Low"/>
  </r>
  <r>
    <s v="25635 CARL Street"/>
    <x v="60"/>
    <x v="1"/>
    <x v="103"/>
    <n v="3"/>
    <x v="1"/>
    <x v="1"/>
    <n v="912"/>
    <n v="177.63157894736841"/>
    <s v="Low"/>
  </r>
  <r>
    <s v="24459 ANTOINETTE Avenue"/>
    <x v="61"/>
    <x v="1"/>
    <x v="103"/>
    <n v="32"/>
    <x v="2"/>
    <x v="1"/>
    <n v="960"/>
    <n v="168.75"/>
    <s v="Low"/>
  </r>
  <r>
    <s v="18042 CURTAIN Avenue"/>
    <x v="63"/>
    <x v="1"/>
    <x v="103"/>
    <n v="47"/>
    <x v="2"/>
    <x v="1"/>
    <n v="994"/>
    <n v="162.97786720321932"/>
    <s v="Low"/>
  </r>
  <r>
    <s v="30105 TENNESSEE Street"/>
    <x v="60"/>
    <x v="1"/>
    <x v="955"/>
    <n v="8"/>
    <x v="2"/>
    <x v="1"/>
    <n v="1128"/>
    <n v="144.06028368794327"/>
    <s v="Low"/>
  </r>
  <r>
    <s v="23161 MELROSE Avenue"/>
    <x v="63"/>
    <x v="1"/>
    <x v="104"/>
    <n v="6"/>
    <x v="0"/>
    <x v="3"/>
    <n v="1119"/>
    <n v="145.66577301161752"/>
    <s v="Low"/>
  </r>
  <r>
    <s v="7318 GRONOW"/>
    <x v="68"/>
    <x v="1"/>
    <x v="956"/>
    <n v="15"/>
    <x v="2"/>
    <x v="3"/>
    <n v="1078"/>
    <n v="152.13358070500928"/>
    <s v="Low"/>
  </r>
  <r>
    <s v="22134 HAYES Avenue"/>
    <x v="63"/>
    <x v="1"/>
    <x v="956"/>
    <n v="113"/>
    <x v="2"/>
    <x v="3"/>
    <n v="1238"/>
    <n v="132.47172859450728"/>
    <s v="Low"/>
  </r>
  <r>
    <s v="39200 Muffatt"/>
    <x v="75"/>
    <x v="1"/>
    <x v="957"/>
    <n v="101"/>
    <x v="2"/>
    <x v="1"/>
    <n v="1040"/>
    <n v="158.17307692307693"/>
    <s v="Low"/>
  </r>
  <r>
    <s v="28303 PINEHURST Street"/>
    <x v="60"/>
    <x v="1"/>
    <x v="107"/>
    <n v="14"/>
    <x v="2"/>
    <x v="1"/>
    <n v="1224"/>
    <n v="134.80392156862746"/>
    <s v="Low"/>
  </r>
  <r>
    <s v="21687 AUDREY Avenue"/>
    <x v="61"/>
    <x v="1"/>
    <x v="107"/>
    <n v="8"/>
    <x v="2"/>
    <x v="3"/>
    <n v="918"/>
    <n v="179.73856209150327"/>
    <s v="Low"/>
  </r>
  <r>
    <s v="25312 Winton"/>
    <x v="67"/>
    <x v="1"/>
    <x v="107"/>
    <n v="29"/>
    <x v="2"/>
    <x v="1"/>
    <n v="900"/>
    <n v="183.33333333333334"/>
    <s v="Low"/>
  </r>
  <r>
    <s v="28049 Jahns Drive"/>
    <x v="60"/>
    <x v="1"/>
    <x v="107"/>
    <n v="21"/>
    <x v="2"/>
    <x v="3"/>
    <n v="930"/>
    <n v="177.41935483870967"/>
    <s v="Low"/>
  </r>
  <r>
    <s v="37451 CARPATHIA Boulevard"/>
    <x v="66"/>
    <x v="1"/>
    <x v="107"/>
    <n v="21"/>
    <x v="0"/>
    <x v="2"/>
    <n v="1795"/>
    <n v="91.922005571030638"/>
    <s v="Low"/>
  </r>
  <r>
    <s v="30504 GREATER MACK Avenue"/>
    <x v="67"/>
    <x v="1"/>
    <x v="107"/>
    <n v="6"/>
    <x v="2"/>
    <x v="2"/>
    <n v="959"/>
    <n v="172.05422314911365"/>
    <s v="Low"/>
  </r>
  <r>
    <s v="29640 DEMBS Drive"/>
    <x v="60"/>
    <x v="1"/>
    <x v="107"/>
    <n v="5"/>
    <x v="2"/>
    <x v="3"/>
    <n v="1049"/>
    <n v="157.29265967588179"/>
    <s v="Low"/>
  </r>
  <r>
    <s v="8081 BERNICE"/>
    <x v="68"/>
    <x v="1"/>
    <x v="107"/>
    <n v="11"/>
    <x v="1"/>
    <x v="3"/>
    <n v="1184"/>
    <n v="139.3581081081081"/>
    <s v="Low"/>
  </r>
  <r>
    <s v="1851 CLARA Street"/>
    <x v="64"/>
    <x v="1"/>
    <x v="107"/>
    <n v="7"/>
    <x v="0"/>
    <x v="2"/>
    <n v="1714"/>
    <n v="96.266044340723454"/>
    <s v="Low"/>
  </r>
  <r>
    <s v="28750 Hollywood Street"/>
    <x v="60"/>
    <x v="1"/>
    <x v="107"/>
    <n v="12"/>
    <x v="2"/>
    <x v="2"/>
    <n v="945"/>
    <n v="174.60317460317461"/>
    <s v="Low"/>
  </r>
  <r>
    <s v="22500 RAVEN Avenue"/>
    <x v="63"/>
    <x v="1"/>
    <x v="107"/>
    <n v="7"/>
    <x v="1"/>
    <x v="1"/>
    <n v="1094"/>
    <n v="150.82266910420475"/>
    <s v="Low"/>
  </r>
  <r>
    <s v="13801 FRAZHO Road"/>
    <x v="61"/>
    <x v="1"/>
    <x v="107"/>
    <n v="33"/>
    <x v="2"/>
    <x v="1"/>
    <n v="1755"/>
    <n v="94.017094017094024"/>
    <s v="Low"/>
  </r>
  <r>
    <s v="20123 Lakeworth"/>
    <x v="60"/>
    <x v="1"/>
    <x v="107"/>
    <n v="103"/>
    <x v="2"/>
    <x v="1"/>
    <n v="920"/>
    <n v="179.34782608695653"/>
    <s v="Low"/>
  </r>
  <r>
    <s v="91 LINCOLN"/>
    <x v="62"/>
    <x v="1"/>
    <x v="107"/>
    <n v="96"/>
    <x v="2"/>
    <x v="2"/>
    <n v="1455"/>
    <n v="113.4020618556701"/>
    <s v="Low"/>
  </r>
  <r>
    <s v="15711 CURTIS Street"/>
    <x v="60"/>
    <x v="1"/>
    <x v="958"/>
    <n v="2"/>
    <x v="1"/>
    <x v="2"/>
    <n v="922"/>
    <n v="180.04338394793928"/>
    <s v="Low"/>
  </r>
  <r>
    <s v="24146 Blackmar Avenue"/>
    <x v="61"/>
    <x v="1"/>
    <x v="958"/>
    <n v="9"/>
    <x v="2"/>
    <x v="1"/>
    <n v="988"/>
    <n v="168.0161943319838"/>
    <s v="Low"/>
  </r>
  <r>
    <s v="25800 FORTUNA Street"/>
    <x v="60"/>
    <x v="1"/>
    <x v="958"/>
    <n v="19"/>
    <x v="2"/>
    <x v="3"/>
    <n v="1285"/>
    <n v="129.1828793774319"/>
    <s v="Low"/>
  </r>
  <r>
    <s v="16820 May"/>
    <x v="63"/>
    <x v="1"/>
    <x v="108"/>
    <n v="4"/>
    <x v="2"/>
    <x v="2"/>
    <n v="1007"/>
    <n v="165.83912611717975"/>
    <s v="Low"/>
  </r>
  <r>
    <s v="24592 TUSCANY Avenue"/>
    <x v="63"/>
    <x v="1"/>
    <x v="108"/>
    <n v="24"/>
    <x v="0"/>
    <x v="1"/>
    <n v="1176"/>
    <n v="142.00680272108843"/>
    <s v="Low"/>
  </r>
  <r>
    <s v="23029 ALMOND Avenue"/>
    <x v="63"/>
    <x v="1"/>
    <x v="109"/>
    <n v="28"/>
    <x v="2"/>
    <x v="1"/>
    <n v="962"/>
    <n v="174.11642411642413"/>
    <s v="Low"/>
  </r>
  <r>
    <s v="20481 Vermander"/>
    <x v="64"/>
    <x v="1"/>
    <x v="959"/>
    <n v="13"/>
    <x v="2"/>
    <x v="1"/>
    <n v="900"/>
    <n v="186.66666666666666"/>
    <s v="Low"/>
  </r>
  <r>
    <s v="26311 PATTOW Street"/>
    <x v="60"/>
    <x v="1"/>
    <x v="959"/>
    <n v="34"/>
    <x v="2"/>
    <x v="1"/>
    <n v="1092"/>
    <n v="153.84615384615384"/>
    <s v="Low"/>
  </r>
  <r>
    <s v="8435 FARNUM Avenue"/>
    <x v="61"/>
    <x v="1"/>
    <x v="959"/>
    <n v="28"/>
    <x v="2"/>
    <x v="3"/>
    <n v="900"/>
    <n v="186.66666666666666"/>
    <s v="Low"/>
  </r>
  <r>
    <s v="26340 Campau"/>
    <x v="75"/>
    <x v="1"/>
    <x v="959"/>
    <n v="42"/>
    <x v="2"/>
    <x v="1"/>
    <n v="1600"/>
    <n v="105"/>
    <s v="Low"/>
  </r>
  <r>
    <s v="22163 NEVADA Avenue"/>
    <x v="63"/>
    <x v="1"/>
    <x v="110"/>
    <n v="172"/>
    <x v="2"/>
    <x v="2"/>
    <n v="1190"/>
    <n v="142.01680672268907"/>
    <s v="Low"/>
  </r>
  <r>
    <s v="29930 Greater Mack"/>
    <x v="67"/>
    <x v="1"/>
    <x v="960"/>
    <n v="31"/>
    <x v="2"/>
    <x v="2"/>
    <n v="1080"/>
    <n v="157.17592592592592"/>
    <s v="Low"/>
  </r>
  <r>
    <s v="17950 Lincoln Drive"/>
    <x v="60"/>
    <x v="1"/>
    <x v="114"/>
    <n v="15"/>
    <x v="2"/>
    <x v="3"/>
    <n v="1094"/>
    <n v="155.39305301645339"/>
    <s v="Low"/>
  </r>
  <r>
    <s v="27105 Townsend"/>
    <x v="61"/>
    <x v="1"/>
    <x v="114"/>
    <n v="21"/>
    <x v="2"/>
    <x v="1"/>
    <n v="1338"/>
    <n v="127.05530642750374"/>
    <s v="Low"/>
  </r>
  <r>
    <s v="21613 Cedar Street"/>
    <x v="67"/>
    <x v="1"/>
    <x v="114"/>
    <n v="9"/>
    <x v="1"/>
    <x v="1"/>
    <n v="1000"/>
    <n v="170"/>
    <s v="Low"/>
  </r>
  <r>
    <s v="22522 THOMSON Street"/>
    <x v="64"/>
    <x v="1"/>
    <x v="114"/>
    <n v="10"/>
    <x v="0"/>
    <x v="3"/>
    <n v="1218"/>
    <n v="139.57307060755338"/>
    <s v="Low"/>
  </r>
  <r>
    <s v="28728 BOHN Street"/>
    <x v="60"/>
    <x v="1"/>
    <x v="114"/>
    <n v="18"/>
    <x v="2"/>
    <x v="3"/>
    <n v="945"/>
    <n v="179.8941798941799"/>
    <s v="Low"/>
  </r>
  <r>
    <s v="23300 ALLOR Street"/>
    <x v="67"/>
    <x v="1"/>
    <x v="114"/>
    <n v="5"/>
    <x v="2"/>
    <x v="2"/>
    <n v="1010"/>
    <n v="168.31683168316832"/>
    <s v="Low"/>
  </r>
  <r>
    <s v="28712 Hillview"/>
    <x v="60"/>
    <x v="1"/>
    <x v="114"/>
    <n v="4"/>
    <x v="2"/>
    <x v="1"/>
    <n v="1040"/>
    <n v="163.46153846153845"/>
    <s v="Low"/>
  </r>
  <r>
    <s v="22418 BRITTANY Avenue"/>
    <x v="63"/>
    <x v="1"/>
    <x v="114"/>
    <n v="41"/>
    <x v="2"/>
    <x v="5"/>
    <n v="1308"/>
    <n v="129.96941896024464"/>
    <s v="Low"/>
  </r>
  <r>
    <s v="26231 Marlene"/>
    <x v="60"/>
    <x v="1"/>
    <x v="114"/>
    <n v="26"/>
    <x v="2"/>
    <x v="1"/>
    <n v="1026"/>
    <n v="165.69200779727095"/>
    <s v="Low"/>
  </r>
  <r>
    <s v="19546 Georgia"/>
    <x v="60"/>
    <x v="1"/>
    <x v="114"/>
    <n v="26"/>
    <x v="0"/>
    <x v="2"/>
    <n v="1596"/>
    <n v="106.51629072681705"/>
    <s v="Low"/>
  </r>
  <r>
    <s v="31112 ANGELINE W"/>
    <x v="67"/>
    <x v="1"/>
    <x v="115"/>
    <n v="2"/>
    <x v="2"/>
    <x v="1"/>
    <n v="1074"/>
    <n v="159.21787709497207"/>
    <s v="Low"/>
  </r>
  <r>
    <s v="42153 Gainsley"/>
    <x v="66"/>
    <x v="1"/>
    <x v="116"/>
    <n v="6"/>
    <x v="2"/>
    <x v="1"/>
    <n v="912"/>
    <n v="188.0482456140351"/>
    <s v="Low"/>
  </r>
  <r>
    <s v="28489 Floral"/>
    <x v="60"/>
    <x v="1"/>
    <x v="117"/>
    <n v="9"/>
    <x v="2"/>
    <x v="1"/>
    <n v="945"/>
    <n v="182.010582010582"/>
    <s v="Low"/>
  </r>
  <r>
    <s v="8385 HARDING"/>
    <x v="68"/>
    <x v="1"/>
    <x v="117"/>
    <n v="6"/>
    <x v="2"/>
    <x v="1"/>
    <n v="1250"/>
    <n v="137.6"/>
    <s v="Low"/>
  </r>
  <r>
    <s v="14825 CHESTERFIELD Avenue"/>
    <x v="61"/>
    <x v="1"/>
    <x v="961"/>
    <n v="109"/>
    <x v="2"/>
    <x v="1"/>
    <n v="1359"/>
    <n v="127.29948491537895"/>
    <s v="Low"/>
  </r>
  <r>
    <s v="15293 COUZENS Avenue"/>
    <x v="63"/>
    <x v="1"/>
    <x v="961"/>
    <n v="19"/>
    <x v="2"/>
    <x v="3"/>
    <n v="1522"/>
    <n v="113.66622864651774"/>
    <s v="Low"/>
  </r>
  <r>
    <s v="22541 Gascony Avenue"/>
    <x v="63"/>
    <x v="1"/>
    <x v="119"/>
    <n v="16"/>
    <x v="3"/>
    <x v="2"/>
    <n v="1459"/>
    <n v="119.25976696367375"/>
    <s v="Low"/>
  </r>
  <r>
    <s v="15744 E CRESTMONT Street"/>
    <x v="60"/>
    <x v="1"/>
    <x v="121"/>
    <n v="3"/>
    <x v="2"/>
    <x v="3"/>
    <n v="1092"/>
    <n v="160.25641025641025"/>
    <s v="Low"/>
  </r>
  <r>
    <s v="17755 Summer Lane S"/>
    <x v="76"/>
    <x v="1"/>
    <x v="121"/>
    <n v="13"/>
    <x v="2"/>
    <x v="3"/>
    <n v="1116"/>
    <n v="156.8100358422939"/>
    <s v="Low"/>
  </r>
  <r>
    <s v="22873 BEECHWOOD Avenue"/>
    <x v="63"/>
    <x v="1"/>
    <x v="121"/>
    <n v="42"/>
    <x v="2"/>
    <x v="1"/>
    <n v="1263"/>
    <n v="138.55898653998418"/>
    <s v="Low"/>
  </r>
  <r>
    <s v="21405 Centennial Street"/>
    <x v="67"/>
    <x v="1"/>
    <x v="121"/>
    <n v="5"/>
    <x v="2"/>
    <x v="3"/>
    <n v="1068"/>
    <n v="163.85767790262173"/>
    <s v="Low"/>
  </r>
  <r>
    <s v="22800  LAMBRECHT Avenue"/>
    <x v="63"/>
    <x v="1"/>
    <x v="121"/>
    <n v="15"/>
    <x v="2"/>
    <x v="1"/>
    <n v="939"/>
    <n v="186.36847710330139"/>
    <s v="Low"/>
  </r>
  <r>
    <s v="8344 CLINTON RIVER Road"/>
    <x v="66"/>
    <x v="1"/>
    <x v="121"/>
    <n v="46"/>
    <x v="2"/>
    <x v="1"/>
    <n v="1130"/>
    <n v="154.86725663716814"/>
    <s v="Low"/>
  </r>
  <r>
    <s v="49744 Valley"/>
    <x v="72"/>
    <x v="1"/>
    <x v="121"/>
    <n v="6"/>
    <x v="2"/>
    <x v="3"/>
    <n v="1400"/>
    <n v="125"/>
    <s v="Low"/>
  </r>
  <r>
    <s v="16415 JULIANA Avenue"/>
    <x v="63"/>
    <x v="1"/>
    <x v="121"/>
    <n v="53"/>
    <x v="1"/>
    <x v="2"/>
    <n v="1200"/>
    <n v="145.83333333333334"/>
    <s v="Low"/>
  </r>
  <r>
    <s v="18259 Glendale"/>
    <x v="60"/>
    <x v="1"/>
    <x v="121"/>
    <n v="12"/>
    <x v="2"/>
    <x v="3"/>
    <n v="1047"/>
    <n v="167.14422158548234"/>
    <s v="Low"/>
  </r>
  <r>
    <s v="19780 WILLIAMSON Street"/>
    <x v="64"/>
    <x v="1"/>
    <x v="121"/>
    <n v="59"/>
    <x v="0"/>
    <x v="3"/>
    <n v="1225"/>
    <n v="142.85714285714286"/>
    <s v="Low"/>
  </r>
  <r>
    <s v="15708 VERONICA Avenue"/>
    <x v="63"/>
    <x v="1"/>
    <x v="962"/>
    <n v="100"/>
    <x v="2"/>
    <x v="3"/>
    <n v="1317"/>
    <n v="132.91571753986332"/>
    <s v="Low"/>
  </r>
  <r>
    <s v="5708 ELMGROVE Avenue"/>
    <x v="61"/>
    <x v="1"/>
    <x v="963"/>
    <n v="34"/>
    <x v="1"/>
    <x v="1"/>
    <n v="916"/>
    <n v="191.5938864628821"/>
    <s v="Low"/>
  </r>
  <r>
    <s v="17060 Martin"/>
    <x v="60"/>
    <x v="1"/>
    <x v="122"/>
    <n v="5"/>
    <x v="2"/>
    <x v="2"/>
    <n v="1000"/>
    <n v="176"/>
    <s v="Low"/>
  </r>
  <r>
    <s v="36036 Harper"/>
    <x v="64"/>
    <x v="1"/>
    <x v="122"/>
    <n v="6"/>
    <x v="0"/>
    <x v="2"/>
    <n v="2036"/>
    <n v="86.444007858546172"/>
    <s v="Low"/>
  </r>
  <r>
    <s v="25739 WAGNER Avenue"/>
    <x v="61"/>
    <x v="1"/>
    <x v="122"/>
    <n v="79"/>
    <x v="2"/>
    <x v="1"/>
    <n v="906"/>
    <n v="194.26048565121414"/>
    <s v="Low"/>
  </r>
  <r>
    <s v="30327 Blossom St"/>
    <x v="60"/>
    <x v="1"/>
    <x v="123"/>
    <n v="93"/>
    <x v="2"/>
    <x v="2"/>
    <n v="1050"/>
    <n v="168.57142857142858"/>
    <s v="Low"/>
  </r>
  <r>
    <s v="24 Miller"/>
    <x v="62"/>
    <x v="1"/>
    <x v="123"/>
    <n v="4"/>
    <x v="2"/>
    <x v="1"/>
    <n v="1000"/>
    <n v="177"/>
    <s v="Low"/>
  </r>
  <r>
    <s v="20854 Lange"/>
    <x v="67"/>
    <x v="1"/>
    <x v="123"/>
    <n v="21"/>
    <x v="2"/>
    <x v="1"/>
    <n v="1496"/>
    <n v="118.31550802139037"/>
    <s v="Low"/>
  </r>
  <r>
    <s v="21224 Masonic"/>
    <x v="67"/>
    <x v="1"/>
    <x v="124"/>
    <n v="12"/>
    <x v="2"/>
    <x v="3"/>
    <n v="1013"/>
    <n v="175.22211253701875"/>
    <s v="Low"/>
  </r>
  <r>
    <s v="7867 Ruby"/>
    <x v="77"/>
    <x v="1"/>
    <x v="124"/>
    <n v="5"/>
    <x v="1"/>
    <x v="1"/>
    <n v="840"/>
    <n v="211.3095238095238"/>
    <s v="Medium"/>
  </r>
  <r>
    <s v="11650 HAROLD Street"/>
    <x v="61"/>
    <x v="1"/>
    <x v="125"/>
    <n v="0"/>
    <x v="2"/>
    <x v="1"/>
    <n v="1117"/>
    <n v="159.35541629364369"/>
    <s v="Low"/>
  </r>
  <r>
    <s v="18471 MASONIC"/>
    <x v="76"/>
    <x v="1"/>
    <x v="125"/>
    <n v="10"/>
    <x v="2"/>
    <x v="1"/>
    <n v="1080"/>
    <n v="164.81481481481481"/>
    <s v="Low"/>
  </r>
  <r>
    <s v="16133 Yew"/>
    <x v="60"/>
    <x v="1"/>
    <x v="125"/>
    <n v="5"/>
    <x v="2"/>
    <x v="1"/>
    <n v="1000"/>
    <n v="178"/>
    <s v="Low"/>
  </r>
  <r>
    <s v="1976 GARRICK Avenue"/>
    <x v="61"/>
    <x v="1"/>
    <x v="125"/>
    <n v="48"/>
    <x v="2"/>
    <x v="2"/>
    <n v="1201"/>
    <n v="148.2098251457119"/>
    <s v="Low"/>
  </r>
  <r>
    <s v="21431 CRUSADE Avenue"/>
    <x v="63"/>
    <x v="1"/>
    <x v="125"/>
    <n v="15"/>
    <x v="0"/>
    <x v="2"/>
    <n v="2847"/>
    <n v="62.521952932911837"/>
    <s v="Low"/>
  </r>
  <r>
    <s v="17319 STRICKER Avenue"/>
    <x v="63"/>
    <x v="1"/>
    <x v="125"/>
    <n v="50"/>
    <x v="2"/>
    <x v="1"/>
    <n v="1162"/>
    <n v="153.184165232358"/>
    <s v="Low"/>
  </r>
  <r>
    <s v="14891 CHESTERFIELD Avenue"/>
    <x v="61"/>
    <x v="1"/>
    <x v="125"/>
    <n v="8"/>
    <x v="2"/>
    <x v="1"/>
    <n v="1150"/>
    <n v="154.78260869565219"/>
    <s v="Low"/>
  </r>
  <r>
    <s v="26200 Campau"/>
    <x v="75"/>
    <x v="1"/>
    <x v="125"/>
    <n v="73"/>
    <x v="1"/>
    <x v="1"/>
    <n v="1000"/>
    <n v="178"/>
    <s v="Low"/>
  </r>
  <r>
    <s v="28321 Ursuline"/>
    <x v="67"/>
    <x v="1"/>
    <x v="126"/>
    <n v="4"/>
    <x v="1"/>
    <x v="1"/>
    <n v="912"/>
    <n v="196.2719298245614"/>
    <s v="Low"/>
  </r>
  <r>
    <s v="13670 Hovey"/>
    <x v="61"/>
    <x v="1"/>
    <x v="964"/>
    <n v="17"/>
    <x v="2"/>
    <x v="1"/>
    <n v="1000"/>
    <n v="179.899"/>
    <s v="Low"/>
  </r>
  <r>
    <s v="30115 CALAHAN"/>
    <x v="60"/>
    <x v="1"/>
    <x v="127"/>
    <n v="11"/>
    <x v="1"/>
    <x v="1"/>
    <n v="915"/>
    <n v="196.61202185792351"/>
    <s v="Low"/>
  </r>
  <r>
    <s v="26543 Arlington"/>
    <x v="60"/>
    <x v="1"/>
    <x v="127"/>
    <n v="5"/>
    <x v="2"/>
    <x v="1"/>
    <n v="960"/>
    <n v="187.39583333333334"/>
    <s v="Low"/>
  </r>
  <r>
    <s v="22600 Socia"/>
    <x v="67"/>
    <x v="1"/>
    <x v="127"/>
    <n v="86"/>
    <x v="2"/>
    <x v="1"/>
    <n v="908"/>
    <n v="198.12775330396477"/>
    <s v="Low"/>
  </r>
  <r>
    <s v="11275 Essex Avenue"/>
    <x v="61"/>
    <x v="1"/>
    <x v="128"/>
    <n v="3"/>
    <x v="0"/>
    <x v="10"/>
    <n v="1260"/>
    <n v="142.85714285714286"/>
    <s v="Low"/>
  </r>
  <r>
    <s v="13245 Champaign"/>
    <x v="61"/>
    <x v="1"/>
    <x v="128"/>
    <n v="4"/>
    <x v="2"/>
    <x v="3"/>
    <n v="1068"/>
    <n v="168.53932584269663"/>
    <s v="Low"/>
  </r>
  <r>
    <s v="23145 Shiell"/>
    <x v="64"/>
    <x v="1"/>
    <x v="128"/>
    <n v="32"/>
    <x v="2"/>
    <x v="1"/>
    <n v="1379"/>
    <n v="130.52936910804931"/>
    <s v="Low"/>
  </r>
  <r>
    <s v="13137 Champaign"/>
    <x v="61"/>
    <x v="1"/>
    <x v="128"/>
    <n v="5"/>
    <x v="2"/>
    <x v="3"/>
    <n v="1108"/>
    <n v="162.45487364620939"/>
    <s v="Low"/>
  </r>
  <r>
    <s v="15615 VERONICA Avenue"/>
    <x v="63"/>
    <x v="1"/>
    <x v="128"/>
    <n v="8"/>
    <x v="2"/>
    <x v="1"/>
    <n v="1282"/>
    <n v="140.40561622464898"/>
    <s v="Low"/>
  </r>
  <r>
    <s v="11401 E 11 Mile"/>
    <x v="61"/>
    <x v="1"/>
    <x v="128"/>
    <n v="33"/>
    <x v="2"/>
    <x v="1"/>
    <n v="1219"/>
    <n v="147.66201804757998"/>
    <s v="Low"/>
  </r>
  <r>
    <s v="6840 West"/>
    <x v="78"/>
    <x v="1"/>
    <x v="128"/>
    <n v="44"/>
    <x v="2"/>
    <x v="2"/>
    <n v="2008"/>
    <n v="89.641434262948209"/>
    <s v="Low"/>
  </r>
  <r>
    <s v="32457 SAINT VINCENT Avenue"/>
    <x v="61"/>
    <x v="1"/>
    <x v="128"/>
    <n v="57"/>
    <x v="2"/>
    <x v="1"/>
    <n v="1354"/>
    <n v="132.93943870014772"/>
    <s v="Low"/>
  </r>
  <r>
    <s v="27188 SEYBURN Avenue"/>
    <x v="61"/>
    <x v="1"/>
    <x v="128"/>
    <n v="60"/>
    <x v="2"/>
    <x v="3"/>
    <n v="865"/>
    <n v="208.09248554913296"/>
    <s v="Medium"/>
  </r>
  <r>
    <s v="13656 JOYCE Drive"/>
    <x v="61"/>
    <x v="1"/>
    <x v="128"/>
    <n v="9"/>
    <x v="2"/>
    <x v="3"/>
    <n v="1456"/>
    <n v="123.62637362637362"/>
    <s v="Low"/>
  </r>
  <r>
    <s v="28316 Shock Street"/>
    <x v="67"/>
    <x v="1"/>
    <x v="965"/>
    <n v="4"/>
    <x v="2"/>
    <x v="1"/>
    <n v="1133"/>
    <n v="160.63548102383055"/>
    <s v="Low"/>
  </r>
  <r>
    <s v="24660 SAXONY Avenue"/>
    <x v="63"/>
    <x v="1"/>
    <x v="966"/>
    <n v="20"/>
    <x v="2"/>
    <x v="1"/>
    <n v="967"/>
    <n v="189.14167528438469"/>
    <s v="Low"/>
  </r>
  <r>
    <s v="29146 Dembs"/>
    <x v="60"/>
    <x v="1"/>
    <x v="130"/>
    <n v="19"/>
    <x v="2"/>
    <x v="3"/>
    <n v="1049"/>
    <n v="174.4518589132507"/>
    <s v="Low"/>
  </r>
  <r>
    <s v="20134 WILLIAMSON Street"/>
    <x v="64"/>
    <x v="1"/>
    <x v="130"/>
    <n v="155"/>
    <x v="2"/>
    <x v="2"/>
    <n v="1275"/>
    <n v="143.52941176470588"/>
    <s v="Low"/>
  </r>
  <r>
    <s v="5612 STREEFKERK Drive"/>
    <x v="61"/>
    <x v="1"/>
    <x v="967"/>
    <n v="25"/>
    <x v="2"/>
    <x v="1"/>
    <n v="1032"/>
    <n v="178.29457364341084"/>
    <s v="Low"/>
  </r>
  <r>
    <s v="28300 BLUM Street"/>
    <x v="60"/>
    <x v="1"/>
    <x v="967"/>
    <n v="53"/>
    <x v="2"/>
    <x v="3"/>
    <n v="1264"/>
    <n v="145.56962025316454"/>
    <s v="Low"/>
  </r>
  <r>
    <s v="20535  Colman  Street"/>
    <x v="64"/>
    <x v="1"/>
    <x v="967"/>
    <n v="56"/>
    <x v="2"/>
    <x v="2"/>
    <n v="1189"/>
    <n v="154.75189234650966"/>
    <s v="Low"/>
  </r>
  <r>
    <s v="15838 Flanagan"/>
    <x v="60"/>
    <x v="1"/>
    <x v="968"/>
    <n v="23"/>
    <x v="2"/>
    <x v="3"/>
    <n v="1344"/>
    <n v="137.27678571428572"/>
    <s v="Low"/>
  </r>
  <r>
    <s v="24215 Prairie"/>
    <x v="61"/>
    <x v="1"/>
    <x v="132"/>
    <n v="21"/>
    <x v="2"/>
    <x v="1"/>
    <n v="964"/>
    <n v="191.90871369294607"/>
    <s v="Low"/>
  </r>
  <r>
    <s v="16081 Beverly Circle"/>
    <x v="60"/>
    <x v="1"/>
    <x v="132"/>
    <n v="40"/>
    <x v="2"/>
    <x v="3"/>
    <n v="1000"/>
    <n v="185"/>
    <s v="Low"/>
  </r>
  <r>
    <s v="23055 26 Mile"/>
    <x v="79"/>
    <x v="1"/>
    <x v="132"/>
    <n v="4"/>
    <x v="2"/>
    <x v="1"/>
    <n v="1411"/>
    <n v="131.11268603827074"/>
    <s v="Low"/>
  </r>
  <r>
    <s v="27650 WISTERIA Street"/>
    <x v="75"/>
    <x v="1"/>
    <x v="132"/>
    <n v="41"/>
    <x v="2"/>
    <x v="1"/>
    <n v="946"/>
    <n v="195.56025369978857"/>
    <s v="Low"/>
  </r>
  <r>
    <s v="24049 ALPINE Street"/>
    <x v="64"/>
    <x v="1"/>
    <x v="132"/>
    <n v="58"/>
    <x v="2"/>
    <x v="2"/>
    <n v="1542"/>
    <n v="119.97405966277562"/>
    <s v="Low"/>
  </r>
  <r>
    <s v="19600 AVALON Street"/>
    <x v="67"/>
    <x v="1"/>
    <x v="132"/>
    <n v="37"/>
    <x v="0"/>
    <x v="9"/>
    <n v="1071"/>
    <n v="172.7357609710551"/>
    <s v="Low"/>
  </r>
  <r>
    <s v="24613 Rosalind"/>
    <x v="63"/>
    <x v="1"/>
    <x v="132"/>
    <n v="52"/>
    <x v="2"/>
    <x v="1"/>
    <n v="1064"/>
    <n v="173.87218045112783"/>
    <s v="Low"/>
  </r>
  <r>
    <s v="8673 Superior"/>
    <x v="68"/>
    <x v="1"/>
    <x v="132"/>
    <n v="52"/>
    <x v="2"/>
    <x v="2"/>
    <n v="1000"/>
    <n v="185"/>
    <s v="Low"/>
  </r>
  <r>
    <s v="24821 Cottage"/>
    <x v="61"/>
    <x v="1"/>
    <x v="132"/>
    <n v="21"/>
    <x v="2"/>
    <x v="1"/>
    <n v="1133"/>
    <n v="163.28331862312444"/>
    <s v="Low"/>
  </r>
  <r>
    <s v="18265 Marquette"/>
    <x v="60"/>
    <x v="1"/>
    <x v="132"/>
    <n v="138"/>
    <x v="2"/>
    <x v="2"/>
    <n v="1026"/>
    <n v="180.31189083820664"/>
    <s v="Low"/>
  </r>
  <r>
    <s v="24924 Rosalind Avenue"/>
    <x v="63"/>
    <x v="1"/>
    <x v="135"/>
    <n v="7"/>
    <x v="2"/>
    <x v="3"/>
    <n v="1013"/>
    <n v="184.60019743336625"/>
    <s v="Low"/>
  </r>
  <r>
    <s v="58921 Rosell"/>
    <x v="65"/>
    <x v="1"/>
    <x v="135"/>
    <n v="14"/>
    <x v="2"/>
    <x v="3"/>
    <n v="1466"/>
    <n v="127.55798090040928"/>
    <s v="Low"/>
  </r>
  <r>
    <s v="26704 Blackmar Avenue"/>
    <x v="61"/>
    <x v="1"/>
    <x v="135"/>
    <n v="31"/>
    <x v="2"/>
    <x v="10"/>
    <n v="1404"/>
    <n v="133.1908831908832"/>
    <s v="Low"/>
  </r>
  <r>
    <s v="25897 FERN Street"/>
    <x v="60"/>
    <x v="1"/>
    <x v="969"/>
    <n v="21"/>
    <x v="2"/>
    <x v="2"/>
    <n v="1200"/>
    <n v="156.66666666666666"/>
    <s v="Low"/>
  </r>
  <r>
    <s v="31721 Brookwood"/>
    <x v="67"/>
    <x v="1"/>
    <x v="969"/>
    <n v="44"/>
    <x v="2"/>
    <x v="2"/>
    <n v="1007"/>
    <n v="186.69314796425024"/>
    <s v="Low"/>
  </r>
  <r>
    <s v="23012 Maxine"/>
    <x v="67"/>
    <x v="1"/>
    <x v="970"/>
    <n v="5"/>
    <x v="2"/>
    <x v="1"/>
    <n v="914"/>
    <n v="207.76805251641139"/>
    <s v="Medium"/>
  </r>
  <r>
    <s v="28703 GROVELAND"/>
    <x v="60"/>
    <x v="1"/>
    <x v="970"/>
    <n v="8"/>
    <x v="2"/>
    <x v="2"/>
    <n v="1350"/>
    <n v="140.66666666666666"/>
    <s v="Low"/>
  </r>
  <r>
    <s v="2923 ARDEN Drive"/>
    <x v="61"/>
    <x v="1"/>
    <x v="140"/>
    <n v="19"/>
    <x v="2"/>
    <x v="2"/>
    <n v="1000"/>
    <n v="190"/>
    <s v="Low"/>
  </r>
  <r>
    <s v="20805 Valera"/>
    <x v="67"/>
    <x v="1"/>
    <x v="140"/>
    <n v="2"/>
    <x v="2"/>
    <x v="3"/>
    <n v="1089"/>
    <n v="174.47199265381084"/>
    <s v="Low"/>
  </r>
  <r>
    <s v="146 Benjamin"/>
    <x v="80"/>
    <x v="1"/>
    <x v="140"/>
    <n v="54"/>
    <x v="2"/>
    <x v="1"/>
    <n v="1480"/>
    <n v="128.37837837837839"/>
    <s v="Low"/>
  </r>
  <r>
    <s v="22710 Colony"/>
    <x v="67"/>
    <x v="1"/>
    <x v="140"/>
    <n v="48"/>
    <x v="2"/>
    <x v="1"/>
    <n v="1140"/>
    <n v="166.66666666666666"/>
    <s v="Low"/>
  </r>
  <r>
    <s v="25617 Wagner"/>
    <x v="61"/>
    <x v="1"/>
    <x v="140"/>
    <n v="47"/>
    <x v="2"/>
    <x v="2"/>
    <n v="930"/>
    <n v="204.30107526881721"/>
    <s v="Medium"/>
  </r>
  <r>
    <s v="23101 Petersburg"/>
    <x v="63"/>
    <x v="1"/>
    <x v="144"/>
    <n v="10"/>
    <x v="2"/>
    <x v="2"/>
    <n v="1782"/>
    <n v="107.74410774410775"/>
    <s v="Low"/>
  </r>
  <r>
    <s v="29064 Commonwealth"/>
    <x v="60"/>
    <x v="1"/>
    <x v="146"/>
    <n v="4"/>
    <x v="2"/>
    <x v="3"/>
    <n v="1050"/>
    <n v="183.8095238095238"/>
    <s v="Low"/>
  </r>
  <r>
    <s v="15337 CHARLES R Avenue"/>
    <x v="63"/>
    <x v="1"/>
    <x v="146"/>
    <n v="12"/>
    <x v="0"/>
    <x v="3"/>
    <n v="1495"/>
    <n v="129.09698996655518"/>
    <s v="Low"/>
  </r>
  <r>
    <s v="25158 PATTOW Street"/>
    <x v="60"/>
    <x v="1"/>
    <x v="146"/>
    <n v="3"/>
    <x v="2"/>
    <x v="2"/>
    <n v="1000"/>
    <n v="193"/>
    <s v="Low"/>
  </r>
  <r>
    <s v="28050 Hillview"/>
    <x v="60"/>
    <x v="1"/>
    <x v="147"/>
    <n v="0"/>
    <x v="2"/>
    <x v="2"/>
    <n v="910"/>
    <n v="213.1868131868132"/>
    <s v="Medium"/>
  </r>
  <r>
    <s v="24031 VIRGINIA Drive"/>
    <x v="61"/>
    <x v="1"/>
    <x v="971"/>
    <n v="46"/>
    <x v="2"/>
    <x v="2"/>
    <n v="1048"/>
    <n v="185.59160305343511"/>
    <s v="Low"/>
  </r>
  <r>
    <s v="25567 FERN Street"/>
    <x v="60"/>
    <x v="1"/>
    <x v="148"/>
    <n v="7"/>
    <x v="2"/>
    <x v="3"/>
    <n v="1000"/>
    <n v="195"/>
    <s v="Low"/>
  </r>
  <r>
    <s v="34340 Viceroy Drive"/>
    <x v="66"/>
    <x v="1"/>
    <x v="148"/>
    <n v="4"/>
    <x v="0"/>
    <x v="3"/>
    <n v="960"/>
    <n v="203.125"/>
    <s v="Medium"/>
  </r>
  <r>
    <s v="39201 Muffatt"/>
    <x v="75"/>
    <x v="1"/>
    <x v="148"/>
    <n v="2"/>
    <x v="2"/>
    <x v="1"/>
    <n v="960"/>
    <n v="203.125"/>
    <s v="Medium"/>
  </r>
  <r>
    <s v="22209 Frazho"/>
    <x v="67"/>
    <x v="1"/>
    <x v="148"/>
    <n v="33"/>
    <x v="1"/>
    <x v="3"/>
    <n v="1107"/>
    <n v="176.15176151761517"/>
    <s v="Low"/>
  </r>
  <r>
    <s v="45764 Fairchild"/>
    <x v="59"/>
    <x v="1"/>
    <x v="148"/>
    <n v="44"/>
    <x v="2"/>
    <x v="1"/>
    <n v="1548"/>
    <n v="125.96899224806202"/>
    <s v="Low"/>
  </r>
  <r>
    <s v="21804 Colony"/>
    <x v="67"/>
    <x v="1"/>
    <x v="148"/>
    <n v="33"/>
    <x v="2"/>
    <x v="1"/>
    <n v="1100"/>
    <n v="177.27272727272728"/>
    <s v="Low"/>
  </r>
  <r>
    <s v="7374 WEST Road"/>
    <x v="78"/>
    <x v="1"/>
    <x v="148"/>
    <n v="23"/>
    <x v="2"/>
    <x v="2"/>
    <n v="1549"/>
    <n v="125.88766946417043"/>
    <s v="Low"/>
  </r>
  <r>
    <s v="21082 Melborn st"/>
    <x v="64"/>
    <x v="1"/>
    <x v="150"/>
    <n v="47"/>
    <x v="2"/>
    <x v="13"/>
    <n v="1000"/>
    <n v="196"/>
    <s v="Low"/>
  </r>
  <r>
    <s v="15571 CRESCENTWOOD Avenue"/>
    <x v="63"/>
    <x v="1"/>
    <x v="150"/>
    <n v="85"/>
    <x v="2"/>
    <x v="3"/>
    <n v="1505"/>
    <n v="130.23255813953489"/>
    <s v="Low"/>
  </r>
  <r>
    <s v="20790 SHOREVIEW Street"/>
    <x v="64"/>
    <x v="1"/>
    <x v="150"/>
    <n v="169"/>
    <x v="2"/>
    <x v="2"/>
    <n v="925"/>
    <n v="211.8918918918919"/>
    <s v="Medium"/>
  </r>
  <r>
    <s v="7269 ANNA Avenue"/>
    <x v="61"/>
    <x v="1"/>
    <x v="151"/>
    <n v="5"/>
    <x v="2"/>
    <x v="2"/>
    <n v="953"/>
    <n v="206.71563483735571"/>
    <s v="Medium"/>
  </r>
  <r>
    <s v="27821 Joan Street"/>
    <x v="67"/>
    <x v="1"/>
    <x v="152"/>
    <n v="15"/>
    <x v="2"/>
    <x v="1"/>
    <n v="1021"/>
    <n v="193.43780607247797"/>
    <s v="Low"/>
  </r>
  <r>
    <s v="3 SMITH Street"/>
    <x v="62"/>
    <x v="1"/>
    <x v="152"/>
    <n v="77"/>
    <x v="1"/>
    <x v="2"/>
    <n v="1050"/>
    <n v="188.0952380952381"/>
    <s v="Low"/>
  </r>
  <r>
    <s v="26302 Newport"/>
    <x v="61"/>
    <x v="1"/>
    <x v="153"/>
    <n v="5"/>
    <x v="2"/>
    <x v="5"/>
    <n v="1171"/>
    <n v="169.08625106746371"/>
    <s v="Low"/>
  </r>
  <r>
    <s v="21769 Wilmot"/>
    <x v="63"/>
    <x v="1"/>
    <x v="153"/>
    <n v="38"/>
    <x v="2"/>
    <x v="2"/>
    <n v="1129"/>
    <n v="175.3764393268379"/>
    <s v="Low"/>
  </r>
  <r>
    <s v="67567 Gleason"/>
    <x v="74"/>
    <x v="1"/>
    <x v="972"/>
    <n v="49"/>
    <x v="2"/>
    <x v="1"/>
    <n v="1050"/>
    <n v="188.76190476190476"/>
    <s v="Low"/>
  </r>
  <r>
    <s v="8471 HARDING"/>
    <x v="68"/>
    <x v="1"/>
    <x v="155"/>
    <n v="161"/>
    <x v="2"/>
    <x v="3"/>
    <n v="1344"/>
    <n v="148.0654761904762"/>
    <s v="Low"/>
  </r>
  <r>
    <s v="17924 Masonic"/>
    <x v="76"/>
    <x v="1"/>
    <x v="155"/>
    <n v="58"/>
    <x v="2"/>
    <x v="3"/>
    <n v="1000"/>
    <n v="199"/>
    <s v="Low"/>
  </r>
  <r>
    <s v="25501 COLE Street"/>
    <x v="60"/>
    <x v="1"/>
    <x v="158"/>
    <n v="30"/>
    <x v="0"/>
    <x v="1"/>
    <n v="1248"/>
    <n v="160.17628205128204"/>
    <s v="Low"/>
  </r>
  <r>
    <s v="28449 Maple Street"/>
    <x v="60"/>
    <x v="1"/>
    <x v="158"/>
    <n v="15"/>
    <x v="2"/>
    <x v="3"/>
    <n v="1175"/>
    <n v="170.12765957446808"/>
    <s v="Low"/>
  </r>
  <r>
    <s v="28005 Greater Mack"/>
    <x v="67"/>
    <x v="1"/>
    <x v="973"/>
    <n v="8"/>
    <x v="0"/>
    <x v="2"/>
    <n v="925"/>
    <n v="216.21513513513514"/>
    <s v="Medium"/>
  </r>
  <r>
    <s v="24665 Ridgecroft"/>
    <x v="63"/>
    <x v="1"/>
    <x v="159"/>
    <n v="11"/>
    <x v="2"/>
    <x v="2"/>
    <n v="1045"/>
    <n v="191.38755980861245"/>
    <s v="Low"/>
  </r>
  <r>
    <s v="64400 TIPPERARY Drive"/>
    <x v="78"/>
    <x v="1"/>
    <x v="159"/>
    <n v="0"/>
    <x v="2"/>
    <x v="3"/>
    <n v="1804"/>
    <n v="110.86474501108647"/>
    <s v="Low"/>
  </r>
  <r>
    <s v="21149 Sunnydale"/>
    <x v="67"/>
    <x v="1"/>
    <x v="159"/>
    <n v="21"/>
    <x v="2"/>
    <x v="3"/>
    <n v="1076"/>
    <n v="185.87360594795538"/>
    <s v="Low"/>
  </r>
  <r>
    <s v="24820 ROXANA Avenue"/>
    <x v="63"/>
    <x v="1"/>
    <x v="159"/>
    <n v="20"/>
    <x v="2"/>
    <x v="3"/>
    <n v="1355"/>
    <n v="147.60147601476015"/>
    <s v="Low"/>
  </r>
  <r>
    <s v="28601 JOAN Street"/>
    <x v="67"/>
    <x v="1"/>
    <x v="159"/>
    <n v="5"/>
    <x v="2"/>
    <x v="3"/>
    <n v="1045"/>
    <n v="191.38755980861245"/>
    <s v="Low"/>
  </r>
  <r>
    <s v="26530 BARNES Street"/>
    <x v="60"/>
    <x v="1"/>
    <x v="159"/>
    <n v="16"/>
    <x v="2"/>
    <x v="2"/>
    <n v="1602"/>
    <n v="124.84394506866417"/>
    <s v="Low"/>
  </r>
  <r>
    <s v="26914 BONNIE Avenue"/>
    <x v="61"/>
    <x v="1"/>
    <x v="159"/>
    <n v="4"/>
    <x v="2"/>
    <x v="3"/>
    <n v="963"/>
    <n v="207.68431983385256"/>
    <s v="Medium"/>
  </r>
  <r>
    <s v="27527 Dover"/>
    <x v="61"/>
    <x v="1"/>
    <x v="159"/>
    <n v="4"/>
    <x v="2"/>
    <x v="3"/>
    <n v="1014"/>
    <n v="197.23865877712032"/>
    <s v="Low"/>
  </r>
  <r>
    <s v="24794 GREENBRIER Avenue"/>
    <x v="63"/>
    <x v="1"/>
    <x v="159"/>
    <n v="7"/>
    <x v="2"/>
    <x v="2"/>
    <n v="1052"/>
    <n v="190.11406844106463"/>
    <s v="Low"/>
  </r>
  <r>
    <s v="23078 Courtland"/>
    <x v="63"/>
    <x v="1"/>
    <x v="159"/>
    <n v="37"/>
    <x v="2"/>
    <x v="1"/>
    <n v="1072"/>
    <n v="186.56716417910448"/>
    <s v="Low"/>
  </r>
  <r>
    <s v="33731 NEWPORT Drive"/>
    <x v="66"/>
    <x v="1"/>
    <x v="159"/>
    <n v="4"/>
    <x v="2"/>
    <x v="1"/>
    <n v="912"/>
    <n v="219.2982456140351"/>
    <s v="Medium"/>
  </r>
  <r>
    <s v="27268 Bunert Road"/>
    <x v="61"/>
    <x v="1"/>
    <x v="159"/>
    <n v="7"/>
    <x v="2"/>
    <x v="1"/>
    <n v="980"/>
    <n v="204.08163265306123"/>
    <s v="Medium"/>
  </r>
  <r>
    <s v="27550 GARFIELD Street"/>
    <x v="60"/>
    <x v="1"/>
    <x v="159"/>
    <n v="12"/>
    <x v="2"/>
    <x v="2"/>
    <n v="1428"/>
    <n v="140.0560224089636"/>
    <s v="Low"/>
  </r>
  <r>
    <s v="28712 BESTE Street"/>
    <x v="67"/>
    <x v="1"/>
    <x v="159"/>
    <n v="20"/>
    <x v="2"/>
    <x v="1"/>
    <n v="1000"/>
    <n v="200"/>
    <s v="Low"/>
  </r>
  <r>
    <s v="18270 Spring Court South"/>
    <x v="76"/>
    <x v="1"/>
    <x v="159"/>
    <n v="57"/>
    <x v="2"/>
    <x v="3"/>
    <n v="1482"/>
    <n v="134.95276653171391"/>
    <s v="Low"/>
  </r>
  <r>
    <s v="26784 S RIVER Road"/>
    <x v="75"/>
    <x v="1"/>
    <x v="159"/>
    <n v="68"/>
    <x v="2"/>
    <x v="1"/>
    <n v="960"/>
    <n v="208.33333333333334"/>
    <s v="Medium"/>
  </r>
  <r>
    <s v="15356 CAMBRIDGE Drive"/>
    <x v="76"/>
    <x v="1"/>
    <x v="159"/>
    <n v="4"/>
    <x v="2"/>
    <x v="3"/>
    <n v="1392"/>
    <n v="143.67816091954023"/>
    <s v="Low"/>
  </r>
  <r>
    <s v="11732 HOVEY Street"/>
    <x v="61"/>
    <x v="1"/>
    <x v="159"/>
    <n v="47"/>
    <x v="2"/>
    <x v="2"/>
    <n v="906"/>
    <n v="220.75055187637969"/>
    <s v="Medium"/>
  </r>
  <r>
    <s v="31077 Shawn"/>
    <x v="61"/>
    <x v="1"/>
    <x v="159"/>
    <n v="115"/>
    <x v="0"/>
    <x v="3"/>
    <n v="1684"/>
    <n v="118.76484560570071"/>
    <s v="Low"/>
  </r>
  <r>
    <s v="11621 DANFORTH Drive"/>
    <x v="66"/>
    <x v="1"/>
    <x v="159"/>
    <n v="48"/>
    <x v="2"/>
    <x v="1"/>
    <n v="925"/>
    <n v="216.21621621621622"/>
    <s v="Medium"/>
  </r>
  <r>
    <s v="24504 BECK Avenue"/>
    <x v="63"/>
    <x v="1"/>
    <x v="159"/>
    <n v="35"/>
    <x v="2"/>
    <x v="3"/>
    <n v="1332"/>
    <n v="150.15015015015015"/>
    <s v="Low"/>
  </r>
  <r>
    <s v="26530 BARNES Street"/>
    <x v="60"/>
    <x v="1"/>
    <x v="159"/>
    <n v="14"/>
    <x v="2"/>
    <x v="2"/>
    <n v="1602"/>
    <n v="124.84394506866417"/>
    <s v="Low"/>
  </r>
  <r>
    <s v="28714 FOUNTAIN Street"/>
    <x v="60"/>
    <x v="1"/>
    <x v="159"/>
    <n v="144"/>
    <x v="2"/>
    <x v="1"/>
    <n v="1089"/>
    <n v="183.65472910927457"/>
    <s v="Low"/>
  </r>
  <r>
    <s v="28631 Jahns"/>
    <x v="60"/>
    <x v="1"/>
    <x v="161"/>
    <n v="15"/>
    <x v="2"/>
    <x v="3"/>
    <n v="1077"/>
    <n v="187.55803156917364"/>
    <s v="Low"/>
  </r>
  <r>
    <s v="23446 CURIE Street"/>
    <x v="61"/>
    <x v="1"/>
    <x v="161"/>
    <n v="0"/>
    <x v="2"/>
    <x v="2"/>
    <n v="1080"/>
    <n v="187.03703703703704"/>
    <s v="Low"/>
  </r>
  <r>
    <s v="23446 Curie"/>
    <x v="61"/>
    <x v="1"/>
    <x v="161"/>
    <n v="6"/>
    <x v="2"/>
    <x v="2"/>
    <n v="1080"/>
    <n v="187.03703703703704"/>
    <s v="Low"/>
  </r>
  <r>
    <s v="21600 OCONNOR Street"/>
    <x v="67"/>
    <x v="1"/>
    <x v="161"/>
    <n v="7"/>
    <x v="2"/>
    <x v="3"/>
    <n v="1062"/>
    <n v="190.20715630885121"/>
    <s v="Low"/>
  </r>
  <r>
    <s v="28313 HUGHES Street"/>
    <x v="67"/>
    <x v="1"/>
    <x v="162"/>
    <n v="16"/>
    <x v="1"/>
    <x v="1"/>
    <n v="1147"/>
    <n v="176.98343504795119"/>
    <s v="Low"/>
  </r>
  <r>
    <s v="7577 WOOD"/>
    <x v="68"/>
    <x v="1"/>
    <x v="165"/>
    <n v="2"/>
    <x v="2"/>
    <x v="3"/>
    <n v="1050"/>
    <n v="194.28571428571428"/>
    <s v="Low"/>
  </r>
  <r>
    <s v="45488 PLATT Street"/>
    <x v="77"/>
    <x v="1"/>
    <x v="974"/>
    <n v="4"/>
    <x v="1"/>
    <x v="1"/>
    <n v="816"/>
    <n v="251.10294117647058"/>
    <s v="Medium"/>
  </r>
  <r>
    <s v="33770 OTTO Avenue"/>
    <x v="76"/>
    <x v="1"/>
    <x v="974"/>
    <n v="168"/>
    <x v="2"/>
    <x v="3"/>
    <n v="1248"/>
    <n v="164.18269230769232"/>
    <s v="Low"/>
  </r>
  <r>
    <s v="22 Ellwood"/>
    <x v="62"/>
    <x v="1"/>
    <x v="167"/>
    <n v="20"/>
    <x v="0"/>
    <x v="2"/>
    <n v="1540"/>
    <n v="133.11688311688312"/>
    <s v="Low"/>
  </r>
  <r>
    <s v="35720 Utica"/>
    <x v="64"/>
    <x v="1"/>
    <x v="167"/>
    <n v="4"/>
    <x v="1"/>
    <x v="1"/>
    <n v="1074"/>
    <n v="190.87523277467412"/>
    <s v="Low"/>
  </r>
  <r>
    <s v="4771 Bernice"/>
    <x v="61"/>
    <x v="1"/>
    <x v="167"/>
    <n v="10"/>
    <x v="2"/>
    <x v="1"/>
    <n v="956"/>
    <n v="214.43514644351464"/>
    <s v="Medium"/>
  </r>
  <r>
    <s v="28759 WAVERLY Street"/>
    <x v="60"/>
    <x v="1"/>
    <x v="167"/>
    <n v="6"/>
    <x v="2"/>
    <x v="1"/>
    <n v="960"/>
    <n v="213.54166666666666"/>
    <s v="Medium"/>
  </r>
  <r>
    <s v="30541 Bluehill"/>
    <x v="60"/>
    <x v="1"/>
    <x v="167"/>
    <n v="10"/>
    <x v="2"/>
    <x v="3"/>
    <n v="989"/>
    <n v="207.28008088978765"/>
    <s v="Medium"/>
  </r>
  <r>
    <s v="22733 Ridgeway"/>
    <x v="67"/>
    <x v="1"/>
    <x v="167"/>
    <n v="32"/>
    <x v="2"/>
    <x v="3"/>
    <n v="1166"/>
    <n v="175.81475128644939"/>
    <s v="Low"/>
  </r>
  <r>
    <s v="24515 RIDGECROFT Avenue"/>
    <x v="63"/>
    <x v="1"/>
    <x v="167"/>
    <n v="4"/>
    <x v="2"/>
    <x v="3"/>
    <n v="1155"/>
    <n v="177.48917748917748"/>
    <s v="Low"/>
  </r>
  <r>
    <s v="650 CHIPPEWA Street"/>
    <x v="62"/>
    <x v="1"/>
    <x v="167"/>
    <n v="4"/>
    <x v="2"/>
    <x v="1"/>
    <n v="932"/>
    <n v="219.95708154506437"/>
    <s v="Medium"/>
  </r>
  <r>
    <s v="30649 BLUEHILL Street"/>
    <x v="60"/>
    <x v="1"/>
    <x v="167"/>
    <n v="0"/>
    <x v="0"/>
    <x v="3"/>
    <n v="1600"/>
    <n v="128.125"/>
    <s v="Low"/>
  </r>
  <r>
    <s v="29155 MCDONALD Street"/>
    <x v="60"/>
    <x v="1"/>
    <x v="167"/>
    <n v="45"/>
    <x v="2"/>
    <x v="2"/>
    <n v="983"/>
    <n v="208.54526958290947"/>
    <s v="Medium"/>
  </r>
  <r>
    <s v="8123 McKinley"/>
    <x v="68"/>
    <x v="1"/>
    <x v="167"/>
    <n v="93"/>
    <x v="2"/>
    <x v="1"/>
    <n v="1042"/>
    <n v="196.73704414587331"/>
    <s v="Low"/>
  </r>
  <r>
    <s v="26664 Richard"/>
    <x v="61"/>
    <x v="1"/>
    <x v="167"/>
    <n v="13"/>
    <x v="2"/>
    <x v="3"/>
    <n v="1000"/>
    <n v="205"/>
    <s v="Medium"/>
  </r>
  <r>
    <s v="20511 ALGER Street"/>
    <x v="67"/>
    <x v="1"/>
    <x v="975"/>
    <n v="12"/>
    <x v="2"/>
    <x v="1"/>
    <n v="1268"/>
    <n v="161.98738170347002"/>
    <s v="Low"/>
  </r>
  <r>
    <s v="19700 ROSEDALE Street"/>
    <x v="67"/>
    <x v="1"/>
    <x v="168"/>
    <n v="7"/>
    <x v="2"/>
    <x v="1"/>
    <n v="1107"/>
    <n v="186.08852755194218"/>
    <s v="Low"/>
  </r>
  <r>
    <s v="30417 Greater Mack"/>
    <x v="67"/>
    <x v="1"/>
    <x v="170"/>
    <n v="4"/>
    <x v="1"/>
    <x v="3"/>
    <n v="1000"/>
    <n v="207.5"/>
    <s v="Medium"/>
  </r>
  <r>
    <s v="20501 Walton"/>
    <x v="67"/>
    <x v="1"/>
    <x v="171"/>
    <n v="9"/>
    <x v="2"/>
    <x v="1"/>
    <n v="1019"/>
    <n v="204.1216879293425"/>
    <s v="Medium"/>
  </r>
  <r>
    <s v="380 JEFFERY CT"/>
    <x v="80"/>
    <x v="1"/>
    <x v="171"/>
    <n v="6"/>
    <x v="2"/>
    <x v="1"/>
    <n v="900"/>
    <n v="231.11111111111111"/>
    <s v="Medium"/>
  </r>
  <r>
    <s v="16804 E 12 MILE Road"/>
    <x v="60"/>
    <x v="1"/>
    <x v="173"/>
    <n v="4"/>
    <x v="2"/>
    <x v="1"/>
    <n v="1008"/>
    <n v="207.34126984126985"/>
    <s v="Medium"/>
  </r>
  <r>
    <s v="18243 E 13 MILE Road"/>
    <x v="76"/>
    <x v="1"/>
    <x v="173"/>
    <n v="17"/>
    <x v="2"/>
    <x v="3"/>
    <n v="972"/>
    <n v="215.02057613168725"/>
    <s v="Medium"/>
  </r>
  <r>
    <s v="47065 SCHIMMEL Avenue"/>
    <x v="72"/>
    <x v="1"/>
    <x v="173"/>
    <n v="27"/>
    <x v="0"/>
    <x v="5"/>
    <n v="3347"/>
    <n v="62.44397968329848"/>
    <s v="Low"/>
  </r>
  <r>
    <s v="3411 GARRICK Avenue"/>
    <x v="61"/>
    <x v="1"/>
    <x v="173"/>
    <n v="9"/>
    <x v="2"/>
    <x v="3"/>
    <n v="1092"/>
    <n v="191.3919413919414"/>
    <s v="Low"/>
  </r>
  <r>
    <s v="32239 SUSILANE Street"/>
    <x v="60"/>
    <x v="1"/>
    <x v="173"/>
    <n v="90"/>
    <x v="2"/>
    <x v="1"/>
    <n v="1026"/>
    <n v="203.7037037037037"/>
    <s v="Medium"/>
  </r>
  <r>
    <s v="20914 Catalano"/>
    <x v="64"/>
    <x v="1"/>
    <x v="173"/>
    <n v="126"/>
    <x v="2"/>
    <x v="3"/>
    <n v="1448"/>
    <n v="144.33701657458565"/>
    <s v="Low"/>
  </r>
  <r>
    <s v="37955 EMERY Street"/>
    <x v="64"/>
    <x v="1"/>
    <x v="175"/>
    <n v="60"/>
    <x v="2"/>
    <x v="1"/>
    <n v="1066"/>
    <n v="196.99812382739211"/>
    <s v="Low"/>
  </r>
  <r>
    <s v="16020 Frazho Road"/>
    <x v="60"/>
    <x v="1"/>
    <x v="175"/>
    <n v="6"/>
    <x v="2"/>
    <x v="3"/>
    <n v="1446"/>
    <n v="145.22821576763485"/>
    <s v="Low"/>
  </r>
  <r>
    <s v="21208 E 13 Mile Road"/>
    <x v="67"/>
    <x v="1"/>
    <x v="175"/>
    <n v="7"/>
    <x v="2"/>
    <x v="2"/>
    <n v="1161"/>
    <n v="180.87855297157623"/>
    <s v="Low"/>
  </r>
  <r>
    <s v="28050 Los Olas Drive"/>
    <x v="61"/>
    <x v="1"/>
    <x v="175"/>
    <n v="2"/>
    <x v="2"/>
    <x v="3"/>
    <n v="1300"/>
    <n v="161.53846153846155"/>
    <s v="Low"/>
  </r>
  <r>
    <s v="32162 CLAWSON Street"/>
    <x v="71"/>
    <x v="1"/>
    <x v="175"/>
    <n v="5"/>
    <x v="2"/>
    <x v="1"/>
    <n v="1100"/>
    <n v="190.90909090909091"/>
    <s v="Low"/>
  </r>
  <r>
    <s v="74304 Burk"/>
    <x v="81"/>
    <x v="1"/>
    <x v="175"/>
    <n v="15"/>
    <x v="2"/>
    <x v="2"/>
    <n v="1620"/>
    <n v="129.62962962962962"/>
    <s v="Low"/>
  </r>
  <r>
    <s v="28311 Roy Street"/>
    <x v="67"/>
    <x v="1"/>
    <x v="175"/>
    <n v="77"/>
    <x v="2"/>
    <x v="2"/>
    <n v="1832"/>
    <n v="114.62882096069869"/>
    <s v="Low"/>
  </r>
  <r>
    <s v="45251 Platt"/>
    <x v="77"/>
    <x v="1"/>
    <x v="175"/>
    <n v="7"/>
    <x v="0"/>
    <x v="2"/>
    <n v="1461"/>
    <n v="143.73716632443532"/>
    <s v="Low"/>
  </r>
  <r>
    <s v="35403 SEVILLE Street"/>
    <x v="64"/>
    <x v="1"/>
    <x v="175"/>
    <n v="26"/>
    <x v="2"/>
    <x v="2"/>
    <n v="1230"/>
    <n v="170.73170731707316"/>
    <s v="Low"/>
  </r>
  <r>
    <s v="27553 ONEIL Street"/>
    <x v="60"/>
    <x v="1"/>
    <x v="175"/>
    <n v="26"/>
    <x v="0"/>
    <x v="2"/>
    <n v="1408"/>
    <n v="149.14772727272728"/>
    <s v="Low"/>
  </r>
  <r>
    <s v="7290 STATE PARK"/>
    <x v="68"/>
    <x v="1"/>
    <x v="175"/>
    <n v="13"/>
    <x v="2"/>
    <x v="3"/>
    <n v="1189"/>
    <n v="176.61900756938604"/>
    <s v="Low"/>
  </r>
  <r>
    <s v="21629 Lange"/>
    <x v="67"/>
    <x v="1"/>
    <x v="175"/>
    <n v="32"/>
    <x v="2"/>
    <x v="2"/>
    <n v="1929"/>
    <n v="108.86469673405909"/>
    <s v="Low"/>
  </r>
  <r>
    <s v="22915 Raymond"/>
    <x v="67"/>
    <x v="1"/>
    <x v="175"/>
    <n v="2"/>
    <x v="2"/>
    <x v="1"/>
    <n v="1302"/>
    <n v="161.29032258064515"/>
    <s v="Low"/>
  </r>
  <r>
    <s v="22920 PLEASANT Street"/>
    <x v="67"/>
    <x v="1"/>
    <x v="175"/>
    <n v="6"/>
    <x v="3"/>
    <x v="2"/>
    <n v="1555"/>
    <n v="135.04823151125402"/>
    <s v="Low"/>
  </r>
  <r>
    <s v="20725 Lantz"/>
    <x v="64"/>
    <x v="1"/>
    <x v="175"/>
    <n v="35"/>
    <x v="2"/>
    <x v="1"/>
    <n v="1026"/>
    <n v="204.67836257309941"/>
    <s v="Medium"/>
  </r>
  <r>
    <s v="22491 SUNNYDALE Street"/>
    <x v="67"/>
    <x v="1"/>
    <x v="175"/>
    <n v="79"/>
    <x v="2"/>
    <x v="1"/>
    <n v="1200"/>
    <n v="175"/>
    <s v="Low"/>
  </r>
  <r>
    <s v="26213 San Rosa"/>
    <x v="67"/>
    <x v="1"/>
    <x v="175"/>
    <n v="34"/>
    <x v="2"/>
    <x v="3"/>
    <n v="1121"/>
    <n v="187.33273862622659"/>
    <s v="Low"/>
  </r>
  <r>
    <s v="12327 E 11 MILE Road"/>
    <x v="61"/>
    <x v="1"/>
    <x v="175"/>
    <n v="22"/>
    <x v="2"/>
    <x v="5"/>
    <n v="1177"/>
    <n v="178.4197111299915"/>
    <s v="Low"/>
  </r>
  <r>
    <s v="8051 MCKINLEY"/>
    <x v="68"/>
    <x v="1"/>
    <x v="175"/>
    <n v="112"/>
    <x v="2"/>
    <x v="1"/>
    <n v="1290"/>
    <n v="162.7906976744186"/>
    <s v="Low"/>
  </r>
  <r>
    <s v="22826 Lincoln"/>
    <x v="67"/>
    <x v="1"/>
    <x v="175"/>
    <n v="82"/>
    <x v="2"/>
    <x v="1"/>
    <n v="1033"/>
    <n v="203.29138431752179"/>
    <s v="Medium"/>
  </r>
  <r>
    <s v="23131 HARMON Street"/>
    <x v="67"/>
    <x v="1"/>
    <x v="175"/>
    <n v="18"/>
    <x v="2"/>
    <x v="1"/>
    <n v="930"/>
    <n v="225.80645161290323"/>
    <s v="Medium"/>
  </r>
  <r>
    <s v="48174 Pheasant"/>
    <x v="69"/>
    <x v="1"/>
    <x v="175"/>
    <n v="41"/>
    <x v="2"/>
    <x v="3"/>
    <n v="1700"/>
    <n v="123.52941176470588"/>
    <s v="Low"/>
  </r>
  <r>
    <s v="22487 Boulder"/>
    <x v="63"/>
    <x v="1"/>
    <x v="176"/>
    <n v="3"/>
    <x v="3"/>
    <x v="2"/>
    <n v="2226"/>
    <n v="94.564240790655887"/>
    <s v="Low"/>
  </r>
  <r>
    <s v="32039 Hayes Road"/>
    <x v="61"/>
    <x v="1"/>
    <x v="177"/>
    <n v="5"/>
    <x v="2"/>
    <x v="3"/>
    <n v="1326"/>
    <n v="159.12518853695323"/>
    <s v="Low"/>
  </r>
  <r>
    <s v="28266 SUTHERLAND Drive"/>
    <x v="61"/>
    <x v="1"/>
    <x v="177"/>
    <n v="17"/>
    <x v="2"/>
    <x v="3"/>
    <n v="1095"/>
    <n v="192.69406392694063"/>
    <s v="Low"/>
  </r>
  <r>
    <s v="17126 Sprenger"/>
    <x v="63"/>
    <x v="1"/>
    <x v="177"/>
    <n v="131"/>
    <x v="2"/>
    <x v="1"/>
    <n v="1328"/>
    <n v="158.8855421686747"/>
    <s v="Low"/>
  </r>
  <r>
    <s v="28345 Suburban Drive"/>
    <x v="61"/>
    <x v="1"/>
    <x v="976"/>
    <n v="73"/>
    <x v="2"/>
    <x v="3"/>
    <n v="1102"/>
    <n v="191.92377495462796"/>
    <s v="Low"/>
  </r>
  <r>
    <s v="27222 PERRY Street"/>
    <x v="60"/>
    <x v="1"/>
    <x v="178"/>
    <n v="5"/>
    <x v="2"/>
    <x v="2"/>
    <n v="1000"/>
    <n v="212"/>
    <s v="Medium"/>
  </r>
  <r>
    <s v="37488 Edgewood"/>
    <x v="64"/>
    <x v="1"/>
    <x v="178"/>
    <n v="4"/>
    <x v="2"/>
    <x v="1"/>
    <n v="1338"/>
    <n v="158.44544095665171"/>
    <s v="Low"/>
  </r>
  <r>
    <s v="27710 PONCHARTRAIN Street"/>
    <x v="75"/>
    <x v="1"/>
    <x v="180"/>
    <n v="13"/>
    <x v="2"/>
    <x v="2"/>
    <n v="1503"/>
    <n v="141.71656686626747"/>
    <s v="Low"/>
  </r>
  <r>
    <s v="27275 Dowland"/>
    <x v="61"/>
    <x v="1"/>
    <x v="180"/>
    <n v="12"/>
    <x v="2"/>
    <x v="10"/>
    <n v="1462"/>
    <n v="145.6908344733242"/>
    <s v="Low"/>
  </r>
  <r>
    <s v="8106 OGDEN Drive"/>
    <x v="66"/>
    <x v="1"/>
    <x v="977"/>
    <n v="16"/>
    <x v="2"/>
    <x v="1"/>
    <n v="1405"/>
    <n v="151.88612099644129"/>
    <s v="Low"/>
  </r>
  <r>
    <s v="22403 SAINT GERTRUDE Street"/>
    <x v="67"/>
    <x v="1"/>
    <x v="978"/>
    <n v="13"/>
    <x v="2"/>
    <x v="1"/>
    <n v="1186"/>
    <n v="180.43844856661045"/>
    <s v="Low"/>
  </r>
  <r>
    <s v="29801 COMMONWEALTH Street"/>
    <x v="60"/>
    <x v="1"/>
    <x v="183"/>
    <n v="7"/>
    <x v="2"/>
    <x v="3"/>
    <n v="1049"/>
    <n v="204.95710200190658"/>
    <s v="Medium"/>
  </r>
  <r>
    <s v="34623 Jerome"/>
    <x v="69"/>
    <x v="1"/>
    <x v="183"/>
    <n v="9"/>
    <x v="2"/>
    <x v="3"/>
    <n v="1448"/>
    <n v="148.48066298342542"/>
    <s v="Low"/>
  </r>
  <r>
    <s v="24268 Brittany Ave"/>
    <x v="63"/>
    <x v="1"/>
    <x v="183"/>
    <n v="6"/>
    <x v="2"/>
    <x v="3"/>
    <n v="1752"/>
    <n v="122.71689497716895"/>
    <s v="Low"/>
  </r>
  <r>
    <s v="27315 GROVELAND Street"/>
    <x v="60"/>
    <x v="1"/>
    <x v="183"/>
    <n v="6"/>
    <x v="2"/>
    <x v="3"/>
    <n v="1144"/>
    <n v="187.93706293706293"/>
    <s v="Low"/>
  </r>
  <r>
    <s v="21306 BRIARCLIFF Street"/>
    <x v="67"/>
    <x v="1"/>
    <x v="183"/>
    <n v="15"/>
    <x v="2"/>
    <x v="3"/>
    <n v="1017"/>
    <n v="211.40609636184857"/>
    <s v="Medium"/>
  </r>
  <r>
    <s v="8490 Warren"/>
    <x v="68"/>
    <x v="1"/>
    <x v="183"/>
    <n v="29"/>
    <x v="2"/>
    <x v="1"/>
    <n v="1000"/>
    <n v="215"/>
    <s v="Medium"/>
  </r>
  <r>
    <s v="22223 MAPLE Street"/>
    <x v="67"/>
    <x v="1"/>
    <x v="183"/>
    <n v="55"/>
    <x v="0"/>
    <x v="5"/>
    <n v="1580"/>
    <n v="136.07594936708861"/>
    <s v="Low"/>
  </r>
  <r>
    <s v="29364 NEWPORT Drive"/>
    <x v="61"/>
    <x v="1"/>
    <x v="183"/>
    <n v="15"/>
    <x v="2"/>
    <x v="1"/>
    <n v="956"/>
    <n v="224.89539748953976"/>
    <s v="Medium"/>
  </r>
  <r>
    <s v="27440 Welsh"/>
    <x v="61"/>
    <x v="1"/>
    <x v="183"/>
    <n v="2"/>
    <x v="2"/>
    <x v="3"/>
    <n v="1182"/>
    <n v="181.89509306260575"/>
    <s v="Low"/>
  </r>
  <r>
    <s v="12835 PLUMBROOK Road"/>
    <x v="66"/>
    <x v="1"/>
    <x v="183"/>
    <n v="5"/>
    <x v="1"/>
    <x v="3"/>
    <n v="1143"/>
    <n v="188.10148731408574"/>
    <s v="Low"/>
  </r>
  <r>
    <s v="27353 Pleasant Drive"/>
    <x v="61"/>
    <x v="1"/>
    <x v="183"/>
    <n v="3"/>
    <x v="2"/>
    <x v="2"/>
    <n v="1109"/>
    <n v="193.86834986474301"/>
    <s v="Low"/>
  </r>
  <r>
    <s v="28894 Barkman"/>
    <x v="60"/>
    <x v="1"/>
    <x v="183"/>
    <n v="26"/>
    <x v="2"/>
    <x v="2"/>
    <n v="1106"/>
    <n v="194.39421338155515"/>
    <s v="Low"/>
  </r>
  <r>
    <s v="48443 Ranch"/>
    <x v="69"/>
    <x v="1"/>
    <x v="183"/>
    <n v="69"/>
    <x v="2"/>
    <x v="1"/>
    <n v="1620"/>
    <n v="132.71604938271605"/>
    <s v="Low"/>
  </r>
  <r>
    <s v="24944 ORCHID Street"/>
    <x v="75"/>
    <x v="1"/>
    <x v="183"/>
    <n v="59"/>
    <x v="0"/>
    <x v="2"/>
    <n v="1514"/>
    <n v="142.00792602377808"/>
    <s v="Low"/>
  </r>
  <r>
    <s v="32711 KELLY Road"/>
    <x v="76"/>
    <x v="1"/>
    <x v="183"/>
    <n v="131"/>
    <x v="2"/>
    <x v="3"/>
    <n v="1116"/>
    <n v="192.65232974910396"/>
    <s v="Low"/>
  </r>
  <r>
    <s v="112 Lincoln"/>
    <x v="62"/>
    <x v="1"/>
    <x v="183"/>
    <n v="110"/>
    <x v="2"/>
    <x v="2"/>
    <n v="1750"/>
    <n v="122.85714285714286"/>
    <s v="Low"/>
  </r>
  <r>
    <s v="21715 Rosedale"/>
    <x v="67"/>
    <x v="1"/>
    <x v="184"/>
    <n v="41"/>
    <x v="2"/>
    <x v="1"/>
    <n v="1150"/>
    <n v="187.82608695652175"/>
    <s v="Low"/>
  </r>
  <r>
    <s v="37642 S GROESBECK"/>
    <x v="64"/>
    <x v="1"/>
    <x v="184"/>
    <n v="44"/>
    <x v="2"/>
    <x v="1"/>
    <n v="1304"/>
    <n v="165.64417177914112"/>
    <s v="Low"/>
  </r>
  <r>
    <s v="25385 Ronald"/>
    <x v="60"/>
    <x v="1"/>
    <x v="187"/>
    <n v="9"/>
    <x v="2"/>
    <x v="3"/>
    <n v="1000"/>
    <n v="216.5"/>
    <s v="Medium"/>
  </r>
  <r>
    <s v="24724 ORCHID Street"/>
    <x v="75"/>
    <x v="1"/>
    <x v="979"/>
    <n v="10"/>
    <x v="2"/>
    <x v="2"/>
    <n v="1542"/>
    <n v="140.46692607003891"/>
    <s v="Low"/>
  </r>
  <r>
    <s v="26448 ROAN Avenue"/>
    <x v="61"/>
    <x v="1"/>
    <x v="980"/>
    <n v="5"/>
    <x v="2"/>
    <x v="3"/>
    <n v="1148"/>
    <n v="189.02439024390245"/>
    <s v="Low"/>
  </r>
  <r>
    <s v="20900 SUFFOLK Street"/>
    <x v="64"/>
    <x v="1"/>
    <x v="980"/>
    <n v="53"/>
    <x v="2"/>
    <x v="3"/>
    <n v="1075"/>
    <n v="201.86046511627907"/>
    <s v="Medium"/>
  </r>
  <r>
    <s v="36812 Weideman"/>
    <x v="64"/>
    <x v="1"/>
    <x v="188"/>
    <n v="11"/>
    <x v="2"/>
    <x v="3"/>
    <n v="1505"/>
    <n v="144.51827242524917"/>
    <s v="Low"/>
  </r>
  <r>
    <s v="31606 Eveningside"/>
    <x v="76"/>
    <x v="1"/>
    <x v="189"/>
    <n v="22"/>
    <x v="2"/>
    <x v="3"/>
    <n v="1300"/>
    <n v="167.69230769230768"/>
    <s v="Low"/>
  </r>
  <r>
    <s v="36460 N Price Drive"/>
    <x v="64"/>
    <x v="1"/>
    <x v="189"/>
    <n v="5"/>
    <x v="0"/>
    <x v="3"/>
    <n v="1218"/>
    <n v="178.98193760262726"/>
    <s v="Low"/>
  </r>
  <r>
    <s v="12146 MONSBROOK Drive"/>
    <x v="59"/>
    <x v="1"/>
    <x v="189"/>
    <n v="28"/>
    <x v="2"/>
    <x v="3"/>
    <n v="1100"/>
    <n v="198.18181818181819"/>
    <s v="Low"/>
  </r>
  <r>
    <s v="326 N GRATIOT Avenue"/>
    <x v="64"/>
    <x v="1"/>
    <x v="189"/>
    <n v="53"/>
    <x v="6"/>
    <x v="2"/>
    <n v="2458"/>
    <n v="88.689991863303504"/>
    <s v="Low"/>
  </r>
  <r>
    <s v="16084 FLANAGAN Street"/>
    <x v="60"/>
    <x v="1"/>
    <x v="981"/>
    <n v="11"/>
    <x v="2"/>
    <x v="3"/>
    <n v="945"/>
    <n v="231.74603174603175"/>
    <s v="Medium"/>
  </r>
  <r>
    <s v="27934 Grant"/>
    <x v="67"/>
    <x v="1"/>
    <x v="981"/>
    <n v="12"/>
    <x v="2"/>
    <x v="2"/>
    <n v="1151"/>
    <n v="190.26933101650738"/>
    <s v="Low"/>
  </r>
  <r>
    <s v="24721 Harmon"/>
    <x v="67"/>
    <x v="1"/>
    <x v="190"/>
    <n v="9"/>
    <x v="2"/>
    <x v="2"/>
    <n v="973"/>
    <n v="226.00205549845839"/>
    <s v="Medium"/>
  </r>
  <r>
    <s v="28599 WAUKETA Avenue"/>
    <x v="61"/>
    <x v="1"/>
    <x v="190"/>
    <n v="48"/>
    <x v="2"/>
    <x v="2"/>
    <n v="1150"/>
    <n v="191.21739130434781"/>
    <s v="Low"/>
  </r>
  <r>
    <s v="33869 Fraser"/>
    <x v="76"/>
    <x v="1"/>
    <x v="191"/>
    <n v="29"/>
    <x v="2"/>
    <x v="1"/>
    <n v="1128"/>
    <n v="195.03546099290782"/>
    <s v="Low"/>
  </r>
  <r>
    <s v="74065 Crull Street"/>
    <x v="81"/>
    <x v="1"/>
    <x v="191"/>
    <n v="4"/>
    <x v="1"/>
    <x v="1"/>
    <n v="864"/>
    <n v="254.62962962962962"/>
    <s v="Medium"/>
  </r>
  <r>
    <s v="21819 CALIFORNIA Street"/>
    <x v="67"/>
    <x v="1"/>
    <x v="191"/>
    <n v="8"/>
    <x v="2"/>
    <x v="3"/>
    <n v="1254"/>
    <n v="175.43859649122808"/>
    <s v="Low"/>
  </r>
  <r>
    <s v="18501 EMPIRE Avenue"/>
    <x v="63"/>
    <x v="1"/>
    <x v="191"/>
    <n v="5"/>
    <x v="2"/>
    <x v="2"/>
    <n v="1120"/>
    <n v="196.42857142857142"/>
    <s v="Low"/>
  </r>
  <r>
    <s v="17511 Doris"/>
    <x v="76"/>
    <x v="1"/>
    <x v="191"/>
    <n v="62"/>
    <x v="2"/>
    <x v="3"/>
    <n v="1440"/>
    <n v="152.77777777777777"/>
    <s v="Low"/>
  </r>
  <r>
    <s v="23435 Glenbrook"/>
    <x v="67"/>
    <x v="1"/>
    <x v="191"/>
    <n v="5"/>
    <x v="2"/>
    <x v="1"/>
    <n v="1022"/>
    <n v="215.26418786692759"/>
    <s v="Medium"/>
  </r>
  <r>
    <s v="22533 Kipling"/>
    <x v="67"/>
    <x v="1"/>
    <x v="191"/>
    <n v="123"/>
    <x v="2"/>
    <x v="3"/>
    <n v="1288"/>
    <n v="170.80745341614906"/>
    <s v="Low"/>
  </r>
  <r>
    <s v="4950 Auburn"/>
    <x v="72"/>
    <x v="1"/>
    <x v="191"/>
    <n v="38"/>
    <x v="2"/>
    <x v="3"/>
    <n v="1282"/>
    <n v="171.606864274571"/>
    <s v="Low"/>
  </r>
  <r>
    <s v="30100 HOOVER Road"/>
    <x v="61"/>
    <x v="1"/>
    <x v="191"/>
    <n v="154"/>
    <x v="1"/>
    <x v="1"/>
    <n v="1638"/>
    <n v="134.31013431013432"/>
    <s v="Low"/>
  </r>
  <r>
    <s v="21464 DREXEL Street"/>
    <x v="64"/>
    <x v="1"/>
    <x v="191"/>
    <n v="6"/>
    <x v="2"/>
    <x v="1"/>
    <n v="1300"/>
    <n v="169.23076923076923"/>
    <s v="Low"/>
  </r>
  <r>
    <s v="22001 REVERE Street"/>
    <x v="67"/>
    <x v="1"/>
    <x v="191"/>
    <n v="6"/>
    <x v="2"/>
    <x v="3"/>
    <n v="936"/>
    <n v="235.04273504273505"/>
    <s v="Medium"/>
  </r>
  <r>
    <s v="4737 MARIAN Avenue"/>
    <x v="61"/>
    <x v="1"/>
    <x v="191"/>
    <n v="4"/>
    <x v="2"/>
    <x v="3"/>
    <n v="1000"/>
    <n v="220"/>
    <s v="Medium"/>
  </r>
  <r>
    <s v="2053 CAMEL Drive"/>
    <x v="66"/>
    <x v="1"/>
    <x v="191"/>
    <n v="37"/>
    <x v="2"/>
    <x v="2"/>
    <n v="950"/>
    <n v="231.57894736842104"/>
    <s v="Medium"/>
  </r>
  <r>
    <s v="22018 Trombly"/>
    <x v="67"/>
    <x v="1"/>
    <x v="191"/>
    <n v="9"/>
    <x v="2"/>
    <x v="1"/>
    <n v="1065"/>
    <n v="206.57276995305165"/>
    <s v="Medium"/>
  </r>
  <r>
    <s v="39598 WALDORF Drive"/>
    <x v="64"/>
    <x v="1"/>
    <x v="191"/>
    <n v="0"/>
    <x v="0"/>
    <x v="9"/>
    <n v="2208"/>
    <n v="99.637681159420296"/>
    <s v="Low"/>
  </r>
  <r>
    <s v="42655 MATTER"/>
    <x v="64"/>
    <x v="1"/>
    <x v="191"/>
    <n v="68"/>
    <x v="0"/>
    <x v="2"/>
    <n v="1729"/>
    <n v="127.24117987275882"/>
    <s v="Low"/>
  </r>
  <r>
    <s v="18075 21 Mile"/>
    <x v="59"/>
    <x v="1"/>
    <x v="191"/>
    <n v="141"/>
    <x v="2"/>
    <x v="2"/>
    <n v="1386"/>
    <n v="158.73015873015873"/>
    <s v="Low"/>
  </r>
  <r>
    <s v="18820 Rosegarden Street"/>
    <x v="60"/>
    <x v="1"/>
    <x v="982"/>
    <n v="4"/>
    <x v="2"/>
    <x v="2"/>
    <n v="987"/>
    <n v="222.89868287740629"/>
    <s v="Medium"/>
  </r>
  <r>
    <s v="17887 Peters"/>
    <x v="60"/>
    <x v="1"/>
    <x v="193"/>
    <n v="4"/>
    <x v="2"/>
    <x v="2"/>
    <n v="1040"/>
    <n v="212.5"/>
    <s v="Medium"/>
  </r>
  <r>
    <s v="38620 Willowmere Street"/>
    <x v="75"/>
    <x v="1"/>
    <x v="193"/>
    <n v="4"/>
    <x v="2"/>
    <x v="1"/>
    <n v="1000"/>
    <n v="221"/>
    <s v="Medium"/>
  </r>
  <r>
    <s v="26951 Kelsey Drive"/>
    <x v="61"/>
    <x v="1"/>
    <x v="193"/>
    <n v="10"/>
    <x v="7"/>
    <x v="13"/>
    <n v="1000"/>
    <n v="221"/>
    <s v="Medium"/>
  </r>
  <r>
    <s v="17372 KERSHAW Street"/>
    <x v="60"/>
    <x v="1"/>
    <x v="194"/>
    <n v="17"/>
    <x v="0"/>
    <x v="2"/>
    <n v="2101"/>
    <n v="105.66396953831509"/>
    <s v="Low"/>
  </r>
  <r>
    <s v="22227 REMICK Drive"/>
    <x v="64"/>
    <x v="1"/>
    <x v="194"/>
    <n v="35"/>
    <x v="2"/>
    <x v="1"/>
    <n v="1240"/>
    <n v="179.03225806451613"/>
    <s v="Low"/>
  </r>
  <r>
    <s v="23043 Remick"/>
    <x v="64"/>
    <x v="1"/>
    <x v="194"/>
    <n v="20"/>
    <x v="0"/>
    <x v="3"/>
    <n v="1480"/>
    <n v="150"/>
    <s v="Low"/>
  </r>
  <r>
    <s v="20746 Marvindale"/>
    <x v="64"/>
    <x v="1"/>
    <x v="983"/>
    <n v="47"/>
    <x v="2"/>
    <x v="2"/>
    <n v="1299"/>
    <n v="171.05465742879139"/>
    <s v="Low"/>
  </r>
  <r>
    <s v="21413 Lakebreeze"/>
    <x v="67"/>
    <x v="1"/>
    <x v="984"/>
    <n v="52"/>
    <x v="2"/>
    <x v="1"/>
    <n v="954"/>
    <n v="233.75262054507337"/>
    <s v="Medium"/>
  </r>
  <r>
    <s v="32876 Beacon"/>
    <x v="76"/>
    <x v="1"/>
    <x v="984"/>
    <n v="168"/>
    <x v="2"/>
    <x v="3"/>
    <n v="1040"/>
    <n v="214.42307692307693"/>
    <s v="Medium"/>
  </r>
  <r>
    <s v="17375 Roseville"/>
    <x v="60"/>
    <x v="1"/>
    <x v="197"/>
    <n v="12"/>
    <x v="0"/>
    <x v="3"/>
    <n v="1091"/>
    <n v="205.31622364802934"/>
    <s v="Medium"/>
  </r>
  <r>
    <s v="71628 COON CREEK Road"/>
    <x v="70"/>
    <x v="1"/>
    <x v="197"/>
    <n v="3"/>
    <x v="2"/>
    <x v="3"/>
    <n v="1115"/>
    <n v="200.8968609865471"/>
    <s v="Medium"/>
  </r>
  <r>
    <s v="32440 ROBESON Street"/>
    <x v="67"/>
    <x v="1"/>
    <x v="985"/>
    <n v="15"/>
    <x v="2"/>
    <x v="2"/>
    <n v="1298"/>
    <n v="172.95839753466873"/>
    <s v="Low"/>
  </r>
  <r>
    <s v="28916 KAUFMAN Street"/>
    <x v="60"/>
    <x v="1"/>
    <x v="985"/>
    <n v="57"/>
    <x v="2"/>
    <x v="2"/>
    <n v="1052"/>
    <n v="213.40304182509504"/>
    <s v="Medium"/>
  </r>
  <r>
    <s v="15925 Dugan"/>
    <x v="60"/>
    <x v="1"/>
    <x v="985"/>
    <n v="2"/>
    <x v="0"/>
    <x v="2"/>
    <n v="1836"/>
    <n v="122.27668845315904"/>
    <s v="Low"/>
  </r>
  <r>
    <s v="12070 Danfourth"/>
    <x v="66"/>
    <x v="1"/>
    <x v="985"/>
    <n v="8"/>
    <x v="2"/>
    <x v="1"/>
    <n v="925"/>
    <n v="242.70270270270271"/>
    <s v="Medium"/>
  </r>
  <r>
    <s v="24708 Culver Street"/>
    <x v="67"/>
    <x v="1"/>
    <x v="986"/>
    <n v="35"/>
    <x v="2"/>
    <x v="3"/>
    <n v="1074"/>
    <n v="209.40409683426444"/>
    <s v="Medium"/>
  </r>
  <r>
    <s v="2281 Lindell Road"/>
    <x v="66"/>
    <x v="1"/>
    <x v="199"/>
    <n v="6"/>
    <x v="2"/>
    <x v="1"/>
    <n v="1280"/>
    <n v="175.78125"/>
    <s v="Low"/>
  </r>
  <r>
    <s v="39574 DETROIT Street"/>
    <x v="75"/>
    <x v="1"/>
    <x v="199"/>
    <n v="1"/>
    <x v="2"/>
    <x v="1"/>
    <n v="1008"/>
    <n v="223.21428571428572"/>
    <s v="Medium"/>
  </r>
  <r>
    <s v="28612 Patricia Ave"/>
    <x v="82"/>
    <x v="1"/>
    <x v="199"/>
    <n v="2"/>
    <x v="2"/>
    <x v="3"/>
    <n v="1111"/>
    <n v="202.52025202520252"/>
    <s v="Medium"/>
  </r>
  <r>
    <s v="23724 Harrellson Street"/>
    <x v="59"/>
    <x v="1"/>
    <x v="199"/>
    <n v="10"/>
    <x v="2"/>
    <x v="2"/>
    <n v="1520"/>
    <n v="148.02631578947367"/>
    <s v="Low"/>
  </r>
  <r>
    <s v="25080 Audrey"/>
    <x v="61"/>
    <x v="1"/>
    <x v="199"/>
    <n v="3"/>
    <x v="2"/>
    <x v="3"/>
    <n v="1005"/>
    <n v="223.88059701492537"/>
    <s v="Medium"/>
  </r>
  <r>
    <s v="11810 HIGHLAND Drive"/>
    <x v="61"/>
    <x v="1"/>
    <x v="199"/>
    <n v="6"/>
    <x v="2"/>
    <x v="2"/>
    <n v="1191"/>
    <n v="188.91687657430731"/>
    <s v="Low"/>
  </r>
  <r>
    <s v="41542 OLIVET"/>
    <x v="66"/>
    <x v="1"/>
    <x v="199"/>
    <n v="13"/>
    <x v="2"/>
    <x v="1"/>
    <n v="1204"/>
    <n v="186.87707641196013"/>
    <s v="Low"/>
  </r>
  <r>
    <s v="27815 Roy St"/>
    <x v="67"/>
    <x v="1"/>
    <x v="199"/>
    <n v="5"/>
    <x v="2"/>
    <x v="1"/>
    <n v="1354"/>
    <n v="166.17429837518463"/>
    <s v="Low"/>
  </r>
  <r>
    <s v="31336 EDWOOD Drive"/>
    <x v="61"/>
    <x v="1"/>
    <x v="199"/>
    <n v="19"/>
    <x v="2"/>
    <x v="2"/>
    <n v="1299"/>
    <n v="173.21016166281754"/>
    <s v="Low"/>
  </r>
  <r>
    <s v="12942 Baird Avenue"/>
    <x v="61"/>
    <x v="1"/>
    <x v="199"/>
    <n v="55"/>
    <x v="2"/>
    <x v="1"/>
    <n v="1000"/>
    <n v="225"/>
    <s v="Medium"/>
  </r>
  <r>
    <s v="3522 BERNICE Avenue"/>
    <x v="61"/>
    <x v="1"/>
    <x v="199"/>
    <n v="2"/>
    <x v="2"/>
    <x v="3"/>
    <n v="1000"/>
    <n v="225"/>
    <s v="Medium"/>
  </r>
  <r>
    <s v="416 HUNTINGTON Street"/>
    <x v="62"/>
    <x v="1"/>
    <x v="199"/>
    <n v="31"/>
    <x v="1"/>
    <x v="1"/>
    <n v="1166"/>
    <n v="192.96740994854201"/>
    <s v="Low"/>
  </r>
  <r>
    <s v="29620 Maplegrove"/>
    <x v="67"/>
    <x v="1"/>
    <x v="199"/>
    <n v="4"/>
    <x v="1"/>
    <x v="3"/>
    <n v="1223"/>
    <n v="183.9738348323794"/>
    <s v="Low"/>
  </r>
  <r>
    <s v="31719 Gloede"/>
    <x v="61"/>
    <x v="1"/>
    <x v="199"/>
    <n v="35"/>
    <x v="2"/>
    <x v="1"/>
    <n v="1055"/>
    <n v="213.27014218009478"/>
    <s v="Medium"/>
  </r>
  <r>
    <s v="4550 JUSTINE Street"/>
    <x v="72"/>
    <x v="1"/>
    <x v="199"/>
    <n v="38"/>
    <x v="2"/>
    <x v="1"/>
    <n v="1347"/>
    <n v="167.03786191536747"/>
    <s v="Low"/>
  </r>
  <r>
    <s v="24700 WOOD Street"/>
    <x v="67"/>
    <x v="1"/>
    <x v="199"/>
    <n v="71"/>
    <x v="2"/>
    <x v="3"/>
    <n v="1396"/>
    <n v="161.17478510028653"/>
    <s v="Low"/>
  </r>
  <r>
    <s v="12928 TAKOMA Drive"/>
    <x v="66"/>
    <x v="1"/>
    <x v="199"/>
    <n v="28"/>
    <x v="2"/>
    <x v="2"/>
    <n v="960"/>
    <n v="234.375"/>
    <s v="Medium"/>
  </r>
  <r>
    <s v="32629 Conrad"/>
    <x v="69"/>
    <x v="1"/>
    <x v="199"/>
    <n v="60"/>
    <x v="0"/>
    <x v="2"/>
    <n v="1694"/>
    <n v="132.82172373081465"/>
    <s v="Low"/>
  </r>
  <r>
    <s v="49601 E Valley"/>
    <x v="72"/>
    <x v="1"/>
    <x v="199"/>
    <n v="203"/>
    <x v="0"/>
    <x v="2"/>
    <n v="1834"/>
    <n v="122.68266085059979"/>
    <s v="Low"/>
  </r>
  <r>
    <s v="28451 Palm Beach Drive"/>
    <x v="61"/>
    <x v="1"/>
    <x v="987"/>
    <n v="11"/>
    <x v="2"/>
    <x v="3"/>
    <n v="1160"/>
    <n v="194.39655172413794"/>
    <s v="Low"/>
  </r>
  <r>
    <s v="22762 Katzman Street"/>
    <x v="64"/>
    <x v="1"/>
    <x v="200"/>
    <n v="39"/>
    <x v="3"/>
    <x v="4"/>
    <n v="1478"/>
    <n v="152.90933694181325"/>
    <s v="Low"/>
  </r>
  <r>
    <s v="31723 Stricker"/>
    <x v="61"/>
    <x v="1"/>
    <x v="200"/>
    <n v="104"/>
    <x v="2"/>
    <x v="3"/>
    <n v="1132"/>
    <n v="199.64664310954063"/>
    <s v="Low"/>
  </r>
  <r>
    <s v="20801 VALERA Street"/>
    <x v="67"/>
    <x v="1"/>
    <x v="202"/>
    <n v="11"/>
    <x v="2"/>
    <x v="1"/>
    <n v="1089"/>
    <n v="208.44811753902664"/>
    <s v="Medium"/>
  </r>
  <r>
    <s v="35169 Simon"/>
    <x v="64"/>
    <x v="1"/>
    <x v="202"/>
    <n v="26"/>
    <x v="2"/>
    <x v="3"/>
    <n v="925"/>
    <n v="245.40540540540542"/>
    <s v="Medium"/>
  </r>
  <r>
    <s v="26349 WOODLAND Drive"/>
    <x v="69"/>
    <x v="1"/>
    <x v="202"/>
    <n v="7"/>
    <x v="2"/>
    <x v="2"/>
    <n v="1478"/>
    <n v="153.58592692828145"/>
    <s v="Low"/>
  </r>
  <r>
    <s v="27435 NORMA Drive"/>
    <x v="61"/>
    <x v="1"/>
    <x v="202"/>
    <n v="15"/>
    <x v="2"/>
    <x v="9"/>
    <n v="1781"/>
    <n v="127.4564851207187"/>
    <s v="Low"/>
  </r>
  <r>
    <s v="27340 MARILYN Drive"/>
    <x v="61"/>
    <x v="1"/>
    <x v="203"/>
    <n v="22"/>
    <x v="2"/>
    <x v="3"/>
    <n v="1404"/>
    <n v="162.03703703703704"/>
    <s v="Low"/>
  </r>
  <r>
    <s v="21140 DANBURY Street"/>
    <x v="64"/>
    <x v="1"/>
    <x v="203"/>
    <n v="51"/>
    <x v="2"/>
    <x v="1"/>
    <n v="1014"/>
    <n v="224.35897435897436"/>
    <s v="Medium"/>
  </r>
  <r>
    <s v="16751 CURTIS Street"/>
    <x v="60"/>
    <x v="1"/>
    <x v="203"/>
    <n v="6"/>
    <x v="2"/>
    <x v="5"/>
    <n v="1556"/>
    <n v="146.20822622107968"/>
    <s v="Low"/>
  </r>
  <r>
    <s v="24485 Greenbrier"/>
    <x v="63"/>
    <x v="1"/>
    <x v="206"/>
    <n v="62"/>
    <x v="2"/>
    <x v="3"/>
    <n v="1396"/>
    <n v="163.32378223495701"/>
    <s v="Low"/>
  </r>
  <r>
    <s v="21929 Trombly"/>
    <x v="67"/>
    <x v="1"/>
    <x v="988"/>
    <n v="6"/>
    <x v="0"/>
    <x v="3"/>
    <n v="1258"/>
    <n v="182.43243243243242"/>
    <s v="Low"/>
  </r>
  <r>
    <s v="21605 Trombly"/>
    <x v="67"/>
    <x v="1"/>
    <x v="989"/>
    <n v="7"/>
    <x v="2"/>
    <x v="1"/>
    <n v="1100"/>
    <n v="209"/>
    <s v="Medium"/>
  </r>
  <r>
    <s v="31373 Roan"/>
    <x v="61"/>
    <x v="1"/>
    <x v="207"/>
    <n v="11"/>
    <x v="2"/>
    <x v="3"/>
    <n v="1055"/>
    <n v="218.00947867298578"/>
    <s v="Medium"/>
  </r>
  <r>
    <s v="22640 CAROLINA Street"/>
    <x v="67"/>
    <x v="1"/>
    <x v="207"/>
    <n v="5"/>
    <x v="2"/>
    <x v="1"/>
    <n v="931"/>
    <n v="247.04618689581096"/>
    <s v="Medium"/>
  </r>
  <r>
    <s v="32201 EXETER Drive"/>
    <x v="61"/>
    <x v="1"/>
    <x v="207"/>
    <n v="3"/>
    <x v="2"/>
    <x v="1"/>
    <n v="1100"/>
    <n v="209.09090909090909"/>
    <s v="Medium"/>
  </r>
  <r>
    <s v="8426 VIRGINIA Park"/>
    <x v="68"/>
    <x v="1"/>
    <x v="207"/>
    <n v="28"/>
    <x v="0"/>
    <x v="5"/>
    <n v="1774"/>
    <n v="129.65050732807217"/>
    <s v="Low"/>
  </r>
  <r>
    <s v="21586 Wendell"/>
    <x v="64"/>
    <x v="1"/>
    <x v="207"/>
    <n v="1"/>
    <x v="2"/>
    <x v="2"/>
    <n v="1289"/>
    <n v="178.43289371605897"/>
    <s v="Low"/>
  </r>
  <r>
    <s v="31005 REGAL Drive"/>
    <x v="61"/>
    <x v="1"/>
    <x v="207"/>
    <n v="12"/>
    <x v="2"/>
    <x v="3"/>
    <n v="1332"/>
    <n v="172.67267267267266"/>
    <s v="Low"/>
  </r>
  <r>
    <s v="21524 Centennial"/>
    <x v="67"/>
    <x v="1"/>
    <x v="207"/>
    <n v="11"/>
    <x v="2"/>
    <x v="3"/>
    <n v="1223"/>
    <n v="188.06214227309894"/>
    <s v="Low"/>
  </r>
  <r>
    <s v="36258 LEDGESTONE Street"/>
    <x v="64"/>
    <x v="1"/>
    <x v="207"/>
    <n v="4"/>
    <x v="2"/>
    <x v="3"/>
    <n v="1075"/>
    <n v="213.95348837209303"/>
    <s v="Medium"/>
  </r>
  <r>
    <s v="25730 URSULINE Street"/>
    <x v="67"/>
    <x v="1"/>
    <x v="207"/>
    <n v="11"/>
    <x v="2"/>
    <x v="1"/>
    <n v="1060"/>
    <n v="216.98113207547169"/>
    <s v="Medium"/>
  </r>
  <r>
    <s v="24616 CULVER Street"/>
    <x v="67"/>
    <x v="1"/>
    <x v="207"/>
    <n v="8"/>
    <x v="2"/>
    <x v="3"/>
    <n v="1057"/>
    <n v="217.59697256385999"/>
    <s v="Medium"/>
  </r>
  <r>
    <s v="22501 ALGER Street"/>
    <x v="67"/>
    <x v="1"/>
    <x v="207"/>
    <n v="21"/>
    <x v="2"/>
    <x v="1"/>
    <n v="1069"/>
    <n v="215.15434985968196"/>
    <s v="Medium"/>
  </r>
  <r>
    <s v="23400 Grove"/>
    <x v="67"/>
    <x v="1"/>
    <x v="207"/>
    <n v="34"/>
    <x v="2"/>
    <x v="3"/>
    <n v="937"/>
    <n v="245.46424759871931"/>
    <s v="Medium"/>
  </r>
  <r>
    <s v="34072 LITTLE MACK Avenue"/>
    <x v="64"/>
    <x v="1"/>
    <x v="207"/>
    <n v="11"/>
    <x v="2"/>
    <x v="3"/>
    <n v="1353"/>
    <n v="169.99260901699927"/>
    <s v="Low"/>
  </r>
  <r>
    <s v="22419 Fresard"/>
    <x v="67"/>
    <x v="1"/>
    <x v="207"/>
    <n v="7"/>
    <x v="2"/>
    <x v="3"/>
    <n v="1370"/>
    <n v="167.88321167883211"/>
    <s v="Low"/>
  </r>
  <r>
    <s v="27124 Ursuline"/>
    <x v="67"/>
    <x v="1"/>
    <x v="207"/>
    <n v="14"/>
    <x v="2"/>
    <x v="3"/>
    <n v="1000"/>
    <n v="230"/>
    <s v="Medium"/>
  </r>
  <r>
    <s v="28312 GROBBEL Avenue"/>
    <x v="61"/>
    <x v="1"/>
    <x v="207"/>
    <n v="50"/>
    <x v="0"/>
    <x v="3"/>
    <n v="1347"/>
    <n v="170.74981440237565"/>
    <s v="Low"/>
  </r>
  <r>
    <s v="27118 PLEASANT Drive"/>
    <x v="61"/>
    <x v="1"/>
    <x v="207"/>
    <n v="481"/>
    <x v="2"/>
    <x v="2"/>
    <n v="1109"/>
    <n v="207.39404869251578"/>
    <s v="Medium"/>
  </r>
  <r>
    <s v="47324 ROLAND Street"/>
    <x v="72"/>
    <x v="1"/>
    <x v="207"/>
    <n v="42"/>
    <x v="2"/>
    <x v="2"/>
    <n v="1732"/>
    <n v="132.79445727482678"/>
    <s v="Low"/>
  </r>
  <r>
    <s v="8106 SAN MARCO Boulevard"/>
    <x v="66"/>
    <x v="1"/>
    <x v="207"/>
    <n v="94"/>
    <x v="2"/>
    <x v="2"/>
    <n v="1452"/>
    <n v="158.40220385674931"/>
    <s v="Low"/>
  </r>
  <r>
    <s v="24060 Dan"/>
    <x v="64"/>
    <x v="1"/>
    <x v="207"/>
    <n v="75"/>
    <x v="0"/>
    <x v="2"/>
    <n v="1475"/>
    <n v="155.93220338983051"/>
    <s v="Low"/>
  </r>
  <r>
    <s v="23306 Glenbrook Street"/>
    <x v="67"/>
    <x v="1"/>
    <x v="208"/>
    <n v="41"/>
    <x v="2"/>
    <x v="1"/>
    <n v="1287"/>
    <n v="179.48717948717947"/>
    <s v="Low"/>
  </r>
  <r>
    <s v="28471 AUDREY Avenue"/>
    <x v="61"/>
    <x v="1"/>
    <x v="213"/>
    <n v="90"/>
    <x v="2"/>
    <x v="1"/>
    <n v="919"/>
    <n v="253.53645266594123"/>
    <s v="Medium"/>
  </r>
  <r>
    <s v="18048 Elizabeth Street"/>
    <x v="60"/>
    <x v="1"/>
    <x v="214"/>
    <n v="2"/>
    <x v="0"/>
    <x v="5"/>
    <n v="1500"/>
    <n v="156.6"/>
    <s v="Low"/>
  </r>
  <r>
    <s v="47361  Barbara Road"/>
    <x v="59"/>
    <x v="1"/>
    <x v="215"/>
    <n v="0"/>
    <x v="2"/>
    <x v="5"/>
    <n v="1545"/>
    <n v="152.10355987055016"/>
    <s v="Low"/>
  </r>
  <r>
    <s v="19717 California"/>
    <x v="67"/>
    <x v="1"/>
    <x v="215"/>
    <n v="4"/>
    <x v="2"/>
    <x v="2"/>
    <n v="1000"/>
    <n v="235"/>
    <s v="Medium"/>
  </r>
  <r>
    <s v="5377 CASMERE Avenue"/>
    <x v="61"/>
    <x v="1"/>
    <x v="215"/>
    <n v="3"/>
    <x v="2"/>
    <x v="5"/>
    <n v="1160"/>
    <n v="202.58620689655172"/>
    <s v="Medium"/>
  </r>
  <r>
    <s v="42444 Greenbrier Lane"/>
    <x v="64"/>
    <x v="1"/>
    <x v="215"/>
    <n v="5"/>
    <x v="2"/>
    <x v="1"/>
    <n v="1036"/>
    <n v="226.83397683397683"/>
    <s v="Medium"/>
  </r>
  <r>
    <s v="26840 Merideth"/>
    <x v="61"/>
    <x v="1"/>
    <x v="215"/>
    <n v="4"/>
    <x v="2"/>
    <x v="3"/>
    <n v="1145"/>
    <n v="205.24017467248908"/>
    <s v="Medium"/>
  </r>
  <r>
    <s v="36023 WEIDEMAN Street"/>
    <x v="64"/>
    <x v="1"/>
    <x v="215"/>
    <n v="1"/>
    <x v="2"/>
    <x v="3"/>
    <n v="1505"/>
    <n v="156.14617940199335"/>
    <s v="Low"/>
  </r>
  <r>
    <s v="25515 Taylor"/>
    <x v="61"/>
    <x v="1"/>
    <x v="215"/>
    <n v="12"/>
    <x v="2"/>
    <x v="3"/>
    <n v="1308"/>
    <n v="179.66360856269114"/>
    <s v="Low"/>
  </r>
  <r>
    <s v="45473 Fielding Street"/>
    <x v="59"/>
    <x v="1"/>
    <x v="215"/>
    <n v="20"/>
    <x v="2"/>
    <x v="3"/>
    <n v="1527"/>
    <n v="153.8965291421087"/>
    <s v="Low"/>
  </r>
  <r>
    <s v="11023 Lillian"/>
    <x v="61"/>
    <x v="1"/>
    <x v="215"/>
    <n v="12"/>
    <x v="2"/>
    <x v="5"/>
    <n v="1249"/>
    <n v="188.15052041633308"/>
    <s v="Low"/>
  </r>
  <r>
    <s v="55217 Hayes"/>
    <x v="72"/>
    <x v="1"/>
    <x v="215"/>
    <n v="14"/>
    <x v="2"/>
    <x v="1"/>
    <n v="906"/>
    <n v="259.38189845474614"/>
    <s v="Medium"/>
  </r>
  <r>
    <s v="36440 Weideman Street"/>
    <x v="64"/>
    <x v="1"/>
    <x v="215"/>
    <n v="6"/>
    <x v="2"/>
    <x v="2"/>
    <n v="1505"/>
    <n v="156.14617940199335"/>
    <s v="Low"/>
  </r>
  <r>
    <s v="27728 AUDREY Avenue"/>
    <x v="61"/>
    <x v="1"/>
    <x v="215"/>
    <n v="7"/>
    <x v="2"/>
    <x v="2"/>
    <n v="1340"/>
    <n v="175.37313432835822"/>
    <s v="Low"/>
  </r>
  <r>
    <s v="22819 Recreation"/>
    <x v="67"/>
    <x v="1"/>
    <x v="215"/>
    <n v="8"/>
    <x v="2"/>
    <x v="2"/>
    <n v="1026"/>
    <n v="229.0448343079922"/>
    <s v="Medium"/>
  </r>
  <r>
    <s v="51985 Johns"/>
    <x v="69"/>
    <x v="1"/>
    <x v="215"/>
    <n v="19"/>
    <x v="2"/>
    <x v="5"/>
    <n v="1737"/>
    <n v="135.29073114565344"/>
    <s v="Low"/>
  </r>
  <r>
    <s v="29229 VAN LAAN Drive"/>
    <x v="61"/>
    <x v="1"/>
    <x v="215"/>
    <n v="17"/>
    <x v="2"/>
    <x v="5"/>
    <n v="1500"/>
    <n v="156.66666666666666"/>
    <s v="Low"/>
  </r>
  <r>
    <s v="32827 Rugby"/>
    <x v="61"/>
    <x v="1"/>
    <x v="215"/>
    <n v="4"/>
    <x v="2"/>
    <x v="3"/>
    <n v="1453"/>
    <n v="161.73434273916035"/>
    <s v="Low"/>
  </r>
  <r>
    <s v="23226 JOY Street"/>
    <x v="67"/>
    <x v="1"/>
    <x v="215"/>
    <n v="2"/>
    <x v="2"/>
    <x v="2"/>
    <n v="1026"/>
    <n v="229.0448343079922"/>
    <s v="Medium"/>
  </r>
  <r>
    <s v="11023 Sunburst"/>
    <x v="61"/>
    <x v="1"/>
    <x v="215"/>
    <n v="32"/>
    <x v="2"/>
    <x v="3"/>
    <n v="1471"/>
    <n v="159.75526852481306"/>
    <s v="Low"/>
  </r>
  <r>
    <s v="21740 Edmunton"/>
    <x v="67"/>
    <x v="1"/>
    <x v="215"/>
    <n v="52"/>
    <x v="2"/>
    <x v="3"/>
    <n v="1143"/>
    <n v="205.59930008748907"/>
    <s v="Medium"/>
  </r>
  <r>
    <s v="25848 GUNSTON Avenue"/>
    <x v="61"/>
    <x v="1"/>
    <x v="215"/>
    <n v="12"/>
    <x v="0"/>
    <x v="10"/>
    <n v="1610"/>
    <n v="145.96273291925465"/>
    <s v="Low"/>
  </r>
  <r>
    <s v="28230 ARMANDA Drive"/>
    <x v="61"/>
    <x v="1"/>
    <x v="215"/>
    <n v="6"/>
    <x v="2"/>
    <x v="3"/>
    <n v="1571"/>
    <n v="149.58625079567156"/>
    <s v="Low"/>
  </r>
  <r>
    <s v="25396 Industrial"/>
    <x v="61"/>
    <x v="1"/>
    <x v="215"/>
    <n v="49"/>
    <x v="2"/>
    <x v="9"/>
    <n v="2189"/>
    <n v="107.35495660118775"/>
    <s v="Low"/>
  </r>
  <r>
    <s v="32500 Birkshire"/>
    <x v="67"/>
    <x v="1"/>
    <x v="215"/>
    <n v="118"/>
    <x v="0"/>
    <x v="3"/>
    <n v="1136"/>
    <n v="206.86619718309859"/>
    <s v="Medium"/>
  </r>
  <r>
    <s v="27056 Thomas Ave"/>
    <x v="61"/>
    <x v="1"/>
    <x v="216"/>
    <n v="2"/>
    <x v="2"/>
    <x v="3"/>
    <n v="1366"/>
    <n v="172.76720351390924"/>
    <s v="Low"/>
  </r>
  <r>
    <s v="23431 Thornton"/>
    <x v="64"/>
    <x v="1"/>
    <x v="216"/>
    <n v="42"/>
    <x v="0"/>
    <x v="5"/>
    <n v="1686"/>
    <n v="139.97627520759193"/>
    <s v="Low"/>
  </r>
  <r>
    <s v="32538 LARKMOOR Street"/>
    <x v="67"/>
    <x v="1"/>
    <x v="990"/>
    <n v="26"/>
    <x v="2"/>
    <x v="3"/>
    <n v="1020"/>
    <n v="231.86274509803923"/>
    <s v="Medium"/>
  </r>
  <r>
    <s v="39545 Detroit"/>
    <x v="75"/>
    <x v="1"/>
    <x v="217"/>
    <n v="3"/>
    <x v="2"/>
    <x v="1"/>
    <n v="1015"/>
    <n v="233.49753694581281"/>
    <s v="Medium"/>
  </r>
  <r>
    <s v="24682 ROSALIND Avenue"/>
    <x v="63"/>
    <x v="1"/>
    <x v="217"/>
    <n v="40"/>
    <x v="2"/>
    <x v="2"/>
    <n v="1350"/>
    <n v="175.55555555555554"/>
    <s v="Low"/>
  </r>
  <r>
    <s v="31804 SAINT MARGARET Street"/>
    <x v="67"/>
    <x v="1"/>
    <x v="217"/>
    <n v="6"/>
    <x v="2"/>
    <x v="2"/>
    <n v="1000"/>
    <n v="237"/>
    <s v="Medium"/>
  </r>
  <r>
    <s v="27311 CRESTWOOD Drive"/>
    <x v="61"/>
    <x v="1"/>
    <x v="217"/>
    <n v="8"/>
    <x v="2"/>
    <x v="9"/>
    <n v="1197"/>
    <n v="197.99498746867167"/>
    <s v="Low"/>
  </r>
  <r>
    <s v="13703 Castle"/>
    <x v="61"/>
    <x v="1"/>
    <x v="991"/>
    <n v="4"/>
    <x v="2"/>
    <x v="5"/>
    <n v="1189"/>
    <n v="199.45332211942809"/>
    <s v="Low"/>
  </r>
  <r>
    <s v="50112 North"/>
    <x v="59"/>
    <x v="1"/>
    <x v="219"/>
    <n v="9"/>
    <x v="2"/>
    <x v="3"/>
    <n v="1255"/>
    <n v="189.6414342629482"/>
    <s v="Low"/>
  </r>
  <r>
    <s v="31562 SLUMBER Lane"/>
    <x v="76"/>
    <x v="1"/>
    <x v="219"/>
    <n v="9"/>
    <x v="3"/>
    <x v="5"/>
    <n v="1852"/>
    <n v="128.50971922246219"/>
    <s v="Low"/>
  </r>
  <r>
    <s v="11171 IRVINGTON Drive"/>
    <x v="61"/>
    <x v="1"/>
    <x v="219"/>
    <n v="47"/>
    <x v="2"/>
    <x v="3"/>
    <n v="1205"/>
    <n v="197.51037344398341"/>
    <s v="Low"/>
  </r>
  <r>
    <s v="23191 Torrey"/>
    <x v="81"/>
    <x v="1"/>
    <x v="219"/>
    <n v="63"/>
    <x v="1"/>
    <x v="1"/>
    <n v="1218"/>
    <n v="195.40229885057471"/>
    <s v="Low"/>
  </r>
  <r>
    <s v="28341 Palm Beach"/>
    <x v="61"/>
    <x v="1"/>
    <x v="992"/>
    <n v="15"/>
    <x v="2"/>
    <x v="3"/>
    <n v="1194"/>
    <n v="199.74874371859298"/>
    <s v="Low"/>
  </r>
  <r>
    <s v="23107 Beverly"/>
    <x v="67"/>
    <x v="1"/>
    <x v="220"/>
    <n v="12"/>
    <x v="2"/>
    <x v="3"/>
    <n v="988"/>
    <n v="241.90283400809716"/>
    <s v="Medium"/>
  </r>
  <r>
    <s v="19918 Chalon"/>
    <x v="67"/>
    <x v="1"/>
    <x v="220"/>
    <n v="30"/>
    <x v="2"/>
    <x v="1"/>
    <n v="1252"/>
    <n v="190.89456869009584"/>
    <s v="Low"/>
  </r>
  <r>
    <s v="22944 GAUKLER Street"/>
    <x v="67"/>
    <x v="1"/>
    <x v="220"/>
    <n v="128"/>
    <x v="2"/>
    <x v="5"/>
    <n v="1291"/>
    <n v="185.12780790085205"/>
    <s v="Low"/>
  </r>
  <r>
    <s v="39517 BALBOA Drive"/>
    <x v="66"/>
    <x v="1"/>
    <x v="221"/>
    <n v="2"/>
    <x v="2"/>
    <x v="3"/>
    <n v="968"/>
    <n v="247.8305785123967"/>
    <s v="Medium"/>
  </r>
  <r>
    <s v="4759 Hayman"/>
    <x v="61"/>
    <x v="1"/>
    <x v="221"/>
    <n v="4"/>
    <x v="2"/>
    <x v="3"/>
    <n v="1008"/>
    <n v="237.99603174603175"/>
    <s v="Medium"/>
  </r>
  <r>
    <s v="28376 PALM BEACH Drive"/>
    <x v="61"/>
    <x v="1"/>
    <x v="221"/>
    <n v="52"/>
    <x v="2"/>
    <x v="3"/>
    <n v="1210"/>
    <n v="198.26446280991735"/>
    <s v="Low"/>
  </r>
  <r>
    <s v="23398 Linne"/>
    <x v="64"/>
    <x v="1"/>
    <x v="221"/>
    <n v="4"/>
    <x v="2"/>
    <x v="2"/>
    <n v="972"/>
    <n v="246.81069958847738"/>
    <s v="Medium"/>
  </r>
  <r>
    <s v="58954 Main"/>
    <x v="71"/>
    <x v="1"/>
    <x v="222"/>
    <n v="8"/>
    <x v="2"/>
    <x v="2"/>
    <n v="2071"/>
    <n v="115.88604538870111"/>
    <s v="Low"/>
  </r>
  <r>
    <s v="20212 FRAZHO Street"/>
    <x v="67"/>
    <x v="1"/>
    <x v="222"/>
    <n v="4"/>
    <x v="2"/>
    <x v="1"/>
    <n v="1276"/>
    <n v="188.08777429467085"/>
    <s v="Low"/>
  </r>
  <r>
    <s v="291 Jones"/>
    <x v="62"/>
    <x v="1"/>
    <x v="222"/>
    <n v="11"/>
    <x v="0"/>
    <x v="2"/>
    <n v="1858"/>
    <n v="129.17115177610333"/>
    <s v="Low"/>
  </r>
  <r>
    <s v="28131 ELMDALE Street"/>
    <x v="67"/>
    <x v="1"/>
    <x v="222"/>
    <n v="5"/>
    <x v="2"/>
    <x v="2"/>
    <n v="1066"/>
    <n v="225.14071294559099"/>
    <s v="Medium"/>
  </r>
  <r>
    <s v="31329 Pinto"/>
    <x v="61"/>
    <x v="1"/>
    <x v="222"/>
    <n v="6"/>
    <x v="2"/>
    <x v="2"/>
    <n v="1055"/>
    <n v="227.48815165876778"/>
    <s v="Medium"/>
  </r>
  <r>
    <s v="4712  Lutz  Drive"/>
    <x v="61"/>
    <x v="1"/>
    <x v="222"/>
    <n v="3"/>
    <x v="2"/>
    <x v="3"/>
    <n v="1080"/>
    <n v="222.22222222222223"/>
    <s v="Medium"/>
  </r>
  <r>
    <s v="2147  Parliament  Drive"/>
    <x v="66"/>
    <x v="1"/>
    <x v="222"/>
    <n v="5"/>
    <x v="2"/>
    <x v="2"/>
    <n v="950"/>
    <n v="252.63157894736841"/>
    <s v="Medium"/>
  </r>
  <r>
    <s v="22246 Virginia"/>
    <x v="63"/>
    <x v="1"/>
    <x v="222"/>
    <n v="64"/>
    <x v="0"/>
    <x v="5"/>
    <n v="2316"/>
    <n v="103.62694300518135"/>
    <s v="Low"/>
  </r>
  <r>
    <s v="29268 ROAN Drive"/>
    <x v="61"/>
    <x v="1"/>
    <x v="222"/>
    <n v="33"/>
    <x v="2"/>
    <x v="3"/>
    <n v="1091"/>
    <n v="219.98166819431714"/>
    <s v="Medium"/>
  </r>
  <r>
    <s v="50710 PEGGY Lane"/>
    <x v="69"/>
    <x v="1"/>
    <x v="222"/>
    <n v="58"/>
    <x v="2"/>
    <x v="3"/>
    <n v="1555"/>
    <n v="154.34083601286173"/>
    <s v="Low"/>
  </r>
  <r>
    <s v="19169 Hazelwood"/>
    <x v="60"/>
    <x v="1"/>
    <x v="222"/>
    <n v="33"/>
    <x v="2"/>
    <x v="3"/>
    <n v="1533"/>
    <n v="156.55577299412917"/>
    <s v="Low"/>
  </r>
  <r>
    <s v="8826 RHODE Drive"/>
    <x v="72"/>
    <x v="1"/>
    <x v="222"/>
    <n v="52"/>
    <x v="1"/>
    <x v="1"/>
    <n v="1117"/>
    <n v="214.86123545210384"/>
    <s v="Medium"/>
  </r>
  <r>
    <s v="8515 FRANCINE Street"/>
    <x v="61"/>
    <x v="1"/>
    <x v="222"/>
    <n v="11"/>
    <x v="2"/>
    <x v="3"/>
    <n v="1157"/>
    <n v="207.43301642178048"/>
    <s v="Medium"/>
  </r>
  <r>
    <s v="26218 GROBBEL Avenue"/>
    <x v="61"/>
    <x v="1"/>
    <x v="222"/>
    <n v="85"/>
    <x v="2"/>
    <x v="3"/>
    <n v="1231"/>
    <n v="194.96344435418359"/>
    <s v="Low"/>
  </r>
  <r>
    <s v="12463 Clinton River Road"/>
    <x v="66"/>
    <x v="1"/>
    <x v="222"/>
    <n v="128"/>
    <x v="2"/>
    <x v="2"/>
    <n v="912"/>
    <n v="263.15789473684208"/>
    <s v="Medium"/>
  </r>
  <r>
    <s v="4750 E 14 MILE Road"/>
    <x v="61"/>
    <x v="1"/>
    <x v="222"/>
    <n v="100"/>
    <x v="0"/>
    <x v="3"/>
    <n v="1476"/>
    <n v="162.60162601626016"/>
    <s v="Low"/>
  </r>
  <r>
    <s v="28230 NEWPORT Drive"/>
    <x v="61"/>
    <x v="1"/>
    <x v="222"/>
    <n v="170"/>
    <x v="2"/>
    <x v="3"/>
    <n v="926"/>
    <n v="259.17926565874728"/>
    <s v="Medium"/>
  </r>
  <r>
    <s v="16810 Tremlett"/>
    <x v="64"/>
    <x v="1"/>
    <x v="223"/>
    <n v="4"/>
    <x v="2"/>
    <x v="3"/>
    <n v="1428"/>
    <n v="169.46778711484595"/>
    <s v="Low"/>
  </r>
  <r>
    <s v="43149 FORTNER Drive"/>
    <x v="66"/>
    <x v="1"/>
    <x v="223"/>
    <n v="5"/>
    <x v="2"/>
    <x v="1"/>
    <n v="950"/>
    <n v="254.73684210526315"/>
    <s v="Medium"/>
  </r>
  <r>
    <s v="36108 WEBER Drive"/>
    <x v="66"/>
    <x v="1"/>
    <x v="224"/>
    <n v="22"/>
    <x v="2"/>
    <x v="3"/>
    <n v="1436"/>
    <n v="168.87186629526462"/>
    <s v="Low"/>
  </r>
  <r>
    <s v="22245 RAYMOND Street"/>
    <x v="67"/>
    <x v="1"/>
    <x v="225"/>
    <n v="59"/>
    <x v="1"/>
    <x v="1"/>
    <n v="1268"/>
    <n v="191.64037854889591"/>
    <s v="Low"/>
  </r>
  <r>
    <s v="28339 HOLLYWOOD Street"/>
    <x v="60"/>
    <x v="1"/>
    <x v="993"/>
    <n v="14"/>
    <x v="0"/>
    <x v="5"/>
    <n v="1504"/>
    <n v="162.5"/>
    <s v="Low"/>
  </r>
  <r>
    <s v="19262 SHADOWOODS"/>
    <x v="60"/>
    <x v="1"/>
    <x v="228"/>
    <n v="8"/>
    <x v="2"/>
    <x v="3"/>
    <n v="1381"/>
    <n v="177.33526430123098"/>
    <s v="Low"/>
  </r>
  <r>
    <s v="31272 SHARE Street"/>
    <x v="67"/>
    <x v="1"/>
    <x v="229"/>
    <n v="6"/>
    <x v="2"/>
    <x v="2"/>
    <n v="979"/>
    <n v="250.25536261491317"/>
    <s v="Medium"/>
  </r>
  <r>
    <s v="27241 Crestwood"/>
    <x v="61"/>
    <x v="1"/>
    <x v="229"/>
    <n v="18"/>
    <x v="2"/>
    <x v="3"/>
    <n v="1200"/>
    <n v="204.16666666666666"/>
    <s v="Medium"/>
  </r>
  <r>
    <s v="51053 Nardone Avenue"/>
    <x v="72"/>
    <x v="1"/>
    <x v="229"/>
    <n v="6"/>
    <x v="7"/>
    <x v="6"/>
    <n v="1142"/>
    <n v="214.53590192644484"/>
    <s v="Medium"/>
  </r>
  <r>
    <s v="33810 Nokomis"/>
    <x v="76"/>
    <x v="1"/>
    <x v="229"/>
    <n v="15"/>
    <x v="2"/>
    <x v="3"/>
    <n v="1390"/>
    <n v="176.25899280575538"/>
    <s v="Low"/>
  </r>
  <r>
    <s v="50710 Cedargrove"/>
    <x v="72"/>
    <x v="1"/>
    <x v="229"/>
    <n v="3"/>
    <x v="2"/>
    <x v="1"/>
    <n v="1100"/>
    <n v="222.72727272727272"/>
    <s v="Medium"/>
  </r>
  <r>
    <s v="31146 REGAL Drive"/>
    <x v="61"/>
    <x v="1"/>
    <x v="229"/>
    <n v="8"/>
    <x v="2"/>
    <x v="3"/>
    <n v="1270"/>
    <n v="192.91338582677164"/>
    <s v="Low"/>
  </r>
  <r>
    <s v="29289 MERRICK Avenue"/>
    <x v="61"/>
    <x v="1"/>
    <x v="229"/>
    <n v="3"/>
    <x v="2"/>
    <x v="3"/>
    <n v="1312"/>
    <n v="186.73780487804879"/>
    <s v="Low"/>
  </r>
  <r>
    <s v="20100 Sunnyside"/>
    <x v="67"/>
    <x v="1"/>
    <x v="229"/>
    <n v="27"/>
    <x v="2"/>
    <x v="3"/>
    <n v="1487"/>
    <n v="164.76126429051783"/>
    <s v="Low"/>
  </r>
  <r>
    <s v="21236 MASONIC Boulevard"/>
    <x v="67"/>
    <x v="1"/>
    <x v="229"/>
    <n v="81"/>
    <x v="2"/>
    <x v="3"/>
    <n v="1003"/>
    <n v="244.26719840478563"/>
    <s v="Medium"/>
  </r>
  <r>
    <s v="18154 Davidson"/>
    <x v="76"/>
    <x v="1"/>
    <x v="229"/>
    <n v="19"/>
    <x v="2"/>
    <x v="2"/>
    <n v="1450"/>
    <n v="168.9655172413793"/>
    <s v="Low"/>
  </r>
  <r>
    <s v="28676 Adler"/>
    <x v="61"/>
    <x v="1"/>
    <x v="229"/>
    <n v="16"/>
    <x v="2"/>
    <x v="3"/>
    <n v="1184"/>
    <n v="206.92567567567568"/>
    <s v="Medium"/>
  </r>
  <r>
    <s v="18190 Juliana Avenue"/>
    <x v="63"/>
    <x v="1"/>
    <x v="235"/>
    <n v="35"/>
    <x v="0"/>
    <x v="10"/>
    <n v="794"/>
    <n v="310.95717884130983"/>
    <s v="High"/>
  </r>
  <r>
    <s v="10938 Lesure"/>
    <x v="66"/>
    <x v="1"/>
    <x v="236"/>
    <n v="32"/>
    <x v="2"/>
    <x v="3"/>
    <n v="1000"/>
    <n v="247"/>
    <s v="Medium"/>
  </r>
  <r>
    <s v="8745 LOZEN Drive"/>
    <x v="66"/>
    <x v="1"/>
    <x v="236"/>
    <n v="3"/>
    <x v="2"/>
    <x v="2"/>
    <n v="1035"/>
    <n v="238.64734299516908"/>
    <s v="Medium"/>
  </r>
  <r>
    <s v="16405 Collinson Avenue"/>
    <x v="63"/>
    <x v="1"/>
    <x v="237"/>
    <n v="8"/>
    <x v="7"/>
    <x v="6"/>
    <n v="900"/>
    <n v="275"/>
    <s v="Medium"/>
  </r>
  <r>
    <s v="11788 31 Mile"/>
    <x v="78"/>
    <x v="1"/>
    <x v="237"/>
    <n v="4"/>
    <x v="1"/>
    <x v="3"/>
    <n v="1498"/>
    <n v="165.22029372496661"/>
    <s v="Low"/>
  </r>
  <r>
    <s v="22603 Madison"/>
    <x v="67"/>
    <x v="1"/>
    <x v="238"/>
    <n v="3"/>
    <x v="1"/>
    <x v="1"/>
    <n v="1416"/>
    <n v="175.14124293785312"/>
    <s v="Low"/>
  </r>
  <r>
    <s v="20 MACK Street"/>
    <x v="62"/>
    <x v="1"/>
    <x v="238"/>
    <n v="13"/>
    <x v="2"/>
    <x v="2"/>
    <n v="1768"/>
    <n v="140.2714932126697"/>
    <s v="Low"/>
  </r>
  <r>
    <s v="27079 Broadmoor"/>
    <x v="61"/>
    <x v="1"/>
    <x v="238"/>
    <n v="18"/>
    <x v="2"/>
    <x v="2"/>
    <n v="1424"/>
    <n v="174.15730337078651"/>
    <s v="Low"/>
  </r>
  <r>
    <s v="23444 Playview"/>
    <x v="67"/>
    <x v="1"/>
    <x v="239"/>
    <n v="5"/>
    <x v="2"/>
    <x v="1"/>
    <n v="1007"/>
    <n v="247.26911618669314"/>
    <s v="Medium"/>
  </r>
  <r>
    <s v="23139 Deziel"/>
    <x v="67"/>
    <x v="1"/>
    <x v="239"/>
    <n v="25"/>
    <x v="2"/>
    <x v="2"/>
    <n v="992"/>
    <n v="251.00806451612902"/>
    <s v="Medium"/>
  </r>
  <r>
    <s v="27249 Jo Ellen"/>
    <x v="69"/>
    <x v="1"/>
    <x v="994"/>
    <n v="7"/>
    <x v="2"/>
    <x v="3"/>
    <n v="1215"/>
    <n v="205.3909465020576"/>
    <s v="Medium"/>
  </r>
  <r>
    <s v="20701 26 Mile Rd. Road"/>
    <x v="79"/>
    <x v="1"/>
    <x v="0"/>
    <n v="40"/>
    <x v="2"/>
    <x v="2"/>
    <n v="1638"/>
    <n v="152.56410256410257"/>
    <s v="Low"/>
  </r>
  <r>
    <s v="22000 Centennial Street"/>
    <x v="67"/>
    <x v="1"/>
    <x v="240"/>
    <n v="4"/>
    <x v="2"/>
    <x v="3"/>
    <n v="1226"/>
    <n v="203.91517128874389"/>
    <s v="Medium"/>
  </r>
  <r>
    <s v="42123 Mac Rae"/>
    <x v="66"/>
    <x v="1"/>
    <x v="240"/>
    <n v="6"/>
    <x v="2"/>
    <x v="3"/>
    <n v="1250"/>
    <n v="200"/>
    <s v="Low"/>
  </r>
  <r>
    <s v="165 NORTH Avenue"/>
    <x v="62"/>
    <x v="1"/>
    <x v="240"/>
    <n v="2"/>
    <x v="6"/>
    <x v="5"/>
    <n v="2544"/>
    <n v="98.270440251572325"/>
    <s v="Low"/>
  </r>
  <r>
    <s v="33596 FARMVIEW Lane"/>
    <x v="76"/>
    <x v="1"/>
    <x v="240"/>
    <n v="3"/>
    <x v="0"/>
    <x v="5"/>
    <n v="2376"/>
    <n v="105.21885521885523"/>
    <s v="Low"/>
  </r>
  <r>
    <s v="23400 Jefferson"/>
    <x v="67"/>
    <x v="1"/>
    <x v="240"/>
    <n v="15"/>
    <x v="2"/>
    <x v="3"/>
    <n v="1160"/>
    <n v="215.51724137931035"/>
    <s v="Medium"/>
  </r>
  <r>
    <s v="11478 SILVER Drive"/>
    <x v="66"/>
    <x v="1"/>
    <x v="240"/>
    <n v="2"/>
    <x v="2"/>
    <x v="1"/>
    <n v="1200"/>
    <n v="208.33333333333334"/>
    <s v="Medium"/>
  </r>
  <r>
    <s v="27514 Liberty Drive"/>
    <x v="61"/>
    <x v="1"/>
    <x v="240"/>
    <n v="2"/>
    <x v="2"/>
    <x v="3"/>
    <n v="1122"/>
    <n v="222.81639928698752"/>
    <s v="Medium"/>
  </r>
  <r>
    <s v="24055 MANILA Street"/>
    <x v="64"/>
    <x v="1"/>
    <x v="240"/>
    <n v="3"/>
    <x v="0"/>
    <x v="3"/>
    <n v="1490"/>
    <n v="167.78523489932886"/>
    <s v="Low"/>
  </r>
  <r>
    <s v="40443 Lafayette"/>
    <x v="66"/>
    <x v="1"/>
    <x v="240"/>
    <n v="42"/>
    <x v="2"/>
    <x v="3"/>
    <n v="961"/>
    <n v="260.14568158168572"/>
    <s v="Medium"/>
  </r>
  <r>
    <s v="59319 Amherst Avenue"/>
    <x v="71"/>
    <x v="1"/>
    <x v="240"/>
    <n v="0"/>
    <x v="2"/>
    <x v="5"/>
    <n v="1342"/>
    <n v="186.28912071535024"/>
    <s v="Low"/>
  </r>
  <r>
    <s v="53039 Dryden"/>
    <x v="72"/>
    <x v="1"/>
    <x v="240"/>
    <n v="3"/>
    <x v="2"/>
    <x v="3"/>
    <n v="1185"/>
    <n v="210.9704641350211"/>
    <s v="Medium"/>
  </r>
  <r>
    <s v="37653 BADGER Drive"/>
    <x v="66"/>
    <x v="1"/>
    <x v="240"/>
    <n v="21"/>
    <x v="2"/>
    <x v="2"/>
    <n v="1308"/>
    <n v="191.131498470948"/>
    <s v="Low"/>
  </r>
  <r>
    <s v="32603 BEECHWOOD Drive"/>
    <x v="61"/>
    <x v="1"/>
    <x v="240"/>
    <n v="55"/>
    <x v="0"/>
    <x v="3"/>
    <n v="1570"/>
    <n v="159.23566878980893"/>
    <s v="Low"/>
  </r>
  <r>
    <s v="2218 TARRY Drive"/>
    <x v="66"/>
    <x v="1"/>
    <x v="240"/>
    <n v="7"/>
    <x v="2"/>
    <x v="2"/>
    <n v="1100"/>
    <n v="227.27272727272728"/>
    <s v="Medium"/>
  </r>
  <r>
    <s v="48228 Mallard"/>
    <x v="83"/>
    <x v="1"/>
    <x v="240"/>
    <n v="6"/>
    <x v="2"/>
    <x v="3"/>
    <n v="1218"/>
    <n v="205.25451559934319"/>
    <s v="Medium"/>
  </r>
  <r>
    <s v="5238 LINDA Street"/>
    <x v="61"/>
    <x v="1"/>
    <x v="240"/>
    <n v="52"/>
    <x v="2"/>
    <x v="3"/>
    <n v="1450"/>
    <n v="172.41379310344828"/>
    <s v="Low"/>
  </r>
  <r>
    <s v="39101 BAROQUE Boulevard"/>
    <x v="64"/>
    <x v="1"/>
    <x v="240"/>
    <n v="26"/>
    <x v="0"/>
    <x v="3"/>
    <n v="1890"/>
    <n v="132.27513227513228"/>
    <s v="Low"/>
  </r>
  <r>
    <s v="7685 METZ Drive"/>
    <x v="72"/>
    <x v="1"/>
    <x v="240"/>
    <n v="45"/>
    <x v="2"/>
    <x v="3"/>
    <n v="957"/>
    <n v="261.23301985370949"/>
    <s v="Medium"/>
  </r>
  <r>
    <s v="31130 ROAN Drive"/>
    <x v="61"/>
    <x v="1"/>
    <x v="240"/>
    <n v="82"/>
    <x v="0"/>
    <x v="3"/>
    <n v="1256"/>
    <n v="199.04458598726114"/>
    <s v="Low"/>
  </r>
  <r>
    <s v="5473 ARDEN Avenue"/>
    <x v="61"/>
    <x v="1"/>
    <x v="240"/>
    <n v="89"/>
    <x v="0"/>
    <x v="2"/>
    <n v="1630"/>
    <n v="153.37423312883436"/>
    <s v="Low"/>
  </r>
  <r>
    <s v="8452 MARTIN Road"/>
    <x v="61"/>
    <x v="1"/>
    <x v="240"/>
    <n v="44"/>
    <x v="0"/>
    <x v="10"/>
    <n v="1394"/>
    <n v="179.34002869440459"/>
    <s v="Low"/>
  </r>
  <r>
    <s v="34950 TYLER Drive"/>
    <x v="66"/>
    <x v="1"/>
    <x v="240"/>
    <n v="65"/>
    <x v="2"/>
    <x v="2"/>
    <n v="1208"/>
    <n v="206.95364238410596"/>
    <s v="Medium"/>
  </r>
  <r>
    <s v="11200 DIAMOND Drive"/>
    <x v="66"/>
    <x v="1"/>
    <x v="995"/>
    <n v="0"/>
    <x v="2"/>
    <x v="2"/>
    <n v="1253"/>
    <n v="200.71827613727055"/>
    <s v="Medium"/>
  </r>
  <r>
    <s v="20360 29 Mile Rd"/>
    <x v="79"/>
    <x v="1"/>
    <x v="243"/>
    <n v="18"/>
    <x v="0"/>
    <x v="1"/>
    <n v="1517"/>
    <n v="166.11733684904416"/>
    <s v="Low"/>
  </r>
  <r>
    <s v="22495 E 10 MILE Road"/>
    <x v="67"/>
    <x v="1"/>
    <x v="243"/>
    <n v="78"/>
    <x v="2"/>
    <x v="3"/>
    <n v="1382"/>
    <n v="182.34442836468887"/>
    <s v="Low"/>
  </r>
  <r>
    <s v="5617 WESTFALEN Drive"/>
    <x v="72"/>
    <x v="1"/>
    <x v="245"/>
    <n v="5"/>
    <x v="2"/>
    <x v="3"/>
    <n v="1107"/>
    <n v="229.44896115627822"/>
    <s v="Medium"/>
  </r>
  <r>
    <s v="42850 Hanks"/>
    <x v="66"/>
    <x v="1"/>
    <x v="247"/>
    <n v="15"/>
    <x v="2"/>
    <x v="1"/>
    <n v="1189"/>
    <n v="214.46593776282592"/>
    <s v="Medium"/>
  </r>
  <r>
    <s v="27669 CAMPBELL Road"/>
    <x v="61"/>
    <x v="1"/>
    <x v="247"/>
    <n v="3"/>
    <x v="2"/>
    <x v="2"/>
    <n v="1356"/>
    <n v="188.05309734513276"/>
    <s v="Low"/>
  </r>
  <r>
    <s v="32629 Dover Avenue"/>
    <x v="61"/>
    <x v="1"/>
    <x v="247"/>
    <n v="42"/>
    <x v="2"/>
    <x v="3"/>
    <n v="1281"/>
    <n v="199.06323185011709"/>
    <s v="Low"/>
  </r>
  <r>
    <s v="26300 belleair Street"/>
    <x v="60"/>
    <x v="1"/>
    <x v="247"/>
    <n v="0"/>
    <x v="2"/>
    <x v="5"/>
    <n v="1400"/>
    <n v="182.14285714285714"/>
    <s v="Low"/>
  </r>
  <r>
    <s v="14756 E 13 MILE Road"/>
    <x v="61"/>
    <x v="1"/>
    <x v="247"/>
    <n v="8"/>
    <x v="2"/>
    <x v="3"/>
    <n v="1371"/>
    <n v="185.99562363238513"/>
    <s v="Low"/>
  </r>
  <r>
    <s v="58542 Stevens"/>
    <x v="71"/>
    <x v="1"/>
    <x v="247"/>
    <n v="4"/>
    <x v="0"/>
    <x v="3"/>
    <n v="2016"/>
    <n v="126.48809523809524"/>
    <s v="Low"/>
  </r>
  <r>
    <s v="8306 Janis"/>
    <x v="72"/>
    <x v="1"/>
    <x v="247"/>
    <n v="5"/>
    <x v="0"/>
    <x v="2"/>
    <n v="1464"/>
    <n v="174.18032786885246"/>
    <s v="Low"/>
  </r>
  <r>
    <s v="8306 Janis Street"/>
    <x v="72"/>
    <x v="1"/>
    <x v="247"/>
    <n v="5"/>
    <x v="0"/>
    <x v="2"/>
    <n v="1464"/>
    <n v="174.18032786885246"/>
    <s v="Low"/>
  </r>
  <r>
    <s v="13012 Geoffry"/>
    <x v="61"/>
    <x v="1"/>
    <x v="247"/>
    <n v="12"/>
    <x v="2"/>
    <x v="3"/>
    <n v="1505"/>
    <n v="169.43521594684384"/>
    <s v="Low"/>
  </r>
  <r>
    <s v="24828 Manhattan Street"/>
    <x v="67"/>
    <x v="1"/>
    <x v="247"/>
    <n v="3"/>
    <x v="2"/>
    <x v="3"/>
    <n v="1071"/>
    <n v="238.0952380952381"/>
    <s v="Medium"/>
  </r>
  <r>
    <s v="20605 Erben"/>
    <x v="67"/>
    <x v="1"/>
    <x v="247"/>
    <n v="72"/>
    <x v="0"/>
    <x v="3"/>
    <n v="1571"/>
    <n v="162.31699554423935"/>
    <s v="Low"/>
  </r>
  <r>
    <s v="8322 BUSCH"/>
    <x v="68"/>
    <x v="1"/>
    <x v="247"/>
    <n v="7"/>
    <x v="2"/>
    <x v="5"/>
    <n v="1520"/>
    <n v="167.76315789473685"/>
    <s v="Low"/>
  </r>
  <r>
    <s v="28818 Citation"/>
    <x v="60"/>
    <x v="1"/>
    <x v="247"/>
    <n v="39"/>
    <x v="2"/>
    <x v="1"/>
    <n v="1008"/>
    <n v="252.97619047619048"/>
    <s v="Medium"/>
  </r>
  <r>
    <s v="33087 BROWNLEA Drive"/>
    <x v="66"/>
    <x v="1"/>
    <x v="247"/>
    <n v="41"/>
    <x v="2"/>
    <x v="1"/>
    <n v="1437"/>
    <n v="177.45302713987473"/>
    <s v="Low"/>
  </r>
  <r>
    <s v="40964 Flagstaff"/>
    <x v="66"/>
    <x v="1"/>
    <x v="248"/>
    <n v="6"/>
    <x v="2"/>
    <x v="1"/>
    <n v="1216"/>
    <n v="210.52631578947367"/>
    <s v="Medium"/>
  </r>
  <r>
    <s v="45629 CORNWALL Street"/>
    <x v="72"/>
    <x v="1"/>
    <x v="248"/>
    <n v="61"/>
    <x v="2"/>
    <x v="1"/>
    <n v="1090"/>
    <n v="234.86238532110093"/>
    <s v="Medium"/>
  </r>
  <r>
    <s v="31708 Palomino Dr"/>
    <x v="61"/>
    <x v="1"/>
    <x v="251"/>
    <n v="13"/>
    <x v="2"/>
    <x v="3"/>
    <n v="1583"/>
    <n v="162.34996841440304"/>
    <s v="Low"/>
  </r>
  <r>
    <s v="11210 GLENIS Drive"/>
    <x v="66"/>
    <x v="1"/>
    <x v="251"/>
    <n v="5"/>
    <x v="2"/>
    <x v="3"/>
    <n v="1436"/>
    <n v="178.96935933147631"/>
    <s v="Low"/>
  </r>
  <r>
    <s v="22412 Red Maple"/>
    <x v="67"/>
    <x v="1"/>
    <x v="251"/>
    <n v="3"/>
    <x v="2"/>
    <x v="2"/>
    <n v="1519"/>
    <n v="169.19025674786045"/>
    <s v="Low"/>
  </r>
  <r>
    <s v="32677 KNAPP Avenue"/>
    <x v="61"/>
    <x v="1"/>
    <x v="251"/>
    <n v="127"/>
    <x v="2"/>
    <x v="2"/>
    <n v="1200"/>
    <n v="214.16666666666666"/>
    <s v="Medium"/>
  </r>
  <r>
    <s v="8574 Alwardt"/>
    <x v="66"/>
    <x v="1"/>
    <x v="996"/>
    <n v="5"/>
    <x v="2"/>
    <x v="3"/>
    <n v="1059"/>
    <n v="243.62606232294618"/>
    <s v="Medium"/>
  </r>
  <r>
    <s v="20906 Thiele"/>
    <x v="67"/>
    <x v="1"/>
    <x v="996"/>
    <n v="59"/>
    <x v="2"/>
    <x v="3"/>
    <n v="1511"/>
    <n v="170.74784910655194"/>
    <s v="Low"/>
  </r>
  <r>
    <s v="47342 Atwater St Street"/>
    <x v="83"/>
    <x v="1"/>
    <x v="996"/>
    <n v="6"/>
    <x v="2"/>
    <x v="1"/>
    <n v="1215"/>
    <n v="212.34567901234567"/>
    <s v="Medium"/>
  </r>
  <r>
    <s v="32201 WHITLEY Circle"/>
    <x v="61"/>
    <x v="1"/>
    <x v="997"/>
    <n v="15"/>
    <x v="2"/>
    <x v="3"/>
    <n v="1386"/>
    <n v="186.50793650793651"/>
    <s v="Low"/>
  </r>
  <r>
    <s v="4527 LINVILLE Drive"/>
    <x v="61"/>
    <x v="1"/>
    <x v="255"/>
    <n v="45"/>
    <x v="2"/>
    <x v="2"/>
    <n v="1000"/>
    <n v="259.89999999999998"/>
    <s v="Medium"/>
  </r>
  <r>
    <s v="67380 Sisson"/>
    <x v="78"/>
    <x v="1"/>
    <x v="255"/>
    <n v="8"/>
    <x v="1"/>
    <x v="2"/>
    <n v="944"/>
    <n v="275.31779661016947"/>
    <s v="Medium"/>
  </r>
  <r>
    <s v="16028 E 14 MILE Road"/>
    <x v="76"/>
    <x v="1"/>
    <x v="255"/>
    <n v="13"/>
    <x v="0"/>
    <x v="2"/>
    <n v="1478"/>
    <n v="175.84573748308526"/>
    <s v="Low"/>
  </r>
  <r>
    <s v="3836 PALL Drive"/>
    <x v="61"/>
    <x v="1"/>
    <x v="257"/>
    <n v="0"/>
    <x v="2"/>
    <x v="3"/>
    <n v="1572"/>
    <n v="165.39440203562341"/>
    <s v="Low"/>
  </r>
  <r>
    <s v="11721 Robinwood Boulevard"/>
    <x v="61"/>
    <x v="1"/>
    <x v="257"/>
    <n v="10"/>
    <x v="2"/>
    <x v="3"/>
    <n v="1647"/>
    <n v="157.86278081360049"/>
    <s v="Low"/>
  </r>
  <r>
    <s v="32436 SAINT ANNES Drive"/>
    <x v="61"/>
    <x v="1"/>
    <x v="257"/>
    <n v="8"/>
    <x v="2"/>
    <x v="2"/>
    <n v="1032"/>
    <n v="251.93798449612405"/>
    <s v="Medium"/>
  </r>
  <r>
    <s v="8958 SHANNON Drive"/>
    <x v="66"/>
    <x v="1"/>
    <x v="257"/>
    <n v="4"/>
    <x v="2"/>
    <x v="3"/>
    <n v="1240"/>
    <n v="209.67741935483872"/>
    <s v="Medium"/>
  </r>
  <r>
    <s v="41390 LORE Drive"/>
    <x v="64"/>
    <x v="1"/>
    <x v="257"/>
    <n v="7"/>
    <x v="2"/>
    <x v="1"/>
    <n v="1295"/>
    <n v="200.77220077220076"/>
    <s v="Medium"/>
  </r>
  <r>
    <s v="32507 Van Dover"/>
    <x v="67"/>
    <x v="1"/>
    <x v="257"/>
    <n v="17"/>
    <x v="2"/>
    <x v="2"/>
    <n v="1365"/>
    <n v="190.47619047619048"/>
    <s v="Low"/>
  </r>
  <r>
    <s v="31163 MOCERI Circle"/>
    <x v="61"/>
    <x v="1"/>
    <x v="257"/>
    <n v="3"/>
    <x v="2"/>
    <x v="3"/>
    <n v="1449"/>
    <n v="179.43409247757074"/>
    <s v="Low"/>
  </r>
  <r>
    <s v="26290 Belleair Street"/>
    <x v="60"/>
    <x v="1"/>
    <x v="257"/>
    <n v="2"/>
    <x v="2"/>
    <x v="5"/>
    <n v="1400"/>
    <n v="185.71428571428572"/>
    <s v="Low"/>
  </r>
  <r>
    <s v="6119 Waldo"/>
    <x v="66"/>
    <x v="1"/>
    <x v="257"/>
    <n v="19"/>
    <x v="2"/>
    <x v="1"/>
    <n v="1495"/>
    <n v="173.91304347826087"/>
    <s v="Low"/>
  </r>
  <r>
    <s v="46470 HEATHER Lane"/>
    <x v="69"/>
    <x v="1"/>
    <x v="257"/>
    <n v="48"/>
    <x v="0"/>
    <x v="8"/>
    <n v="2052"/>
    <n v="126.7056530214425"/>
    <s v="Low"/>
  </r>
  <r>
    <s v="5063 AMHERST Drive"/>
    <x v="66"/>
    <x v="1"/>
    <x v="257"/>
    <n v="94"/>
    <x v="2"/>
    <x v="5"/>
    <n v="1520"/>
    <n v="171.05263157894737"/>
    <s v="Low"/>
  </r>
  <r>
    <s v="2269 SERRA Drive"/>
    <x v="66"/>
    <x v="1"/>
    <x v="257"/>
    <n v="169"/>
    <x v="0"/>
    <x v="2"/>
    <n v="1920"/>
    <n v="135.41666666666666"/>
    <s v="Low"/>
  </r>
  <r>
    <s v="27845 Dover"/>
    <x v="61"/>
    <x v="1"/>
    <x v="257"/>
    <n v="31"/>
    <x v="2"/>
    <x v="1"/>
    <n v="1124"/>
    <n v="231.3167259786477"/>
    <s v="Medium"/>
  </r>
  <r>
    <s v="3015 ALDEN Drive"/>
    <x v="66"/>
    <x v="1"/>
    <x v="257"/>
    <n v="257"/>
    <x v="2"/>
    <x v="3"/>
    <n v="1595"/>
    <n v="163.00940438871473"/>
    <s v="Low"/>
  </r>
  <r>
    <s v="11096 E 10 MILE Road"/>
    <x v="61"/>
    <x v="1"/>
    <x v="257"/>
    <n v="209"/>
    <x v="2"/>
    <x v="2"/>
    <n v="1250"/>
    <n v="208"/>
    <s v="Medium"/>
  </r>
  <r>
    <s v="31343 Rosenbusch Drive"/>
    <x v="61"/>
    <x v="1"/>
    <x v="259"/>
    <n v="5"/>
    <x v="2"/>
    <x v="3"/>
    <n v="1112"/>
    <n v="234.71223021582733"/>
    <s v="Medium"/>
  </r>
  <r>
    <s v="13203 CAROL Avenue"/>
    <x v="61"/>
    <x v="1"/>
    <x v="259"/>
    <n v="2"/>
    <x v="2"/>
    <x v="3"/>
    <n v="1390"/>
    <n v="187.76978417266187"/>
    <s v="Low"/>
  </r>
  <r>
    <s v="32553 BEECHWOOD Drive"/>
    <x v="61"/>
    <x v="1"/>
    <x v="998"/>
    <n v="55"/>
    <x v="0"/>
    <x v="3"/>
    <n v="1570"/>
    <n v="166.56050955414014"/>
    <s v="Low"/>
  </r>
  <r>
    <s v="30100 Rosebriar"/>
    <x v="67"/>
    <x v="1"/>
    <x v="260"/>
    <n v="8"/>
    <x v="2"/>
    <x v="2"/>
    <n v="1050"/>
    <n v="249.52380952380952"/>
    <s v="Medium"/>
  </r>
  <r>
    <s v="38015 Cherry"/>
    <x v="75"/>
    <x v="1"/>
    <x v="260"/>
    <n v="42"/>
    <x v="2"/>
    <x v="2"/>
    <n v="1400"/>
    <n v="187.14285714285714"/>
    <s v="Low"/>
  </r>
  <r>
    <s v="8395 Crestview"/>
    <x v="66"/>
    <x v="1"/>
    <x v="260"/>
    <n v="17"/>
    <x v="2"/>
    <x v="3"/>
    <n v="1464"/>
    <n v="178.96174863387978"/>
    <s v="Low"/>
  </r>
  <r>
    <s v="2333 Camel Drive"/>
    <x v="66"/>
    <x v="1"/>
    <x v="261"/>
    <n v="10"/>
    <x v="2"/>
    <x v="3"/>
    <n v="1403"/>
    <n v="187.09907341411261"/>
    <s v="Low"/>
  </r>
  <r>
    <s v="12804 LUTZ Avenue"/>
    <x v="61"/>
    <x v="1"/>
    <x v="263"/>
    <n v="3"/>
    <x v="2"/>
    <x v="3"/>
    <n v="1003"/>
    <n v="262.21335992023927"/>
    <s v="Medium"/>
  </r>
  <r>
    <s v="27316 THOMAS Avenue"/>
    <x v="61"/>
    <x v="1"/>
    <x v="999"/>
    <n v="12"/>
    <x v="2"/>
    <x v="3"/>
    <n v="1366"/>
    <n v="193.4480234260615"/>
    <s v="Low"/>
  </r>
  <r>
    <s v="22840 LAKE Boulevard"/>
    <x v="67"/>
    <x v="1"/>
    <x v="1000"/>
    <n v="5"/>
    <x v="2"/>
    <x v="2"/>
    <n v="1531"/>
    <n v="172.92619203135206"/>
    <s v="Low"/>
  </r>
  <r>
    <s v="43677 Vivian"/>
    <x v="66"/>
    <x v="1"/>
    <x v="266"/>
    <n v="9"/>
    <x v="2"/>
    <x v="1"/>
    <n v="1000"/>
    <n v="265"/>
    <s v="Medium"/>
  </r>
  <r>
    <s v="33836 KENNEDY Drive"/>
    <x v="66"/>
    <x v="1"/>
    <x v="266"/>
    <n v="6"/>
    <x v="2"/>
    <x v="3"/>
    <n v="1469"/>
    <n v="180.39482641252553"/>
    <s v="Low"/>
  </r>
  <r>
    <s v="6032 Brynthrop"/>
    <x v="72"/>
    <x v="1"/>
    <x v="266"/>
    <n v="5"/>
    <x v="2"/>
    <x v="3"/>
    <n v="1300"/>
    <n v="203.84615384615384"/>
    <s v="Medium"/>
  </r>
  <r>
    <s v="13225 CLINTON RIVER Road"/>
    <x v="66"/>
    <x v="1"/>
    <x v="266"/>
    <n v="21"/>
    <x v="2"/>
    <x v="2"/>
    <n v="1185"/>
    <n v="223.62869198312237"/>
    <s v="Medium"/>
  </r>
  <r>
    <s v="23030 Dailey"/>
    <x v="59"/>
    <x v="1"/>
    <x v="266"/>
    <n v="18"/>
    <x v="2"/>
    <x v="2"/>
    <n v="1791"/>
    <n v="147.96203238414293"/>
    <s v="Low"/>
  </r>
  <r>
    <s v="8328 ELIZABETH ANN Street"/>
    <x v="72"/>
    <x v="1"/>
    <x v="266"/>
    <n v="4"/>
    <x v="2"/>
    <x v="3"/>
    <n v="1102"/>
    <n v="240.47186932849365"/>
    <s v="Medium"/>
  </r>
  <r>
    <s v="8519 23 MILE Road"/>
    <x v="72"/>
    <x v="1"/>
    <x v="266"/>
    <n v="5"/>
    <x v="2"/>
    <x v="2"/>
    <n v="1329"/>
    <n v="199.39804364183595"/>
    <s v="Low"/>
  </r>
  <r>
    <s v="36958 Maas"/>
    <x v="66"/>
    <x v="1"/>
    <x v="266"/>
    <n v="32"/>
    <x v="2"/>
    <x v="2"/>
    <n v="1706"/>
    <n v="155.33411488862836"/>
    <s v="Low"/>
  </r>
  <r>
    <s v="31418 HARTFORD Drive"/>
    <x v="61"/>
    <x v="1"/>
    <x v="266"/>
    <n v="7"/>
    <x v="2"/>
    <x v="1"/>
    <n v="1131"/>
    <n v="234.30592396109637"/>
    <s v="Medium"/>
  </r>
  <r>
    <s v="8910 HENSLEY Drive"/>
    <x v="66"/>
    <x v="1"/>
    <x v="266"/>
    <n v="6"/>
    <x v="2"/>
    <x v="2"/>
    <n v="1003"/>
    <n v="264.2073778664008"/>
    <s v="Medium"/>
  </r>
  <r>
    <s v="19906 MAUER Street"/>
    <x v="67"/>
    <x v="1"/>
    <x v="266"/>
    <n v="28"/>
    <x v="2"/>
    <x v="2"/>
    <n v="1261"/>
    <n v="210.15067406819983"/>
    <s v="Medium"/>
  </r>
  <r>
    <s v="11338 Judy"/>
    <x v="66"/>
    <x v="1"/>
    <x v="266"/>
    <n v="9"/>
    <x v="2"/>
    <x v="3"/>
    <n v="1541"/>
    <n v="171.96625567813109"/>
    <s v="Low"/>
  </r>
  <r>
    <s v="28333 FLANDERS Avenue"/>
    <x v="61"/>
    <x v="1"/>
    <x v="266"/>
    <n v="11"/>
    <x v="2"/>
    <x v="5"/>
    <n v="1118"/>
    <n v="237.0304114490161"/>
    <s v="Medium"/>
  </r>
  <r>
    <s v="26965 KELSEY Drive"/>
    <x v="61"/>
    <x v="1"/>
    <x v="1001"/>
    <n v="8"/>
    <x v="2"/>
    <x v="10"/>
    <n v="1256"/>
    <n v="212.5796178343949"/>
    <s v="Medium"/>
  </r>
  <r>
    <s v="28446 SUTHERLAND Drive"/>
    <x v="61"/>
    <x v="1"/>
    <x v="1001"/>
    <n v="5"/>
    <x v="2"/>
    <x v="3"/>
    <n v="1315"/>
    <n v="203.04182509505702"/>
    <s v="Medium"/>
  </r>
  <r>
    <s v="13422 DE MOTT Drive"/>
    <x v="61"/>
    <x v="1"/>
    <x v="1001"/>
    <n v="41"/>
    <x v="2"/>
    <x v="3"/>
    <n v="1537"/>
    <n v="173.71502927781393"/>
    <s v="Low"/>
  </r>
  <r>
    <s v="27618 Gilbert Drive"/>
    <x v="61"/>
    <x v="1"/>
    <x v="1001"/>
    <n v="38"/>
    <x v="0"/>
    <x v="5"/>
    <n v="1786"/>
    <n v="149.49608062709967"/>
    <s v="Low"/>
  </r>
  <r>
    <s v="35739 RAINBOW Drive"/>
    <x v="66"/>
    <x v="1"/>
    <x v="1001"/>
    <n v="76"/>
    <x v="2"/>
    <x v="2"/>
    <n v="1583"/>
    <n v="168.66708780795958"/>
    <s v="Low"/>
  </r>
  <r>
    <s v="31739 Wellston Drive"/>
    <x v="61"/>
    <x v="1"/>
    <x v="268"/>
    <n v="10"/>
    <x v="2"/>
    <x v="3"/>
    <n v="1923"/>
    <n v="139.36557462298492"/>
    <s v="Low"/>
  </r>
  <r>
    <s v="31256 GILBERT DRIVE"/>
    <x v="61"/>
    <x v="1"/>
    <x v="1002"/>
    <n v="46"/>
    <x v="2"/>
    <x v="5"/>
    <n v="1785"/>
    <n v="150.42016806722688"/>
    <s v="Low"/>
  </r>
  <r>
    <s v="22001 BLACKBURN Street"/>
    <x v="67"/>
    <x v="1"/>
    <x v="269"/>
    <n v="9"/>
    <x v="0"/>
    <x v="5"/>
    <n v="1608"/>
    <n v="167.28855721393035"/>
    <s v="Low"/>
  </r>
  <r>
    <s v="16554 Concord Drive"/>
    <x v="64"/>
    <x v="1"/>
    <x v="1003"/>
    <n v="99"/>
    <x v="0"/>
    <x v="5"/>
    <n v="2500"/>
    <n v="107.8"/>
    <s v="Low"/>
  </r>
  <r>
    <s v="33661 MINA Drive"/>
    <x v="66"/>
    <x v="1"/>
    <x v="270"/>
    <n v="2"/>
    <x v="2"/>
    <x v="3"/>
    <n v="1390"/>
    <n v="194.17266187050359"/>
    <s v="Low"/>
  </r>
  <r>
    <s v="32352 COLUMBUS Drive"/>
    <x v="61"/>
    <x v="1"/>
    <x v="272"/>
    <n v="2"/>
    <x v="2"/>
    <x v="3"/>
    <n v="1321"/>
    <n v="204.3906131718395"/>
    <s v="Medium"/>
  </r>
  <r>
    <s v="34400 Preston Drive"/>
    <x v="66"/>
    <x v="1"/>
    <x v="272"/>
    <n v="14"/>
    <x v="2"/>
    <x v="2"/>
    <n v="1253"/>
    <n v="215.48284118116521"/>
    <s v="Medium"/>
  </r>
  <r>
    <s v="8072 Russell"/>
    <x v="72"/>
    <x v="1"/>
    <x v="272"/>
    <n v="92"/>
    <x v="0"/>
    <x v="3"/>
    <n v="1554"/>
    <n v="173.74517374517376"/>
    <s v="Low"/>
  </r>
  <r>
    <s v="33931 Louise"/>
    <x v="64"/>
    <x v="1"/>
    <x v="272"/>
    <n v="2"/>
    <x v="0"/>
    <x v="2"/>
    <n v="1632"/>
    <n v="165.44117647058823"/>
    <s v="Low"/>
  </r>
  <r>
    <s v="22915 AVON Street"/>
    <x v="67"/>
    <x v="1"/>
    <x v="272"/>
    <n v="1"/>
    <x v="2"/>
    <x v="3"/>
    <n v="1250"/>
    <n v="216"/>
    <s v="Medium"/>
  </r>
  <r>
    <s v="54033 Shelby"/>
    <x v="72"/>
    <x v="1"/>
    <x v="272"/>
    <n v="56"/>
    <x v="2"/>
    <x v="5"/>
    <n v="1807"/>
    <n v="149.41892639734365"/>
    <s v="Low"/>
  </r>
  <r>
    <s v="25525 EUREKA Drive"/>
    <x v="61"/>
    <x v="1"/>
    <x v="272"/>
    <n v="5"/>
    <x v="0"/>
    <x v="2"/>
    <n v="1608"/>
    <n v="167.91044776119404"/>
    <s v="Low"/>
  </r>
  <r>
    <s v="33851 FLOYD Street"/>
    <x v="64"/>
    <x v="1"/>
    <x v="272"/>
    <n v="7"/>
    <x v="2"/>
    <x v="2"/>
    <n v="1587"/>
    <n v="170.13232514177693"/>
    <s v="Low"/>
  </r>
  <r>
    <s v="11463 E 11 MILE Road"/>
    <x v="61"/>
    <x v="1"/>
    <x v="272"/>
    <n v="21"/>
    <x v="2"/>
    <x v="5"/>
    <n v="1488"/>
    <n v="181.45161290322579"/>
    <s v="Low"/>
  </r>
  <r>
    <s v="3728 MERRIMAC  Drive"/>
    <x v="66"/>
    <x v="1"/>
    <x v="272"/>
    <n v="7"/>
    <x v="2"/>
    <x v="10"/>
    <n v="1546"/>
    <n v="174.64424320827942"/>
    <s v="Low"/>
  </r>
  <r>
    <s v="3251 CHASE Drive"/>
    <x v="61"/>
    <x v="1"/>
    <x v="272"/>
    <n v="54"/>
    <x v="0"/>
    <x v="3"/>
    <n v="1675"/>
    <n v="161.19402985074626"/>
    <s v="Low"/>
  </r>
  <r>
    <s v="32249 34 Mile"/>
    <x v="84"/>
    <x v="1"/>
    <x v="272"/>
    <n v="40"/>
    <x v="2"/>
    <x v="3"/>
    <n v="1451"/>
    <n v="186.07856650585802"/>
    <s v="Low"/>
  </r>
  <r>
    <s v="23441 DEANHURST Street"/>
    <x v="64"/>
    <x v="1"/>
    <x v="272"/>
    <n v="36"/>
    <x v="2"/>
    <x v="2"/>
    <n v="1152"/>
    <n v="234.375"/>
    <s v="Medium"/>
  </r>
  <r>
    <s v="47766 Nola"/>
    <x v="59"/>
    <x v="1"/>
    <x v="272"/>
    <n v="29"/>
    <x v="2"/>
    <x v="3"/>
    <n v="1438"/>
    <n v="187.76077885952711"/>
    <s v="Low"/>
  </r>
  <r>
    <s v="42294 JASON Drive"/>
    <x v="64"/>
    <x v="1"/>
    <x v="272"/>
    <n v="228"/>
    <x v="2"/>
    <x v="2"/>
    <n v="1602"/>
    <n v="168.53932584269663"/>
    <s v="Low"/>
  </r>
  <r>
    <s v="12958 Whitfield"/>
    <x v="66"/>
    <x v="1"/>
    <x v="276"/>
    <n v="0"/>
    <x v="2"/>
    <x v="3"/>
    <n v="1143"/>
    <n v="237.97025371828522"/>
    <s v="Medium"/>
  </r>
  <r>
    <s v="11952 Delvin"/>
    <x v="66"/>
    <x v="1"/>
    <x v="276"/>
    <n v="8"/>
    <x v="2"/>
    <x v="3"/>
    <n v="1550"/>
    <n v="175.48387096774192"/>
    <s v="Low"/>
  </r>
  <r>
    <s v="16129  Cambell  Drive"/>
    <x v="59"/>
    <x v="1"/>
    <x v="276"/>
    <n v="17"/>
    <x v="2"/>
    <x v="5"/>
    <n v="1565"/>
    <n v="173.80191693290735"/>
    <s v="Low"/>
  </r>
  <r>
    <s v="26326 Dover"/>
    <x v="61"/>
    <x v="1"/>
    <x v="1004"/>
    <n v="29"/>
    <x v="0"/>
    <x v="2"/>
    <n v="1347"/>
    <n v="202.30141054194507"/>
    <s v="Medium"/>
  </r>
  <r>
    <s v="38650 HARRISON Drive"/>
    <x v="66"/>
    <x v="1"/>
    <x v="1005"/>
    <n v="27"/>
    <x v="2"/>
    <x v="2"/>
    <n v="1350"/>
    <n v="202.22222222222223"/>
    <s v="Medium"/>
  </r>
  <r>
    <s v="46049 Apple"/>
    <x v="59"/>
    <x v="1"/>
    <x v="277"/>
    <n v="2"/>
    <x v="0"/>
    <x v="2"/>
    <n v="1981"/>
    <n v="138.06158505805149"/>
    <s v="Low"/>
  </r>
  <r>
    <s v="25033 Harrison"/>
    <x v="75"/>
    <x v="1"/>
    <x v="277"/>
    <n v="53"/>
    <x v="0"/>
    <x v="3"/>
    <n v="2000"/>
    <n v="136.75"/>
    <s v="Low"/>
  </r>
  <r>
    <s v="29248 URSULINE Street"/>
    <x v="67"/>
    <x v="1"/>
    <x v="279"/>
    <n v="8"/>
    <x v="2"/>
    <x v="3"/>
    <n v="1200"/>
    <n v="229.08333333333334"/>
    <s v="Medium"/>
  </r>
  <r>
    <s v="12916 TAKOMA Drive"/>
    <x v="66"/>
    <x v="1"/>
    <x v="280"/>
    <n v="2"/>
    <x v="2"/>
    <x v="2"/>
    <n v="960"/>
    <n v="286.45833333333331"/>
    <s v="Medium"/>
  </r>
  <r>
    <s v="12855 RAY Drive"/>
    <x v="61"/>
    <x v="1"/>
    <x v="280"/>
    <n v="5"/>
    <x v="2"/>
    <x v="2"/>
    <n v="1531"/>
    <n v="179.62116263879818"/>
    <s v="Low"/>
  </r>
  <r>
    <s v="27855 Lauren N"/>
    <x v="75"/>
    <x v="1"/>
    <x v="280"/>
    <n v="2"/>
    <x v="2"/>
    <x v="5"/>
    <n v="1917"/>
    <n v="143.45331246739698"/>
    <s v="Low"/>
  </r>
  <r>
    <s v="45266 Sterritt"/>
    <x v="77"/>
    <x v="1"/>
    <x v="280"/>
    <n v="2"/>
    <x v="2"/>
    <x v="2"/>
    <n v="1367"/>
    <n v="201.17044623262618"/>
    <s v="Medium"/>
  </r>
  <r>
    <s v="3051 Donna"/>
    <x v="66"/>
    <x v="1"/>
    <x v="280"/>
    <n v="7"/>
    <x v="2"/>
    <x v="2"/>
    <n v="1628"/>
    <n v="168.91891891891891"/>
    <s v="Low"/>
  </r>
  <r>
    <s v="26612 RIDGEFIELD Avenue"/>
    <x v="61"/>
    <x v="1"/>
    <x v="280"/>
    <n v="34"/>
    <x v="7"/>
    <x v="6"/>
    <n v="1066"/>
    <n v="257.97373358348966"/>
    <s v="Medium"/>
  </r>
  <r>
    <s v="37717 BADGER Drive"/>
    <x v="66"/>
    <x v="1"/>
    <x v="280"/>
    <n v="2"/>
    <x v="2"/>
    <x v="3"/>
    <n v="1400"/>
    <n v="196.42857142857142"/>
    <s v="Low"/>
  </r>
  <r>
    <s v="4051 DICKSON DR Dickson Dr"/>
    <x v="66"/>
    <x v="1"/>
    <x v="280"/>
    <n v="108"/>
    <x v="2"/>
    <x v="3"/>
    <n v="1356"/>
    <n v="202.8023598820059"/>
    <s v="Medium"/>
  </r>
  <r>
    <s v="36731 KIMBERLY Street"/>
    <x v="64"/>
    <x v="1"/>
    <x v="1006"/>
    <n v="6"/>
    <x v="2"/>
    <x v="3"/>
    <n v="1831"/>
    <n v="150.73730202075367"/>
    <s v="Low"/>
  </r>
  <r>
    <s v="34600 Moravian"/>
    <x v="66"/>
    <x v="1"/>
    <x v="1006"/>
    <n v="28"/>
    <x v="2"/>
    <x v="1"/>
    <n v="1253"/>
    <n v="220.27134876296887"/>
    <s v="Medium"/>
  </r>
  <r>
    <s v="11137 PLUMBROOK Road"/>
    <x v="66"/>
    <x v="1"/>
    <x v="1007"/>
    <n v="56"/>
    <x v="2"/>
    <x v="3"/>
    <n v="1438"/>
    <n v="192.21140472878997"/>
    <s v="Low"/>
  </r>
  <r>
    <s v="25725 Rose St"/>
    <x v="69"/>
    <x v="1"/>
    <x v="1008"/>
    <n v="3"/>
    <x v="2"/>
    <x v="3"/>
    <n v="1267"/>
    <n v="218.62667719021312"/>
    <s v="Medium"/>
  </r>
  <r>
    <s v="39856 PARKLAWN Drive"/>
    <x v="66"/>
    <x v="1"/>
    <x v="1009"/>
    <n v="6"/>
    <x v="2"/>
    <x v="2"/>
    <n v="1800"/>
    <n v="154.16666666666666"/>
    <s v="Low"/>
  </r>
  <r>
    <s v="15493 Dominic"/>
    <x v="64"/>
    <x v="1"/>
    <x v="282"/>
    <n v="5"/>
    <x v="2"/>
    <x v="3"/>
    <n v="1520"/>
    <n v="182.89473684210526"/>
    <s v="Low"/>
  </r>
  <r>
    <s v="36253 JEFFREY Drive"/>
    <x v="66"/>
    <x v="1"/>
    <x v="282"/>
    <n v="123"/>
    <x v="2"/>
    <x v="5"/>
    <n v="1453"/>
    <n v="191.3282863041982"/>
    <s v="Low"/>
  </r>
  <r>
    <s v="12874 Denoter"/>
    <x v="66"/>
    <x v="1"/>
    <x v="283"/>
    <n v="13"/>
    <x v="2"/>
    <x v="2"/>
    <n v="912"/>
    <n v="305.37280701754383"/>
    <s v="High"/>
  </r>
  <r>
    <s v="34137 OLD FORGE"/>
    <x v="66"/>
    <x v="1"/>
    <x v="284"/>
    <n v="115"/>
    <x v="2"/>
    <x v="3"/>
    <n v="1477"/>
    <n v="188.89641164522681"/>
    <s v="Low"/>
  </r>
  <r>
    <s v="14080 Masonic"/>
    <x v="61"/>
    <x v="1"/>
    <x v="1010"/>
    <n v="12"/>
    <x v="2"/>
    <x v="9"/>
    <n v="1524"/>
    <n v="183.66141732283464"/>
    <s v="Low"/>
  </r>
  <r>
    <s v="29726 GLORIA Street"/>
    <x v="67"/>
    <x v="1"/>
    <x v="285"/>
    <n v="7"/>
    <x v="2"/>
    <x v="2"/>
    <n v="1742"/>
    <n v="160.73478760045924"/>
    <s v="Low"/>
  </r>
  <r>
    <s v="33121 Defour"/>
    <x v="66"/>
    <x v="1"/>
    <x v="285"/>
    <n v="7"/>
    <x v="2"/>
    <x v="5"/>
    <n v="1344"/>
    <n v="208.33333333333334"/>
    <s v="Medium"/>
  </r>
  <r>
    <s v="33121 DEFOUR Drive"/>
    <x v="66"/>
    <x v="1"/>
    <x v="285"/>
    <n v="6"/>
    <x v="2"/>
    <x v="5"/>
    <n v="1344"/>
    <n v="208.33333333333334"/>
    <s v="Medium"/>
  </r>
  <r>
    <s v="14184 Mary Grove"/>
    <x v="66"/>
    <x v="1"/>
    <x v="285"/>
    <n v="2"/>
    <x v="0"/>
    <x v="3"/>
    <n v="1728"/>
    <n v="162.03703703703704"/>
    <s v="Low"/>
  </r>
  <r>
    <s v="45395 Abington"/>
    <x v="59"/>
    <x v="1"/>
    <x v="285"/>
    <n v="32"/>
    <x v="0"/>
    <x v="2"/>
    <n v="1800"/>
    <n v="155.55555555555554"/>
    <s v="Low"/>
  </r>
  <r>
    <s v="16194 Hauss Avenue"/>
    <x v="63"/>
    <x v="1"/>
    <x v="285"/>
    <n v="7"/>
    <x v="0"/>
    <x v="10"/>
    <n v="1909"/>
    <n v="146.6736511262441"/>
    <s v="Low"/>
  </r>
  <r>
    <s v="25566 Mary"/>
    <x v="69"/>
    <x v="1"/>
    <x v="285"/>
    <n v="17"/>
    <x v="2"/>
    <x v="2"/>
    <n v="1248"/>
    <n v="224.35897435897436"/>
    <s v="Medium"/>
  </r>
  <r>
    <s v="39259 CAMP Street"/>
    <x v="75"/>
    <x v="1"/>
    <x v="285"/>
    <n v="6"/>
    <x v="2"/>
    <x v="5"/>
    <n v="1596"/>
    <n v="175.43859649122808"/>
    <s v="Low"/>
  </r>
  <r>
    <s v="36247 Madison"/>
    <x v="74"/>
    <x v="1"/>
    <x v="285"/>
    <n v="5"/>
    <x v="2"/>
    <x v="2"/>
    <n v="1416"/>
    <n v="197.74011299435028"/>
    <s v="Low"/>
  </r>
  <r>
    <s v="13487 BROUGHAM Drive"/>
    <x v="66"/>
    <x v="1"/>
    <x v="285"/>
    <n v="8"/>
    <x v="2"/>
    <x v="3"/>
    <n v="1499"/>
    <n v="186.79119412941961"/>
    <s v="Low"/>
  </r>
  <r>
    <s v="41696 Amberly"/>
    <x v="64"/>
    <x v="1"/>
    <x v="285"/>
    <n v="30"/>
    <x v="2"/>
    <x v="3"/>
    <n v="1434"/>
    <n v="195.25801952580196"/>
    <s v="Low"/>
  </r>
  <r>
    <s v="42811 Pheasant Run"/>
    <x v="66"/>
    <x v="1"/>
    <x v="285"/>
    <n v="52"/>
    <x v="0"/>
    <x v="2"/>
    <n v="1680"/>
    <n v="166.66666666666666"/>
    <s v="Low"/>
  </r>
  <r>
    <s v="11116 RACINE Road"/>
    <x v="61"/>
    <x v="1"/>
    <x v="285"/>
    <n v="5"/>
    <x v="2"/>
    <x v="3"/>
    <n v="1433"/>
    <n v="195.39427773900908"/>
    <s v="Low"/>
  </r>
  <r>
    <s v="17493 Tower"/>
    <x v="59"/>
    <x v="1"/>
    <x v="1011"/>
    <n v="7"/>
    <x v="2"/>
    <x v="9"/>
    <n v="1878"/>
    <n v="149.16134185303514"/>
    <s v="Low"/>
  </r>
  <r>
    <s v="22968 RAINBOW Drive"/>
    <x v="59"/>
    <x v="1"/>
    <x v="1012"/>
    <n v="16"/>
    <x v="1"/>
    <x v="1"/>
    <n v="1548"/>
    <n v="181.84754521963825"/>
    <s v="Low"/>
  </r>
  <r>
    <s v="40420 Meade Point"/>
    <x v="66"/>
    <x v="1"/>
    <x v="289"/>
    <n v="3"/>
    <x v="0"/>
    <x v="3"/>
    <n v="1647"/>
    <n v="171.52398299939284"/>
    <s v="Low"/>
  </r>
  <r>
    <s v="40420 MEADE POINT Drive"/>
    <x v="66"/>
    <x v="1"/>
    <x v="289"/>
    <n v="3"/>
    <x v="0"/>
    <x v="3"/>
    <n v="1647"/>
    <n v="171.52398299939284"/>
    <s v="Low"/>
  </r>
  <r>
    <s v="31332 Acton"/>
    <x v="61"/>
    <x v="1"/>
    <x v="290"/>
    <n v="41"/>
    <x v="2"/>
    <x v="5"/>
    <n v="1486"/>
    <n v="190.44414535666218"/>
    <s v="Low"/>
  </r>
  <r>
    <s v="47306 UTICA ESTATES Drive"/>
    <x v="72"/>
    <x v="1"/>
    <x v="290"/>
    <n v="7"/>
    <x v="2"/>
    <x v="3"/>
    <n v="1767"/>
    <n v="160.15846066779852"/>
    <s v="Low"/>
  </r>
  <r>
    <s v="36597 Almont"/>
    <x v="66"/>
    <x v="1"/>
    <x v="1013"/>
    <n v="51"/>
    <x v="0"/>
    <x v="3"/>
    <n v="1622"/>
    <n v="174.7842170160296"/>
    <s v="Low"/>
  </r>
  <r>
    <s v="47840 GREENVIEW Road"/>
    <x v="72"/>
    <x v="1"/>
    <x v="292"/>
    <n v="6"/>
    <x v="2"/>
    <x v="1"/>
    <n v="1432"/>
    <n v="199.02234636871509"/>
    <s v="Low"/>
  </r>
  <r>
    <s v="21118 Bayside"/>
    <x v="67"/>
    <x v="1"/>
    <x v="292"/>
    <n v="1"/>
    <x v="2"/>
    <x v="9"/>
    <n v="1231"/>
    <n v="231.51909017059302"/>
    <s v="Medium"/>
  </r>
  <r>
    <s v="36460 TARPON Drive"/>
    <x v="66"/>
    <x v="1"/>
    <x v="292"/>
    <n v="5"/>
    <x v="2"/>
    <x v="3"/>
    <n v="1344"/>
    <n v="212.05357142857142"/>
    <s v="Medium"/>
  </r>
  <r>
    <s v="21133 Saint Gertrude"/>
    <x v="67"/>
    <x v="1"/>
    <x v="292"/>
    <n v="12"/>
    <x v="2"/>
    <x v="1"/>
    <n v="1361"/>
    <n v="209.40484937545921"/>
    <s v="Medium"/>
  </r>
  <r>
    <s v="11906 CHATTMAN Drive"/>
    <x v="66"/>
    <x v="1"/>
    <x v="292"/>
    <n v="5"/>
    <x v="2"/>
    <x v="3"/>
    <n v="1550"/>
    <n v="183.87096774193549"/>
    <s v="Low"/>
  </r>
  <r>
    <s v="51204 FAIRLANE Drive"/>
    <x v="72"/>
    <x v="1"/>
    <x v="292"/>
    <n v="5"/>
    <x v="2"/>
    <x v="3"/>
    <n v="1319"/>
    <n v="216.07278241091737"/>
    <s v="Medium"/>
  </r>
  <r>
    <s v="47660 BLUEBIRD Drive"/>
    <x v="72"/>
    <x v="1"/>
    <x v="292"/>
    <n v="5"/>
    <x v="0"/>
    <x v="2"/>
    <n v="1628"/>
    <n v="175.06142506142507"/>
    <s v="Low"/>
  </r>
  <r>
    <s v="43229 BOCKLEY Drive"/>
    <x v="66"/>
    <x v="1"/>
    <x v="292"/>
    <n v="1"/>
    <x v="2"/>
    <x v="3"/>
    <n v="1144"/>
    <n v="249.12587412587413"/>
    <s v="Medium"/>
  </r>
  <r>
    <s v="37010 MARIANO Drive"/>
    <x v="66"/>
    <x v="1"/>
    <x v="292"/>
    <n v="83"/>
    <x v="2"/>
    <x v="2"/>
    <n v="1876"/>
    <n v="151.91897654584221"/>
    <s v="Low"/>
  </r>
  <r>
    <s v="43237 HARTWICK Drive"/>
    <x v="66"/>
    <x v="1"/>
    <x v="292"/>
    <n v="56"/>
    <x v="0"/>
    <x v="3"/>
    <n v="1796"/>
    <n v="158.68596881959911"/>
    <s v="Low"/>
  </r>
  <r>
    <s v="39309 UNIVERSITY Drive"/>
    <x v="66"/>
    <x v="1"/>
    <x v="1014"/>
    <n v="4"/>
    <x v="2"/>
    <x v="2"/>
    <n v="1456"/>
    <n v="196.42857142857142"/>
    <s v="Low"/>
  </r>
  <r>
    <s v="12412 De Grove Drive"/>
    <x v="66"/>
    <x v="1"/>
    <x v="1014"/>
    <n v="0"/>
    <x v="2"/>
    <x v="3"/>
    <n v="1436"/>
    <n v="199.16434540389972"/>
    <s v="Low"/>
  </r>
  <r>
    <s v="39127 Hyland"/>
    <x v="66"/>
    <x v="1"/>
    <x v="294"/>
    <n v="29"/>
    <x v="0"/>
    <x v="2"/>
    <n v="1728"/>
    <n v="166.08796296296296"/>
    <s v="Low"/>
  </r>
  <r>
    <s v="11573 CHICAGO Road"/>
    <x v="61"/>
    <x v="1"/>
    <x v="297"/>
    <n v="7"/>
    <x v="2"/>
    <x v="5"/>
    <n v="1652"/>
    <n v="174.33414043583534"/>
    <s v="Low"/>
  </r>
  <r>
    <s v="38602 SUTTON Drive"/>
    <x v="66"/>
    <x v="1"/>
    <x v="1015"/>
    <n v="8"/>
    <x v="2"/>
    <x v="3"/>
    <n v="1090"/>
    <n v="264.67889908256882"/>
    <s v="Medium"/>
  </r>
  <r>
    <s v="253 FAIRGROVE"/>
    <x v="80"/>
    <x v="1"/>
    <x v="300"/>
    <n v="21"/>
    <x v="2"/>
    <x v="9"/>
    <n v="1302"/>
    <n v="222.65745007680491"/>
    <s v="Medium"/>
  </r>
  <r>
    <s v="39359 Edgevale"/>
    <x v="66"/>
    <x v="1"/>
    <x v="301"/>
    <n v="5"/>
    <x v="2"/>
    <x v="2"/>
    <n v="1012"/>
    <n v="286.56126482213438"/>
    <s v="Medium"/>
  </r>
  <r>
    <s v="3651 PALL Drive"/>
    <x v="61"/>
    <x v="1"/>
    <x v="301"/>
    <n v="7"/>
    <x v="2"/>
    <x v="2"/>
    <n v="1566"/>
    <n v="185.18518518518519"/>
    <s v="Low"/>
  </r>
  <r>
    <s v="13091 ROXBURY DR Drive"/>
    <x v="66"/>
    <x v="1"/>
    <x v="301"/>
    <n v="29"/>
    <x v="2"/>
    <x v="3"/>
    <n v="1511"/>
    <n v="191.92587690271344"/>
    <s v="Low"/>
  </r>
  <r>
    <s v="36243 Sandra"/>
    <x v="64"/>
    <x v="1"/>
    <x v="302"/>
    <n v="9"/>
    <x v="2"/>
    <x v="3"/>
    <n v="1356"/>
    <n v="214.60176991150442"/>
    <s v="Medium"/>
  </r>
  <r>
    <s v="37265 CASTLETON Drive"/>
    <x v="66"/>
    <x v="1"/>
    <x v="302"/>
    <n v="6"/>
    <x v="2"/>
    <x v="5"/>
    <n v="1308"/>
    <n v="222.47706422018348"/>
    <s v="Medium"/>
  </r>
  <r>
    <s v="11928 SORRENTO Boulevard"/>
    <x v="66"/>
    <x v="1"/>
    <x v="304"/>
    <n v="9"/>
    <x v="2"/>
    <x v="3"/>
    <n v="1182"/>
    <n v="247.03891708967851"/>
    <s v="Medium"/>
  </r>
  <r>
    <s v="257 Fairgrove Street"/>
    <x v="80"/>
    <x v="1"/>
    <x v="1016"/>
    <n v="4"/>
    <x v="2"/>
    <x v="3"/>
    <n v="1137"/>
    <n v="257.51978891820579"/>
    <s v="Medium"/>
  </r>
  <r>
    <s v="15232 Valerie"/>
    <x v="59"/>
    <x v="1"/>
    <x v="306"/>
    <n v="125"/>
    <x v="2"/>
    <x v="3"/>
    <n v="1460"/>
    <n v="200.68493150684932"/>
    <s v="Medium"/>
  </r>
  <r>
    <s v="19310 FAULMAN Road"/>
    <x v="64"/>
    <x v="1"/>
    <x v="1017"/>
    <n v="17"/>
    <x v="2"/>
    <x v="2"/>
    <n v="1532"/>
    <n v="191.90600522193211"/>
    <s v="Low"/>
  </r>
  <r>
    <s v="11760 22 MILE Road"/>
    <x v="72"/>
    <x v="1"/>
    <x v="1018"/>
    <n v="150"/>
    <x v="2"/>
    <x v="2"/>
    <n v="1571"/>
    <n v="187.46021642266072"/>
    <s v="Low"/>
  </r>
  <r>
    <s v="25696 Norvell Street"/>
    <x v="69"/>
    <x v="1"/>
    <x v="309"/>
    <n v="18"/>
    <x v="2"/>
    <x v="2"/>
    <n v="1197"/>
    <n v="246.44945697577276"/>
    <s v="Medium"/>
  </r>
  <r>
    <s v="11206 HANNA Drive"/>
    <x v="66"/>
    <x v="1"/>
    <x v="309"/>
    <n v="13"/>
    <x v="2"/>
    <x v="3"/>
    <n v="1484"/>
    <n v="198.78706199460916"/>
    <s v="Low"/>
  </r>
  <r>
    <s v="11619 LYNCH Court"/>
    <x v="61"/>
    <x v="1"/>
    <x v="309"/>
    <n v="17"/>
    <x v="2"/>
    <x v="2"/>
    <n v="1601"/>
    <n v="184.25983760149907"/>
    <s v="Low"/>
  </r>
  <r>
    <s v="30416 Cousino Drive"/>
    <x v="82"/>
    <x v="1"/>
    <x v="309"/>
    <n v="28"/>
    <x v="2"/>
    <x v="9"/>
    <n v="1350"/>
    <n v="218.5185185185185"/>
    <s v="Medium"/>
  </r>
  <r>
    <s v="14755 ANNAPOLIS Drive"/>
    <x v="66"/>
    <x v="1"/>
    <x v="309"/>
    <n v="4"/>
    <x v="2"/>
    <x v="5"/>
    <n v="1374"/>
    <n v="214.70160116448326"/>
    <s v="Medium"/>
  </r>
  <r>
    <s v="50377 Corey"/>
    <x v="69"/>
    <x v="1"/>
    <x v="309"/>
    <n v="72"/>
    <x v="2"/>
    <x v="4"/>
    <n v="2017"/>
    <n v="146.25681705503223"/>
    <s v="Low"/>
  </r>
  <r>
    <s v="78171 MEMPHIS RIDGE Road"/>
    <x v="84"/>
    <x v="1"/>
    <x v="309"/>
    <n v="88"/>
    <x v="2"/>
    <x v="10"/>
    <n v="1698"/>
    <n v="173.73380447585396"/>
    <s v="Low"/>
  </r>
  <r>
    <s v="29103 JEFFERSON Avenue"/>
    <x v="67"/>
    <x v="1"/>
    <x v="1019"/>
    <n v="22"/>
    <x v="2"/>
    <x v="5"/>
    <n v="1800"/>
    <n v="164.16666666666666"/>
    <s v="Low"/>
  </r>
  <r>
    <s v="4462 FOX HILL Drive"/>
    <x v="66"/>
    <x v="1"/>
    <x v="1020"/>
    <n v="7"/>
    <x v="0"/>
    <x v="2"/>
    <n v="1749"/>
    <n v="169.23956546598055"/>
    <s v="Low"/>
  </r>
  <r>
    <s v="43094 Hyde Park Dr"/>
    <x v="66"/>
    <x v="1"/>
    <x v="1021"/>
    <n v="10"/>
    <x v="0"/>
    <x v="3"/>
    <n v="1482"/>
    <n v="200.06747638326587"/>
    <s v="Medium"/>
  </r>
  <r>
    <s v="32282 BRADFORD Street"/>
    <x v="71"/>
    <x v="1"/>
    <x v="311"/>
    <n v="57"/>
    <x v="2"/>
    <x v="5"/>
    <n v="1808"/>
    <n v="164.26991150442478"/>
    <s v="Low"/>
  </r>
  <r>
    <s v="34419 PRATT Road"/>
    <x v="73"/>
    <x v="1"/>
    <x v="311"/>
    <n v="92"/>
    <x v="2"/>
    <x v="2"/>
    <n v="1298"/>
    <n v="228.81355932203391"/>
    <s v="Medium"/>
  </r>
  <r>
    <s v="3756 Barbara Drive"/>
    <x v="66"/>
    <x v="1"/>
    <x v="312"/>
    <n v="70"/>
    <x v="0"/>
    <x v="5"/>
    <n v="1599"/>
    <n v="186.05378361475923"/>
    <s v="Low"/>
  </r>
  <r>
    <s v="23421 TALBOT Street"/>
    <x v="64"/>
    <x v="1"/>
    <x v="314"/>
    <n v="87"/>
    <x v="0"/>
    <x v="2"/>
    <n v="1512"/>
    <n v="197.42063492063491"/>
    <s v="Low"/>
  </r>
  <r>
    <s v="40815 Moravian Drive"/>
    <x v="64"/>
    <x v="1"/>
    <x v="1022"/>
    <n v="26"/>
    <x v="3"/>
    <x v="2"/>
    <n v="2250"/>
    <n v="132.84444444444443"/>
    <s v="Low"/>
  </r>
  <r>
    <s v="22711 Colony Street"/>
    <x v="67"/>
    <x v="1"/>
    <x v="318"/>
    <n v="0"/>
    <x v="0"/>
    <x v="2"/>
    <n v="1100"/>
    <n v="272.72727272727275"/>
    <s v="Medium"/>
  </r>
  <r>
    <s v="48254 Menter Drive"/>
    <x v="69"/>
    <x v="1"/>
    <x v="318"/>
    <n v="5"/>
    <x v="3"/>
    <x v="2"/>
    <n v="1084"/>
    <n v="276.7527675276753"/>
    <s v="Medium"/>
  </r>
  <r>
    <s v="64622 Windsor"/>
    <x v="78"/>
    <x v="1"/>
    <x v="318"/>
    <n v="16"/>
    <x v="2"/>
    <x v="3"/>
    <n v="1300"/>
    <n v="230.76923076923077"/>
    <s v="Medium"/>
  </r>
  <r>
    <s v="19806 MAUER Street"/>
    <x v="67"/>
    <x v="1"/>
    <x v="318"/>
    <n v="2"/>
    <x v="2"/>
    <x v="3"/>
    <n v="1547"/>
    <n v="193.92372333548803"/>
    <s v="Low"/>
  </r>
  <r>
    <s v="40698 OAKLAND Court"/>
    <x v="64"/>
    <x v="1"/>
    <x v="318"/>
    <n v="28"/>
    <x v="2"/>
    <x v="2"/>
    <n v="1398"/>
    <n v="214.59227467811158"/>
    <s v="Medium"/>
  </r>
  <r>
    <s v="8718 Lozen"/>
    <x v="66"/>
    <x v="1"/>
    <x v="318"/>
    <n v="3"/>
    <x v="2"/>
    <x v="3"/>
    <n v="1386"/>
    <n v="216.45021645021646"/>
    <s v="Medium"/>
  </r>
  <r>
    <s v="35374 Indigo"/>
    <x v="66"/>
    <x v="1"/>
    <x v="318"/>
    <n v="8"/>
    <x v="2"/>
    <x v="10"/>
    <n v="1567"/>
    <n v="191.44862795149967"/>
    <s v="Low"/>
  </r>
  <r>
    <s v="36299 Gregory"/>
    <x v="66"/>
    <x v="1"/>
    <x v="318"/>
    <n v="47"/>
    <x v="2"/>
    <x v="5"/>
    <n v="1844"/>
    <n v="162.68980477223428"/>
    <s v="Low"/>
  </r>
  <r>
    <s v="37608 Andrew Drive"/>
    <x v="66"/>
    <x v="1"/>
    <x v="318"/>
    <n v="58"/>
    <x v="2"/>
    <x v="2"/>
    <n v="2047"/>
    <n v="146.55593551538837"/>
    <s v="Low"/>
  </r>
  <r>
    <s v="15862 BEXLEY"/>
    <x v="64"/>
    <x v="1"/>
    <x v="318"/>
    <n v="33"/>
    <x v="2"/>
    <x v="2"/>
    <n v="1536"/>
    <n v="195.3125"/>
    <s v="Low"/>
  </r>
  <r>
    <s v="34247 NEW YORK Street"/>
    <x v="64"/>
    <x v="1"/>
    <x v="318"/>
    <n v="24"/>
    <x v="2"/>
    <x v="5"/>
    <n v="1634"/>
    <n v="183.5985312117503"/>
    <s v="Low"/>
  </r>
  <r>
    <s v="11188 NANCY Drive"/>
    <x v="61"/>
    <x v="1"/>
    <x v="318"/>
    <n v="51"/>
    <x v="2"/>
    <x v="5"/>
    <n v="2131"/>
    <n v="140.77897700610043"/>
    <s v="Low"/>
  </r>
  <r>
    <s v="11641 BROUGHAM Drive"/>
    <x v="66"/>
    <x v="1"/>
    <x v="319"/>
    <n v="5"/>
    <x v="2"/>
    <x v="5"/>
    <n v="1342"/>
    <n v="224.29210134128166"/>
    <s v="Medium"/>
  </r>
  <r>
    <s v="32040 Aline"/>
    <x v="61"/>
    <x v="1"/>
    <x v="320"/>
    <n v="9"/>
    <x v="2"/>
    <x v="5"/>
    <n v="1926"/>
    <n v="156.80166147455867"/>
    <s v="Low"/>
  </r>
  <r>
    <s v="35887 Diane  Lane"/>
    <x v="74"/>
    <x v="1"/>
    <x v="322"/>
    <n v="4"/>
    <x v="2"/>
    <x v="2"/>
    <n v="1542"/>
    <n v="197.14656290531778"/>
    <s v="Low"/>
  </r>
  <r>
    <s v="16364 Monticello"/>
    <x v="64"/>
    <x v="1"/>
    <x v="322"/>
    <n v="14"/>
    <x v="2"/>
    <x v="2"/>
    <n v="1801"/>
    <n v="168.79511382565241"/>
    <s v="Low"/>
  </r>
  <r>
    <s v="38060 Delta"/>
    <x v="64"/>
    <x v="1"/>
    <x v="324"/>
    <n v="12"/>
    <x v="2"/>
    <x v="3"/>
    <n v="1322"/>
    <n v="230.71104387291982"/>
    <s v="Medium"/>
  </r>
  <r>
    <s v="12431 MAIR Drive"/>
    <x v="66"/>
    <x v="1"/>
    <x v="324"/>
    <n v="45"/>
    <x v="0"/>
    <x v="3"/>
    <n v="1780"/>
    <n v="171.34831460674158"/>
    <s v="Low"/>
  </r>
  <r>
    <s v="34422 Lakewood"/>
    <x v="69"/>
    <x v="1"/>
    <x v="324"/>
    <n v="27"/>
    <x v="2"/>
    <x v="3"/>
    <n v="1520"/>
    <n v="200.65789473684211"/>
    <s v="Medium"/>
  </r>
  <r>
    <s v="49609 GOLDEN PARK Drive"/>
    <x v="72"/>
    <x v="1"/>
    <x v="1023"/>
    <n v="62"/>
    <x v="2"/>
    <x v="2"/>
    <n v="1906"/>
    <n v="160.07345225603359"/>
    <s v="Low"/>
  </r>
  <r>
    <s v="12374 Deming"/>
    <x v="66"/>
    <x v="1"/>
    <x v="325"/>
    <n v="4"/>
    <x v="2"/>
    <x v="3"/>
    <n v="1520"/>
    <n v="201.31578947368422"/>
    <s v="Medium"/>
  </r>
  <r>
    <s v="15847 Lorway Drive"/>
    <x v="64"/>
    <x v="1"/>
    <x v="325"/>
    <n v="57"/>
    <x v="2"/>
    <x v="5"/>
    <n v="1882"/>
    <n v="162.59298618490968"/>
    <s v="Low"/>
  </r>
  <r>
    <s v="69250 Campground"/>
    <x v="85"/>
    <x v="1"/>
    <x v="327"/>
    <n v="3"/>
    <x v="2"/>
    <x v="2"/>
    <n v="1743"/>
    <n v="176.13310384394723"/>
    <s v="Low"/>
  </r>
  <r>
    <s v="36853 ETON Court"/>
    <x v="66"/>
    <x v="1"/>
    <x v="329"/>
    <n v="67"/>
    <x v="2"/>
    <x v="2"/>
    <n v="1469"/>
    <n v="209.66643975493534"/>
    <s v="Medium"/>
  </r>
  <r>
    <s v="46983 Crestview  Drive"/>
    <x v="59"/>
    <x v="1"/>
    <x v="332"/>
    <n v="29"/>
    <x v="2"/>
    <x v="3"/>
    <n v="1136"/>
    <n v="272.00704225352115"/>
    <s v="Medium"/>
  </r>
  <r>
    <s v="38809 Union Lake"/>
    <x v="64"/>
    <x v="1"/>
    <x v="332"/>
    <n v="32"/>
    <x v="2"/>
    <x v="3"/>
    <n v="1785"/>
    <n v="173.109243697479"/>
    <s v="Low"/>
  </r>
  <r>
    <s v="16314 GREENLAND Drive"/>
    <x v="59"/>
    <x v="1"/>
    <x v="332"/>
    <n v="148"/>
    <x v="2"/>
    <x v="2"/>
    <n v="1691"/>
    <n v="182.73211117681845"/>
    <s v="Low"/>
  </r>
  <r>
    <s v="12334 GLASGOW Drive"/>
    <x v="85"/>
    <x v="1"/>
    <x v="1024"/>
    <n v="45"/>
    <x v="1"/>
    <x v="2"/>
    <n v="1270"/>
    <n v="244.01574803149606"/>
    <s v="Medium"/>
  </r>
  <r>
    <s v="36211 Arlene Drive"/>
    <x v="66"/>
    <x v="1"/>
    <x v="333"/>
    <n v="3"/>
    <x v="2"/>
    <x v="3"/>
    <n v="1528"/>
    <n v="202.87958115183247"/>
    <s v="Medium"/>
  </r>
  <r>
    <s v="44130 CADBURRY Drive"/>
    <x v="64"/>
    <x v="1"/>
    <x v="333"/>
    <n v="3"/>
    <x v="2"/>
    <x v="5"/>
    <n v="1796"/>
    <n v="172.60579064587972"/>
    <s v="Low"/>
  </r>
  <r>
    <s v="13656 JOYCE Drive"/>
    <x v="61"/>
    <x v="1"/>
    <x v="333"/>
    <n v="8"/>
    <x v="2"/>
    <x v="5"/>
    <n v="1456"/>
    <n v="212.91208791208791"/>
    <s v="Medium"/>
  </r>
  <r>
    <s v="34748 Fargo"/>
    <x v="66"/>
    <x v="1"/>
    <x v="333"/>
    <n v="4"/>
    <x v="2"/>
    <x v="3"/>
    <n v="1376"/>
    <n v="225.2906976744186"/>
    <s v="Medium"/>
  </r>
  <r>
    <s v="5266 MANSFIELD Avenue"/>
    <x v="66"/>
    <x v="1"/>
    <x v="333"/>
    <n v="6"/>
    <x v="2"/>
    <x v="2"/>
    <n v="1478"/>
    <n v="209.7428958051421"/>
    <s v="Medium"/>
  </r>
  <r>
    <s v="57520 DECORA PARK Boulevard"/>
    <x v="71"/>
    <x v="1"/>
    <x v="333"/>
    <n v="4"/>
    <x v="0"/>
    <x v="5"/>
    <n v="2000"/>
    <n v="155"/>
    <s v="Low"/>
  </r>
  <r>
    <s v="27845 PRINZ Road"/>
    <x v="84"/>
    <x v="1"/>
    <x v="333"/>
    <n v="40"/>
    <x v="2"/>
    <x v="2"/>
    <n v="1248"/>
    <n v="248.39743589743588"/>
    <s v="Medium"/>
  </r>
  <r>
    <s v="38614 SUTTON Drive"/>
    <x v="66"/>
    <x v="1"/>
    <x v="333"/>
    <n v="28"/>
    <x v="2"/>
    <x v="3"/>
    <n v="1608"/>
    <n v="192.78606965174129"/>
    <s v="Low"/>
  </r>
  <r>
    <s v="39351 Lakeshore"/>
    <x v="75"/>
    <x v="1"/>
    <x v="333"/>
    <n v="68"/>
    <x v="2"/>
    <x v="2"/>
    <n v="1724"/>
    <n v="179.81438515081206"/>
    <s v="Low"/>
  </r>
  <r>
    <s v="12322 PRAIRIE Drive"/>
    <x v="66"/>
    <x v="1"/>
    <x v="333"/>
    <n v="9"/>
    <x v="2"/>
    <x v="2"/>
    <n v="1976"/>
    <n v="156.88259109311741"/>
    <s v="Low"/>
  </r>
  <r>
    <s v="35418 LANA Lane"/>
    <x v="66"/>
    <x v="1"/>
    <x v="333"/>
    <n v="71"/>
    <x v="2"/>
    <x v="3"/>
    <n v="1514"/>
    <n v="204.7556142668428"/>
    <s v="Medium"/>
  </r>
  <r>
    <s v="28547 TIFFIN Drive"/>
    <x v="69"/>
    <x v="1"/>
    <x v="333"/>
    <n v="60"/>
    <x v="2"/>
    <x v="10"/>
    <n v="1733"/>
    <n v="178.88055395268321"/>
    <s v="Low"/>
  </r>
  <r>
    <s v="8552 TAMARACK Drive"/>
    <x v="72"/>
    <x v="1"/>
    <x v="1025"/>
    <n v="7"/>
    <x v="2"/>
    <x v="2"/>
    <n v="1761"/>
    <n v="176.32027257240205"/>
    <s v="Low"/>
  </r>
  <r>
    <s v="33330 Viceroy"/>
    <x v="66"/>
    <x v="1"/>
    <x v="334"/>
    <n v="3"/>
    <x v="2"/>
    <x v="3"/>
    <n v="1436"/>
    <n v="216.57381615598885"/>
    <s v="Medium"/>
  </r>
  <r>
    <s v="21018 MICHAEL Court"/>
    <x v="67"/>
    <x v="1"/>
    <x v="334"/>
    <n v="7"/>
    <x v="2"/>
    <x v="3"/>
    <n v="1406"/>
    <n v="221.19487908961594"/>
    <s v="Medium"/>
  </r>
  <r>
    <s v="37852 CARPATHIA"/>
    <x v="66"/>
    <x v="1"/>
    <x v="334"/>
    <n v="29"/>
    <x v="2"/>
    <x v="5"/>
    <n v="1526"/>
    <n v="203.80078636959371"/>
    <s v="Medium"/>
  </r>
  <r>
    <s v="35052 SHELL Drive"/>
    <x v="66"/>
    <x v="1"/>
    <x v="335"/>
    <n v="105"/>
    <x v="2"/>
    <x v="5"/>
    <n v="1447"/>
    <n v="215.27297857636489"/>
    <s v="Medium"/>
  </r>
  <r>
    <s v="48477 BLUEBIRD Drive"/>
    <x v="72"/>
    <x v="1"/>
    <x v="336"/>
    <n v="8"/>
    <x v="2"/>
    <x v="3"/>
    <n v="1185"/>
    <n v="263.29113924050631"/>
    <s v="Medium"/>
  </r>
  <r>
    <s v="11002 DILL Drive"/>
    <x v="66"/>
    <x v="1"/>
    <x v="336"/>
    <n v="11"/>
    <x v="2"/>
    <x v="3"/>
    <n v="1575"/>
    <n v="198.0952380952381"/>
    <s v="Low"/>
  </r>
  <r>
    <s v="32656 RUGBY Drive"/>
    <x v="61"/>
    <x v="1"/>
    <x v="336"/>
    <n v="65"/>
    <x v="2"/>
    <x v="3"/>
    <n v="1594"/>
    <n v="195.73400250941029"/>
    <s v="Low"/>
  </r>
  <r>
    <s v="39957 MEMORY Lane"/>
    <x v="75"/>
    <x v="1"/>
    <x v="336"/>
    <n v="84"/>
    <x v="2"/>
    <x v="5"/>
    <n v="1674"/>
    <n v="186.37992831541217"/>
    <s v="Low"/>
  </r>
  <r>
    <s v="53020 STARLITE Drive"/>
    <x v="72"/>
    <x v="1"/>
    <x v="336"/>
    <n v="71"/>
    <x v="2"/>
    <x v="3"/>
    <n v="1242"/>
    <n v="251.20772946859904"/>
    <s v="Medium"/>
  </r>
  <r>
    <s v="48164 Sugarbush"/>
    <x v="69"/>
    <x v="1"/>
    <x v="338"/>
    <n v="97"/>
    <x v="2"/>
    <x v="2"/>
    <n v="1978"/>
    <n v="158.24064711830133"/>
    <s v="Low"/>
  </r>
  <r>
    <s v="40407 Meade Point"/>
    <x v="66"/>
    <x v="1"/>
    <x v="1026"/>
    <n v="38"/>
    <x v="2"/>
    <x v="3"/>
    <n v="1446"/>
    <n v="216.80497925311204"/>
    <s v="Medium"/>
  </r>
  <r>
    <s v="26207 FAIRWOOD Drive"/>
    <x v="69"/>
    <x v="1"/>
    <x v="341"/>
    <n v="4"/>
    <x v="2"/>
    <x v="5"/>
    <n v="1620"/>
    <n v="194.44444444444446"/>
    <s v="Low"/>
  </r>
  <r>
    <s v="39020 Ironstone"/>
    <x v="66"/>
    <x v="1"/>
    <x v="341"/>
    <n v="5"/>
    <x v="2"/>
    <x v="5"/>
    <n v="1351"/>
    <n v="233.16062176165804"/>
    <s v="Medium"/>
  </r>
  <r>
    <s v="37364 Hacker"/>
    <x v="66"/>
    <x v="1"/>
    <x v="341"/>
    <n v="14"/>
    <x v="2"/>
    <x v="5"/>
    <n v="1405"/>
    <n v="224.19928825622776"/>
    <s v="Medium"/>
  </r>
  <r>
    <s v="56505 Omo"/>
    <x v="59"/>
    <x v="1"/>
    <x v="341"/>
    <n v="15"/>
    <x v="0"/>
    <x v="2"/>
    <n v="2020"/>
    <n v="155.94059405940595"/>
    <s v="Low"/>
  </r>
  <r>
    <s v="31628 TECLA Drive"/>
    <x v="61"/>
    <x v="1"/>
    <x v="341"/>
    <n v="6"/>
    <x v="0"/>
    <x v="4"/>
    <n v="2151"/>
    <n v="146.44351464435147"/>
    <s v="Low"/>
  </r>
  <r>
    <s v="2136 GIRARD Street"/>
    <x v="61"/>
    <x v="1"/>
    <x v="341"/>
    <n v="25"/>
    <x v="2"/>
    <x v="5"/>
    <n v="1651"/>
    <n v="190.79345850999394"/>
    <s v="Low"/>
  </r>
  <r>
    <s v="28809 LOS OLAS Drive"/>
    <x v="61"/>
    <x v="1"/>
    <x v="341"/>
    <n v="30"/>
    <x v="3"/>
    <x v="10"/>
    <n v="1640"/>
    <n v="192.07317073170731"/>
    <s v="Low"/>
  </r>
  <r>
    <s v="35729 ENSIGN Drive"/>
    <x v="66"/>
    <x v="1"/>
    <x v="341"/>
    <n v="25"/>
    <x v="2"/>
    <x v="2"/>
    <n v="1602"/>
    <n v="196.62921348314606"/>
    <s v="Low"/>
  </r>
  <r>
    <s v="35687 Cathedral Drive"/>
    <x v="66"/>
    <x v="1"/>
    <x v="341"/>
    <n v="85"/>
    <x v="2"/>
    <x v="9"/>
    <n v="1518"/>
    <n v="207.50988142292491"/>
    <s v="Medium"/>
  </r>
  <r>
    <s v="36197 ACTON Street"/>
    <x v="64"/>
    <x v="1"/>
    <x v="341"/>
    <n v="179"/>
    <x v="6"/>
    <x v="0"/>
    <n v="2264"/>
    <n v="139.13427561837455"/>
    <s v="Low"/>
  </r>
  <r>
    <s v="36863 HAVANA Drive"/>
    <x v="66"/>
    <x v="1"/>
    <x v="347"/>
    <n v="48"/>
    <x v="2"/>
    <x v="3"/>
    <n v="1634"/>
    <n v="194.61444308445533"/>
    <s v="Low"/>
  </r>
  <r>
    <s v="26683 Pattyn"/>
    <x v="69"/>
    <x v="1"/>
    <x v="1027"/>
    <n v="4"/>
    <x v="2"/>
    <x v="5"/>
    <n v="1420"/>
    <n v="224.29577464788733"/>
    <s v="Medium"/>
  </r>
  <r>
    <s v="4900 KADENA Court"/>
    <x v="66"/>
    <x v="1"/>
    <x v="350"/>
    <n v="57"/>
    <x v="0"/>
    <x v="5"/>
    <n v="1449"/>
    <n v="220.84195997239476"/>
    <s v="Medium"/>
  </r>
  <r>
    <s v="37130 GARY Drive"/>
    <x v="66"/>
    <x v="1"/>
    <x v="350"/>
    <n v="4"/>
    <x v="2"/>
    <x v="5"/>
    <n v="1587"/>
    <n v="201.63831127914304"/>
    <s v="Medium"/>
  </r>
  <r>
    <s v="51232 SKYLER Drive"/>
    <x v="69"/>
    <x v="1"/>
    <x v="350"/>
    <n v="7"/>
    <x v="0"/>
    <x v="5"/>
    <n v="2256"/>
    <n v="141.84397163120568"/>
    <s v="Low"/>
  </r>
  <r>
    <s v="11874 CANTERBURY Drive"/>
    <x v="66"/>
    <x v="1"/>
    <x v="350"/>
    <n v="17"/>
    <x v="0"/>
    <x v="2"/>
    <n v="1674"/>
    <n v="191.15890083632019"/>
    <s v="Low"/>
  </r>
  <r>
    <s v="12262 Eldorado"/>
    <x v="66"/>
    <x v="1"/>
    <x v="350"/>
    <n v="8"/>
    <x v="0"/>
    <x v="3"/>
    <n v="1522"/>
    <n v="210.2496714848883"/>
    <s v="Medium"/>
  </r>
  <r>
    <s v="3211 Belinda Drive"/>
    <x v="66"/>
    <x v="1"/>
    <x v="350"/>
    <n v="13"/>
    <x v="0"/>
    <x v="2"/>
    <n v="1821"/>
    <n v="175.72762218561229"/>
    <s v="Low"/>
  </r>
  <r>
    <s v="31654 Palomino Dr"/>
    <x v="61"/>
    <x v="1"/>
    <x v="350"/>
    <n v="2"/>
    <x v="0"/>
    <x v="5"/>
    <n v="1988"/>
    <n v="160.96579476861166"/>
    <s v="Low"/>
  </r>
  <r>
    <s v="4900 KADENA Court"/>
    <x v="66"/>
    <x v="1"/>
    <x v="350"/>
    <n v="4"/>
    <x v="2"/>
    <x v="5"/>
    <n v="1449"/>
    <n v="220.84195997239476"/>
    <s v="Medium"/>
  </r>
  <r>
    <s v="11574 CANTERBURY Drive"/>
    <x v="66"/>
    <x v="1"/>
    <x v="350"/>
    <n v="9"/>
    <x v="2"/>
    <x v="10"/>
    <n v="1812"/>
    <n v="176.60044150110375"/>
    <s v="Low"/>
  </r>
  <r>
    <s v="15644 Van Meter"/>
    <x v="59"/>
    <x v="1"/>
    <x v="350"/>
    <n v="6"/>
    <x v="2"/>
    <x v="2"/>
    <n v="1821"/>
    <n v="175.72762218561229"/>
    <s v="Low"/>
  </r>
  <r>
    <s v="52039 Huntley"/>
    <x v="83"/>
    <x v="1"/>
    <x v="350"/>
    <n v="75"/>
    <x v="2"/>
    <x v="5"/>
    <n v="2092"/>
    <n v="152.96367112810708"/>
    <s v="Low"/>
  </r>
  <r>
    <s v="23015 DETOUR Street"/>
    <x v="67"/>
    <x v="1"/>
    <x v="350"/>
    <n v="86"/>
    <x v="3"/>
    <x v="10"/>
    <n v="3061"/>
    <n v="104.54099967330937"/>
    <s v="Low"/>
  </r>
  <r>
    <s v="35849 PRATT Road"/>
    <x v="84"/>
    <x v="1"/>
    <x v="350"/>
    <n v="87"/>
    <x v="0"/>
    <x v="2"/>
    <n v="2163"/>
    <n v="147.94267221451688"/>
    <s v="Low"/>
  </r>
  <r>
    <s v="46826 PLUM GROVE Drive"/>
    <x v="59"/>
    <x v="1"/>
    <x v="350"/>
    <n v="159"/>
    <x v="2"/>
    <x v="5"/>
    <n v="1354"/>
    <n v="236.3367799113737"/>
    <s v="Medium"/>
  </r>
  <r>
    <s v="6344 THORNEYCROFT Drive"/>
    <x v="72"/>
    <x v="1"/>
    <x v="1028"/>
    <n v="4"/>
    <x v="2"/>
    <x v="3"/>
    <n v="1654"/>
    <n v="194.07496977025394"/>
    <s v="Low"/>
  </r>
  <r>
    <s v="38135 Yonkers"/>
    <x v="66"/>
    <x v="1"/>
    <x v="354"/>
    <n v="3"/>
    <x v="2"/>
    <x v="2"/>
    <n v="1470"/>
    <n v="219.72789115646259"/>
    <s v="Medium"/>
  </r>
  <r>
    <s v="53060 RUANN Drive"/>
    <x v="72"/>
    <x v="1"/>
    <x v="1029"/>
    <n v="21"/>
    <x v="2"/>
    <x v="2"/>
    <n v="1661"/>
    <n v="195.06321493076459"/>
    <s v="Low"/>
  </r>
  <r>
    <s v="70692 Sunny Brook"/>
    <x v="74"/>
    <x v="1"/>
    <x v="1030"/>
    <n v="413"/>
    <x v="2"/>
    <x v="2"/>
    <n v="1595"/>
    <n v="203.63322884012538"/>
    <s v="Medium"/>
  </r>
  <r>
    <s v="18152 ASH CREEK Drive"/>
    <x v="59"/>
    <x v="1"/>
    <x v="359"/>
    <n v="7"/>
    <x v="2"/>
    <x v="3"/>
    <n v="1228"/>
    <n v="264.65798045602605"/>
    <s v="Medium"/>
  </r>
  <r>
    <s v="46518 Featherstone"/>
    <x v="72"/>
    <x v="1"/>
    <x v="359"/>
    <n v="5"/>
    <x v="2"/>
    <x v="3"/>
    <n v="1770"/>
    <n v="183.61581920903956"/>
    <s v="Low"/>
  </r>
  <r>
    <s v="5286 25 Mile Rd"/>
    <x v="72"/>
    <x v="1"/>
    <x v="359"/>
    <n v="4"/>
    <x v="2"/>
    <x v="3"/>
    <n v="1600"/>
    <n v="203.125"/>
    <s v="Medium"/>
  </r>
  <r>
    <s v="34016 NORTHWOOD Court"/>
    <x v="66"/>
    <x v="1"/>
    <x v="359"/>
    <n v="6"/>
    <x v="2"/>
    <x v="3"/>
    <n v="1391"/>
    <n v="233.64485981308411"/>
    <s v="Medium"/>
  </r>
  <r>
    <s v="53081 SCENIC Drive"/>
    <x v="72"/>
    <x v="1"/>
    <x v="359"/>
    <n v="5"/>
    <x v="2"/>
    <x v="3"/>
    <n v="1209"/>
    <n v="268.81720430107526"/>
    <s v="Medium"/>
  </r>
  <r>
    <s v="16226 KINGSTON"/>
    <x v="76"/>
    <x v="1"/>
    <x v="359"/>
    <n v="27"/>
    <x v="2"/>
    <x v="2"/>
    <n v="1622"/>
    <n v="200.3699136868064"/>
    <s v="Medium"/>
  </r>
  <r>
    <s v="46022 Brookside North"/>
    <x v="59"/>
    <x v="1"/>
    <x v="359"/>
    <n v="11"/>
    <x v="2"/>
    <x v="2"/>
    <n v="1400"/>
    <n v="232.14285714285714"/>
    <s v="Medium"/>
  </r>
  <r>
    <s v="33565 MULVEY"/>
    <x v="76"/>
    <x v="1"/>
    <x v="359"/>
    <n v="29"/>
    <x v="2"/>
    <x v="2"/>
    <n v="1656"/>
    <n v="196.25603864734299"/>
    <s v="Low"/>
  </r>
  <r>
    <s v="51795 LILLIAN Road"/>
    <x v="69"/>
    <x v="1"/>
    <x v="359"/>
    <n v="24"/>
    <x v="2"/>
    <x v="5"/>
    <n v="1838"/>
    <n v="176.82263329706203"/>
    <s v="Low"/>
  </r>
  <r>
    <s v="36611 IROQUOIS Drive"/>
    <x v="66"/>
    <x v="1"/>
    <x v="359"/>
    <n v="88"/>
    <x v="0"/>
    <x v="5"/>
    <n v="2186"/>
    <n v="148.67337602927722"/>
    <s v="Low"/>
  </r>
  <r>
    <s v="39885 Waldorf"/>
    <x v="64"/>
    <x v="1"/>
    <x v="1031"/>
    <n v="16"/>
    <x v="2"/>
    <x v="10"/>
    <n v="1621"/>
    <n v="201.11042566317087"/>
    <s v="Medium"/>
  </r>
  <r>
    <s v="31427 Anita Drive"/>
    <x v="61"/>
    <x v="1"/>
    <x v="360"/>
    <n v="3"/>
    <x v="0"/>
    <x v="4"/>
    <n v="2034"/>
    <n v="160.7669616519174"/>
    <s v="Low"/>
  </r>
  <r>
    <s v="37511 Maas"/>
    <x v="66"/>
    <x v="1"/>
    <x v="360"/>
    <n v="75"/>
    <x v="2"/>
    <x v="2"/>
    <n v="1682"/>
    <n v="194.4114149821641"/>
    <s v="Low"/>
  </r>
  <r>
    <s v="46792 OAK POINTE Drive"/>
    <x v="59"/>
    <x v="1"/>
    <x v="362"/>
    <n v="15"/>
    <x v="0"/>
    <x v="3"/>
    <n v="1500"/>
    <n v="219.33333333333334"/>
    <s v="Medium"/>
  </r>
  <r>
    <s v="41985 Jason"/>
    <x v="64"/>
    <x v="1"/>
    <x v="363"/>
    <n v="14"/>
    <x v="2"/>
    <x v="5"/>
    <n v="1631"/>
    <n v="202.32985898221949"/>
    <s v="Medium"/>
  </r>
  <r>
    <s v="70928 Natures Way"/>
    <x v="74"/>
    <x v="1"/>
    <x v="363"/>
    <n v="4"/>
    <x v="2"/>
    <x v="4"/>
    <n v="1935"/>
    <n v="170.54263565891472"/>
    <s v="Low"/>
  </r>
  <r>
    <s v="41947 UTAH Drive"/>
    <x v="66"/>
    <x v="1"/>
    <x v="363"/>
    <n v="5"/>
    <x v="2"/>
    <x v="5"/>
    <n v="1345"/>
    <n v="245.35315985130111"/>
    <s v="Medium"/>
  </r>
  <r>
    <s v="50850 PRINCETON Drive"/>
    <x v="59"/>
    <x v="1"/>
    <x v="363"/>
    <n v="0"/>
    <x v="0"/>
    <x v="8"/>
    <n v="2417"/>
    <n v="136.53289201489449"/>
    <s v="Low"/>
  </r>
  <r>
    <s v="37751 VIA ROSALIE Street"/>
    <x v="64"/>
    <x v="1"/>
    <x v="363"/>
    <n v="4"/>
    <x v="2"/>
    <x v="4"/>
    <n v="1868"/>
    <n v="176.65952890792292"/>
    <s v="Low"/>
  </r>
  <r>
    <s v="51610 WILSHIRE Drive"/>
    <x v="83"/>
    <x v="1"/>
    <x v="363"/>
    <n v="59"/>
    <x v="2"/>
    <x v="5"/>
    <n v="1900"/>
    <n v="173.68421052631578"/>
    <s v="Low"/>
  </r>
  <r>
    <s v="37364 DUNDEE Street"/>
    <x v="66"/>
    <x v="1"/>
    <x v="363"/>
    <n v="174"/>
    <x v="2"/>
    <x v="10"/>
    <n v="1380"/>
    <n v="239.13043478260869"/>
    <s v="Medium"/>
  </r>
  <r>
    <s v="20194 CALUMET Drive"/>
    <x v="64"/>
    <x v="1"/>
    <x v="1032"/>
    <n v="2"/>
    <x v="2"/>
    <x v="2"/>
    <n v="1762"/>
    <n v="188.13847900113507"/>
    <s v="Low"/>
  </r>
  <r>
    <s v="40674 Lizabeth"/>
    <x v="66"/>
    <x v="1"/>
    <x v="1033"/>
    <n v="3"/>
    <x v="0"/>
    <x v="3"/>
    <n v="1566"/>
    <n v="212.00510855683268"/>
    <s v="Medium"/>
  </r>
  <r>
    <s v="2024 MICHAEL Drive"/>
    <x v="66"/>
    <x v="1"/>
    <x v="1033"/>
    <n v="36"/>
    <x v="0"/>
    <x v="2"/>
    <n v="2122"/>
    <n v="156.45617342130066"/>
    <s v="Low"/>
  </r>
  <r>
    <s v="36715 ROWE Drive"/>
    <x v="66"/>
    <x v="1"/>
    <x v="1034"/>
    <n v="6"/>
    <x v="0"/>
    <x v="3"/>
    <n v="1656"/>
    <n v="201.08695652173913"/>
    <s v="Medium"/>
  </r>
  <r>
    <s v="12456 N York"/>
    <x v="66"/>
    <x v="1"/>
    <x v="1035"/>
    <n v="21"/>
    <x v="2"/>
    <x v="3"/>
    <n v="1386"/>
    <n v="240.62049062049061"/>
    <s v="Medium"/>
  </r>
  <r>
    <s v="3800 POKLEY"/>
    <x v="66"/>
    <x v="1"/>
    <x v="367"/>
    <n v="6"/>
    <x v="0"/>
    <x v="10"/>
    <n v="2750"/>
    <n v="121.81818181818181"/>
    <s v="Low"/>
  </r>
  <r>
    <s v="46843 Foxtail"/>
    <x v="59"/>
    <x v="1"/>
    <x v="367"/>
    <n v="5"/>
    <x v="2"/>
    <x v="10"/>
    <n v="1700"/>
    <n v="197.05882352941177"/>
    <s v="Low"/>
  </r>
  <r>
    <s v="53611 LYNNHAM Lane"/>
    <x v="59"/>
    <x v="1"/>
    <x v="367"/>
    <n v="4"/>
    <x v="2"/>
    <x v="3"/>
    <n v="1545"/>
    <n v="216.82847896440128"/>
    <s v="Medium"/>
  </r>
  <r>
    <s v="37856 MALLAST Street"/>
    <x v="75"/>
    <x v="1"/>
    <x v="367"/>
    <n v="13"/>
    <x v="2"/>
    <x v="10"/>
    <n v="2100"/>
    <n v="159.52380952380952"/>
    <s v="Low"/>
  </r>
  <r>
    <s v="36912 Almont"/>
    <x v="66"/>
    <x v="1"/>
    <x v="367"/>
    <n v="8"/>
    <x v="2"/>
    <x v="3"/>
    <n v="1520"/>
    <n v="220.39473684210526"/>
    <s v="Medium"/>
  </r>
  <r>
    <s v="14463 DRESDEN Drive"/>
    <x v="66"/>
    <x v="1"/>
    <x v="368"/>
    <n v="6"/>
    <x v="2"/>
    <x v="3"/>
    <n v="1520"/>
    <n v="221.05263157894737"/>
    <s v="Medium"/>
  </r>
  <r>
    <s v="22600 Bluewater"/>
    <x v="59"/>
    <x v="1"/>
    <x v="368"/>
    <n v="157"/>
    <x v="2"/>
    <x v="10"/>
    <n v="1686"/>
    <n v="199.28825622775801"/>
    <s v="Low"/>
  </r>
  <r>
    <s v="53644 MARY ANN Lane"/>
    <x v="83"/>
    <x v="1"/>
    <x v="371"/>
    <n v="23"/>
    <x v="2"/>
    <x v="5"/>
    <n v="1637"/>
    <n v="207.08613317043373"/>
    <s v="Medium"/>
  </r>
  <r>
    <s v="20325 MAUER Street"/>
    <x v="67"/>
    <x v="1"/>
    <x v="371"/>
    <n v="29"/>
    <x v="0"/>
    <x v="5"/>
    <n v="2456"/>
    <n v="138.02931596091204"/>
    <s v="Low"/>
  </r>
  <r>
    <s v="36578 Saint Clair"/>
    <x v="83"/>
    <x v="1"/>
    <x v="371"/>
    <n v="47"/>
    <x v="2"/>
    <x v="2"/>
    <n v="1791"/>
    <n v="189.27973199329983"/>
    <s v="Low"/>
  </r>
  <r>
    <s v="70484 SUNNY BROOK Lane"/>
    <x v="74"/>
    <x v="1"/>
    <x v="373"/>
    <n v="901"/>
    <x v="2"/>
    <x v="5"/>
    <n v="1973"/>
    <n v="172.27572225038014"/>
    <s v="Low"/>
  </r>
  <r>
    <s v="36719 Ridgecroft"/>
    <x v="66"/>
    <x v="1"/>
    <x v="374"/>
    <n v="13"/>
    <x v="2"/>
    <x v="5"/>
    <n v="2047"/>
    <n v="166.09672691744015"/>
    <s v="Low"/>
  </r>
  <r>
    <s v="26750 Birchcrest"/>
    <x v="69"/>
    <x v="1"/>
    <x v="374"/>
    <n v="2"/>
    <x v="2"/>
    <x v="5"/>
    <n v="1649"/>
    <n v="206.18556701030928"/>
    <s v="Medium"/>
  </r>
  <r>
    <s v="46872 JEFFERSON Avenue"/>
    <x v="69"/>
    <x v="1"/>
    <x v="374"/>
    <n v="27"/>
    <x v="2"/>
    <x v="5"/>
    <n v="1575"/>
    <n v="215.87301587301587"/>
    <s v="Medium"/>
  </r>
  <r>
    <s v="174 W Hollister"/>
    <x v="80"/>
    <x v="1"/>
    <x v="374"/>
    <n v="88"/>
    <x v="0"/>
    <x v="2"/>
    <n v="1804"/>
    <n v="188.47006651884701"/>
    <s v="Low"/>
  </r>
  <r>
    <s v="53287 Joann Marie"/>
    <x v="69"/>
    <x v="1"/>
    <x v="374"/>
    <n v="60"/>
    <x v="2"/>
    <x v="10"/>
    <n v="1513"/>
    <n v="224.71910112359549"/>
    <s v="Medium"/>
  </r>
  <r>
    <s v="13052 Picadilly"/>
    <x v="66"/>
    <x v="1"/>
    <x v="374"/>
    <n v="56"/>
    <x v="0"/>
    <x v="3"/>
    <n v="1930"/>
    <n v="176.16580310880829"/>
    <s v="Low"/>
  </r>
  <r>
    <s v="51895 Fairchild"/>
    <x v="69"/>
    <x v="1"/>
    <x v="374"/>
    <n v="151"/>
    <x v="2"/>
    <x v="2"/>
    <n v="1580"/>
    <n v="215.18987341772151"/>
    <s v="Medium"/>
  </r>
  <r>
    <s v="20902 OAK RIDGE Drive"/>
    <x v="64"/>
    <x v="1"/>
    <x v="375"/>
    <n v="8"/>
    <x v="0"/>
    <x v="5"/>
    <n v="2325"/>
    <n v="146.66666666666666"/>
    <s v="Low"/>
  </r>
  <r>
    <s v="4947 Southview"/>
    <x v="72"/>
    <x v="1"/>
    <x v="377"/>
    <n v="3"/>
    <x v="0"/>
    <x v="3"/>
    <n v="1665"/>
    <n v="206.006006006006"/>
    <s v="Medium"/>
  </r>
  <r>
    <s v="39039 Shoreline Drive"/>
    <x v="75"/>
    <x v="1"/>
    <x v="377"/>
    <n v="11"/>
    <x v="2"/>
    <x v="2"/>
    <n v="2131"/>
    <n v="160.95729704364149"/>
    <s v="Low"/>
  </r>
  <r>
    <s v="29548 OLD NORTH RIVER Road"/>
    <x v="75"/>
    <x v="1"/>
    <x v="1036"/>
    <n v="35"/>
    <x v="0"/>
    <x v="2"/>
    <n v="1971"/>
    <n v="174.53069507864029"/>
    <s v="Low"/>
  </r>
  <r>
    <s v="38929 Arlingdale  Drive"/>
    <x v="66"/>
    <x v="1"/>
    <x v="378"/>
    <n v="16"/>
    <x v="2"/>
    <x v="2"/>
    <n v="1797"/>
    <n v="191.98664440734558"/>
    <s v="Low"/>
  </r>
  <r>
    <s v="14374 Pernell Drive"/>
    <x v="66"/>
    <x v="1"/>
    <x v="378"/>
    <n v="34"/>
    <x v="2"/>
    <x v="5"/>
    <n v="2011"/>
    <n v="171.55643958229737"/>
    <s v="Low"/>
  </r>
  <r>
    <s v="35362 Riebel"/>
    <x v="64"/>
    <x v="1"/>
    <x v="378"/>
    <n v="57"/>
    <x v="0"/>
    <x v="5"/>
    <n v="2513"/>
    <n v="137.28611221647432"/>
    <s v="Low"/>
  </r>
  <r>
    <s v="36595 MAPLEWOOD Drive"/>
    <x v="66"/>
    <x v="1"/>
    <x v="378"/>
    <n v="80"/>
    <x v="2"/>
    <x v="2"/>
    <n v="1603"/>
    <n v="215.22145976294448"/>
    <s v="Medium"/>
  </r>
  <r>
    <s v="37551 FIELDCREST Lane"/>
    <x v="66"/>
    <x v="1"/>
    <x v="379"/>
    <n v="4"/>
    <x v="2"/>
    <x v="2"/>
    <n v="1521"/>
    <n v="227.48191978961211"/>
    <s v="Medium"/>
  </r>
  <r>
    <s v="210 Beuland"/>
    <x v="62"/>
    <x v="1"/>
    <x v="381"/>
    <n v="3"/>
    <x v="2"/>
    <x v="10"/>
    <n v="2100"/>
    <n v="165.23809523809524"/>
    <s v="Low"/>
  </r>
  <r>
    <s v="52119 Rivard Road"/>
    <x v="83"/>
    <x v="1"/>
    <x v="382"/>
    <n v="41"/>
    <x v="0"/>
    <x v="5"/>
    <n v="2036"/>
    <n v="170.92337917485264"/>
    <s v="Low"/>
  </r>
  <r>
    <s v="52119 Rivard Road"/>
    <x v="83"/>
    <x v="1"/>
    <x v="382"/>
    <n v="24"/>
    <x v="0"/>
    <x v="5"/>
    <n v="2036"/>
    <n v="170.92337917485264"/>
    <s v="Low"/>
  </r>
  <r>
    <s v="3077 CHARITY Drive"/>
    <x v="66"/>
    <x v="1"/>
    <x v="383"/>
    <n v="8"/>
    <x v="2"/>
    <x v="5"/>
    <n v="1850"/>
    <n v="188.64864864864865"/>
    <s v="Low"/>
  </r>
  <r>
    <s v="7725 MARY LOU Court"/>
    <x v="72"/>
    <x v="1"/>
    <x v="385"/>
    <n v="13"/>
    <x v="2"/>
    <x v="2"/>
    <n v="1310"/>
    <n v="267.09923664122135"/>
    <s v="Medium"/>
  </r>
  <r>
    <s v="40351 ALEXANDRIA Drive"/>
    <x v="66"/>
    <x v="1"/>
    <x v="386"/>
    <n v="5"/>
    <x v="2"/>
    <x v="3"/>
    <n v="1791"/>
    <n v="195.42155220547181"/>
    <s v="Low"/>
  </r>
  <r>
    <s v="37980 Moravian"/>
    <x v="64"/>
    <x v="1"/>
    <x v="386"/>
    <n v="4"/>
    <x v="2"/>
    <x v="5"/>
    <n v="1700"/>
    <n v="205.88235294117646"/>
    <s v="Medium"/>
  </r>
  <r>
    <s v="28807 Wales Ct"/>
    <x v="69"/>
    <x v="1"/>
    <x v="386"/>
    <n v="8"/>
    <x v="2"/>
    <x v="10"/>
    <n v="1575"/>
    <n v="222.22222222222223"/>
    <s v="Medium"/>
  </r>
  <r>
    <s v="16939 STEWART Court"/>
    <x v="64"/>
    <x v="1"/>
    <x v="386"/>
    <n v="5"/>
    <x v="2"/>
    <x v="10"/>
    <n v="1686"/>
    <n v="207.59193357058126"/>
    <s v="Medium"/>
  </r>
  <r>
    <s v="40073 VACHON Drive"/>
    <x v="66"/>
    <x v="1"/>
    <x v="386"/>
    <n v="3"/>
    <x v="2"/>
    <x v="5"/>
    <n v="1604"/>
    <n v="218.20448877805487"/>
    <s v="Medium"/>
  </r>
  <r>
    <s v="3350 GLOUCESTER Drive"/>
    <x v="66"/>
    <x v="1"/>
    <x v="386"/>
    <n v="9"/>
    <x v="2"/>
    <x v="3"/>
    <n v="1760"/>
    <n v="198.86363636363637"/>
    <s v="Low"/>
  </r>
  <r>
    <s v="32735 Desmond"/>
    <x v="61"/>
    <x v="1"/>
    <x v="386"/>
    <n v="4"/>
    <x v="2"/>
    <x v="5"/>
    <n v="2353"/>
    <n v="148.74628134296643"/>
    <s v="Low"/>
  </r>
  <r>
    <s v="37054 MARIANO Drive"/>
    <x v="66"/>
    <x v="1"/>
    <x v="386"/>
    <n v="13"/>
    <x v="0"/>
    <x v="2"/>
    <n v="2100"/>
    <n v="166.66666666666666"/>
    <s v="Low"/>
  </r>
  <r>
    <s v="47645 BLUEBIRD Drive"/>
    <x v="72"/>
    <x v="1"/>
    <x v="1037"/>
    <n v="18"/>
    <x v="2"/>
    <x v="3"/>
    <n v="1734"/>
    <n v="202.32987312572087"/>
    <s v="Medium"/>
  </r>
  <r>
    <s v="38318 CAMERON Drive"/>
    <x v="66"/>
    <x v="1"/>
    <x v="387"/>
    <n v="4"/>
    <x v="2"/>
    <x v="3"/>
    <n v="1556"/>
    <n v="225.57840616966581"/>
    <s v="Medium"/>
  </r>
  <r>
    <s v="46641 WOODALL Road"/>
    <x v="72"/>
    <x v="1"/>
    <x v="1038"/>
    <n v="4"/>
    <x v="2"/>
    <x v="3"/>
    <n v="2406"/>
    <n v="146.34247714048212"/>
    <s v="Low"/>
  </r>
  <r>
    <s v="35661 Wellston"/>
    <x v="66"/>
    <x v="1"/>
    <x v="391"/>
    <n v="17"/>
    <x v="2"/>
    <x v="2"/>
    <n v="1709"/>
    <n v="207.7238150965477"/>
    <s v="Medium"/>
  </r>
  <r>
    <s v="38231 Santa Barbara Street"/>
    <x v="64"/>
    <x v="1"/>
    <x v="391"/>
    <n v="5"/>
    <x v="2"/>
    <x v="2"/>
    <n v="1668"/>
    <n v="212.82973621103116"/>
    <s v="Medium"/>
  </r>
  <r>
    <s v="12918 Montbatten Court"/>
    <x v="66"/>
    <x v="1"/>
    <x v="391"/>
    <n v="25"/>
    <x v="0"/>
    <x v="2"/>
    <n v="1612"/>
    <n v="220.22332506203475"/>
    <s v="Medium"/>
  </r>
  <r>
    <s v="39690 Aynesley Street"/>
    <x v="64"/>
    <x v="1"/>
    <x v="391"/>
    <n v="12"/>
    <x v="0"/>
    <x v="5"/>
    <n v="2233"/>
    <n v="158.97895208240035"/>
    <s v="Low"/>
  </r>
  <r>
    <s v="23433 DENTON Street"/>
    <x v="64"/>
    <x v="1"/>
    <x v="393"/>
    <n v="5"/>
    <x v="3"/>
    <x v="5"/>
    <n v="2350"/>
    <n v="151.70212765957447"/>
    <s v="Low"/>
  </r>
  <r>
    <s v="3004 CHARITY Drive"/>
    <x v="66"/>
    <x v="1"/>
    <x v="394"/>
    <n v="11"/>
    <x v="2"/>
    <x v="10"/>
    <n v="1650"/>
    <n v="216.36363636363637"/>
    <s v="Medium"/>
  </r>
  <r>
    <s v="34125 JEFFERSON Avenue"/>
    <x v="67"/>
    <x v="1"/>
    <x v="395"/>
    <n v="60"/>
    <x v="3"/>
    <x v="10"/>
    <n v="2544"/>
    <n v="140.72327044025158"/>
    <s v="Low"/>
  </r>
  <r>
    <s v="49763 Compass Point"/>
    <x v="69"/>
    <x v="1"/>
    <x v="1039"/>
    <n v="5"/>
    <x v="2"/>
    <x v="5"/>
    <n v="1826"/>
    <n v="196.60460021905806"/>
    <s v="Low"/>
  </r>
  <r>
    <s v="36303 Egan"/>
    <x v="64"/>
    <x v="1"/>
    <x v="1040"/>
    <n v="153"/>
    <x v="2"/>
    <x v="2"/>
    <n v="1600"/>
    <n v="224.9375"/>
    <s v="Medium"/>
  </r>
  <r>
    <s v="36262 Egan"/>
    <x v="64"/>
    <x v="1"/>
    <x v="1040"/>
    <n v="70"/>
    <x v="2"/>
    <x v="2"/>
    <n v="1600"/>
    <n v="224.9375"/>
    <s v="Medium"/>
  </r>
  <r>
    <s v="53244 Garland"/>
    <x v="72"/>
    <x v="1"/>
    <x v="396"/>
    <n v="3"/>
    <x v="2"/>
    <x v="2"/>
    <n v="1500"/>
    <n v="240"/>
    <s v="Medium"/>
  </r>
  <r>
    <s v="45937 DUKE Drive"/>
    <x v="69"/>
    <x v="1"/>
    <x v="396"/>
    <n v="12"/>
    <x v="2"/>
    <x v="4"/>
    <n v="1858"/>
    <n v="193.75672766415499"/>
    <s v="Low"/>
  </r>
  <r>
    <s v="4979 MINDY LYNN Drive"/>
    <x v="66"/>
    <x v="1"/>
    <x v="396"/>
    <n v="5"/>
    <x v="0"/>
    <x v="3"/>
    <n v="1908"/>
    <n v="188.67924528301887"/>
    <s v="Low"/>
  </r>
  <r>
    <s v="37315 Vita Marie"/>
    <x v="64"/>
    <x v="1"/>
    <x v="396"/>
    <n v="22"/>
    <x v="2"/>
    <x v="2"/>
    <n v="1545"/>
    <n v="233.00970873786409"/>
    <s v="Medium"/>
  </r>
  <r>
    <s v="36742 IROQUOIS Drive"/>
    <x v="66"/>
    <x v="1"/>
    <x v="396"/>
    <n v="20"/>
    <x v="0"/>
    <x v="3"/>
    <n v="2062"/>
    <n v="174.58777885548011"/>
    <s v="Low"/>
  </r>
  <r>
    <s v="18976 DIXIE Drive"/>
    <x v="64"/>
    <x v="1"/>
    <x v="396"/>
    <n v="74"/>
    <x v="3"/>
    <x v="10"/>
    <n v="2325"/>
    <n v="154.83870967741936"/>
    <s v="Low"/>
  </r>
  <r>
    <s v="11865 RAINTREE"/>
    <x v="72"/>
    <x v="1"/>
    <x v="399"/>
    <n v="0"/>
    <x v="2"/>
    <x v="5"/>
    <n v="2325"/>
    <n v="155.91397849462365"/>
    <s v="Low"/>
  </r>
  <r>
    <s v="58396 RIVER OAKS Drive"/>
    <x v="71"/>
    <x v="1"/>
    <x v="399"/>
    <n v="42"/>
    <x v="3"/>
    <x v="5"/>
    <n v="2432"/>
    <n v="149.05427631578948"/>
    <s v="Low"/>
  </r>
  <r>
    <s v="21206 CLEAR CREEK Boulevard"/>
    <x v="64"/>
    <x v="1"/>
    <x v="1041"/>
    <n v="10"/>
    <x v="2"/>
    <x v="5"/>
    <n v="2242"/>
    <n v="161.90900981266725"/>
    <s v="Low"/>
  </r>
  <r>
    <s v="23051 Legacy Court"/>
    <x v="59"/>
    <x v="1"/>
    <x v="1041"/>
    <n v="348"/>
    <x v="2"/>
    <x v="5"/>
    <n v="1956"/>
    <n v="185.58282208588957"/>
    <s v="Low"/>
  </r>
  <r>
    <s v="39449 Della Rosa"/>
    <x v="66"/>
    <x v="1"/>
    <x v="1042"/>
    <n v="44"/>
    <x v="0"/>
    <x v="2"/>
    <n v="1912"/>
    <n v="190.58577405857741"/>
    <s v="Low"/>
  </r>
  <r>
    <s v="15762 Nader"/>
    <x v="64"/>
    <x v="1"/>
    <x v="401"/>
    <n v="3"/>
    <x v="2"/>
    <x v="10"/>
    <n v="1816"/>
    <n v="200.99118942731278"/>
    <s v="Medium"/>
  </r>
  <r>
    <s v="46045 BROOKSIDE NORTH Drive"/>
    <x v="59"/>
    <x v="1"/>
    <x v="401"/>
    <n v="6"/>
    <x v="0"/>
    <x v="5"/>
    <n v="2184"/>
    <n v="167.12454212454213"/>
    <s v="Low"/>
  </r>
  <r>
    <s v="11355 24 MILE Road"/>
    <x v="72"/>
    <x v="1"/>
    <x v="401"/>
    <n v="21"/>
    <x v="3"/>
    <x v="5"/>
    <n v="2672"/>
    <n v="136.60179640718562"/>
    <s v="Low"/>
  </r>
  <r>
    <s v="13838 Pernell"/>
    <x v="66"/>
    <x v="1"/>
    <x v="401"/>
    <n v="49"/>
    <x v="0"/>
    <x v="8"/>
    <n v="2444"/>
    <n v="149.34533551554827"/>
    <s v="Low"/>
  </r>
  <r>
    <s v="20360 Saint Laurence Drive"/>
    <x v="64"/>
    <x v="1"/>
    <x v="401"/>
    <n v="38"/>
    <x v="7"/>
    <x v="19"/>
    <n v="2450"/>
    <n v="148.9795918367347"/>
    <s v="Low"/>
  </r>
  <r>
    <s v="52420 Cleveland"/>
    <x v="83"/>
    <x v="1"/>
    <x v="401"/>
    <n v="38"/>
    <x v="2"/>
    <x v="5"/>
    <n v="1698"/>
    <n v="214.9587750294464"/>
    <s v="Medium"/>
  </r>
  <r>
    <s v="37011 MAAS Drive"/>
    <x v="66"/>
    <x v="1"/>
    <x v="401"/>
    <n v="10"/>
    <x v="0"/>
    <x v="2"/>
    <n v="2200"/>
    <n v="165.90909090909091"/>
    <s v="Low"/>
  </r>
  <r>
    <s v="8208 Wiloray Avenue"/>
    <x v="72"/>
    <x v="1"/>
    <x v="401"/>
    <n v="77"/>
    <x v="0"/>
    <x v="5"/>
    <n v="2568"/>
    <n v="142.13395638629282"/>
    <s v="Low"/>
  </r>
  <r>
    <s v="8183 Pippen"/>
    <x v="85"/>
    <x v="1"/>
    <x v="401"/>
    <n v="194"/>
    <x v="2"/>
    <x v="2"/>
    <n v="1826"/>
    <n v="199.89047097480832"/>
    <s v="Low"/>
  </r>
  <r>
    <s v="17694 Briarwood"/>
    <x v="59"/>
    <x v="1"/>
    <x v="1043"/>
    <n v="8"/>
    <x v="2"/>
    <x v="5"/>
    <n v="1746"/>
    <n v="209.10652920962198"/>
    <s v="Medium"/>
  </r>
  <r>
    <s v="18010 TROON Trail"/>
    <x v="59"/>
    <x v="1"/>
    <x v="1044"/>
    <n v="69"/>
    <x v="0"/>
    <x v="5"/>
    <n v="1800"/>
    <n v="203.27777777777777"/>
    <s v="Medium"/>
  </r>
  <r>
    <s v="14701 22 Mile"/>
    <x v="72"/>
    <x v="1"/>
    <x v="402"/>
    <n v="166"/>
    <x v="2"/>
    <x v="2"/>
    <n v="1575"/>
    <n v="233.01587301587301"/>
    <s v="Medium"/>
  </r>
  <r>
    <s v="48526 JEFFERSON Avenue"/>
    <x v="69"/>
    <x v="1"/>
    <x v="404"/>
    <n v="18"/>
    <x v="2"/>
    <x v="2"/>
    <n v="1640"/>
    <n v="224.39024390243901"/>
    <s v="Medium"/>
  </r>
  <r>
    <s v="53103 SCENIC Drive"/>
    <x v="72"/>
    <x v="1"/>
    <x v="1045"/>
    <n v="2"/>
    <x v="2"/>
    <x v="2"/>
    <n v="1766"/>
    <n v="209.45639864099661"/>
    <s v="Medium"/>
  </r>
  <r>
    <s v="2625 Purcell Drive"/>
    <x v="66"/>
    <x v="1"/>
    <x v="407"/>
    <n v="7"/>
    <x v="0"/>
    <x v="5"/>
    <n v="1568"/>
    <n v="235.96938775510205"/>
    <s v="Medium"/>
  </r>
  <r>
    <s v="46200 COACHWOOD Drive"/>
    <x v="72"/>
    <x v="1"/>
    <x v="407"/>
    <n v="12"/>
    <x v="2"/>
    <x v="2"/>
    <n v="1723"/>
    <n v="214.74172954149739"/>
    <s v="Medium"/>
  </r>
  <r>
    <s v="24419 Chelsea"/>
    <x v="64"/>
    <x v="1"/>
    <x v="407"/>
    <n v="3"/>
    <x v="2"/>
    <x v="5"/>
    <n v="2180"/>
    <n v="169.72477064220183"/>
    <s v="Low"/>
  </r>
  <r>
    <s v="52818 CROSS CREEK Drive"/>
    <x v="69"/>
    <x v="1"/>
    <x v="407"/>
    <n v="5"/>
    <x v="2"/>
    <x v="5"/>
    <n v="1697"/>
    <n v="218.03182086034178"/>
    <s v="Medium"/>
  </r>
  <r>
    <s v="35539 Harrison"/>
    <x v="83"/>
    <x v="1"/>
    <x v="407"/>
    <n v="47"/>
    <x v="0"/>
    <x v="5"/>
    <n v="2265"/>
    <n v="163.35540838852097"/>
    <s v="Low"/>
  </r>
  <r>
    <s v="18202 Wingate"/>
    <x v="59"/>
    <x v="1"/>
    <x v="407"/>
    <n v="7"/>
    <x v="2"/>
    <x v="2"/>
    <n v="1631"/>
    <n v="226.85469037400367"/>
    <s v="Medium"/>
  </r>
  <r>
    <s v="44075 Dunham Ct"/>
    <x v="64"/>
    <x v="1"/>
    <x v="407"/>
    <n v="6"/>
    <x v="2"/>
    <x v="5"/>
    <n v="1844"/>
    <n v="200.65075921908894"/>
    <s v="Medium"/>
  </r>
  <r>
    <s v="64149 WINDSOR Drive"/>
    <x v="78"/>
    <x v="1"/>
    <x v="407"/>
    <n v="5"/>
    <x v="2"/>
    <x v="3"/>
    <n v="1550"/>
    <n v="238.70967741935485"/>
    <s v="Medium"/>
  </r>
  <r>
    <s v="22931 Ulrich Street"/>
    <x v="64"/>
    <x v="1"/>
    <x v="407"/>
    <n v="463"/>
    <x v="2"/>
    <x v="5"/>
    <n v="1900"/>
    <n v="194.73684210526315"/>
    <s v="Low"/>
  </r>
  <r>
    <s v="32645 Northampton"/>
    <x v="61"/>
    <x v="1"/>
    <x v="407"/>
    <n v="77"/>
    <x v="0"/>
    <x v="5"/>
    <n v="2450"/>
    <n v="151.0204081632653"/>
    <s v="Low"/>
  </r>
  <r>
    <s v="22649 EDDY Drive"/>
    <x v="59"/>
    <x v="1"/>
    <x v="407"/>
    <n v="60"/>
    <x v="0"/>
    <x v="5"/>
    <n v="2106"/>
    <n v="175.68850902184235"/>
    <s v="Low"/>
  </r>
  <r>
    <s v="39725 Brylor Court"/>
    <x v="64"/>
    <x v="1"/>
    <x v="1046"/>
    <n v="5"/>
    <x v="2"/>
    <x v="5"/>
    <n v="1832"/>
    <n v="202.94759825327512"/>
    <s v="Medium"/>
  </r>
  <r>
    <s v="3601 Denson Drive"/>
    <x v="66"/>
    <x v="1"/>
    <x v="408"/>
    <n v="4"/>
    <x v="0"/>
    <x v="10"/>
    <n v="1932"/>
    <n v="192.54658385093168"/>
    <s v="Low"/>
  </r>
  <r>
    <s v="6205 THORNEYCROFT Drive"/>
    <x v="72"/>
    <x v="1"/>
    <x v="414"/>
    <n v="3"/>
    <x v="0"/>
    <x v="5"/>
    <n v="2017"/>
    <n v="185.91968269707488"/>
    <s v="Low"/>
  </r>
  <r>
    <s v="12839 Shady Lane Drive"/>
    <x v="66"/>
    <x v="1"/>
    <x v="414"/>
    <n v="4"/>
    <x v="2"/>
    <x v="4"/>
    <n v="1588"/>
    <n v="236.14609571788412"/>
    <s v="Medium"/>
  </r>
  <r>
    <s v="46435 BUTTE Drive"/>
    <x v="59"/>
    <x v="1"/>
    <x v="414"/>
    <n v="13"/>
    <x v="2"/>
    <x v="10"/>
    <n v="2137"/>
    <n v="175.47964436125409"/>
    <s v="Low"/>
  </r>
  <r>
    <s v="46789 Vineyards"/>
    <x v="59"/>
    <x v="1"/>
    <x v="414"/>
    <n v="17"/>
    <x v="2"/>
    <x v="5"/>
    <n v="2158"/>
    <n v="173.77201112140872"/>
    <s v="Low"/>
  </r>
  <r>
    <s v="38341 CAMERON Drive"/>
    <x v="66"/>
    <x v="1"/>
    <x v="414"/>
    <n v="12"/>
    <x v="0"/>
    <x v="4"/>
    <n v="2100"/>
    <n v="178.57142857142858"/>
    <s v="Low"/>
  </r>
  <r>
    <s v="22432 POINTE Drive"/>
    <x v="67"/>
    <x v="1"/>
    <x v="414"/>
    <n v="78"/>
    <x v="2"/>
    <x v="2"/>
    <n v="2383"/>
    <n v="157.36466638690726"/>
    <s v="Low"/>
  </r>
  <r>
    <s v="47850 WALDEN Road"/>
    <x v="59"/>
    <x v="1"/>
    <x v="414"/>
    <n v="88"/>
    <x v="0"/>
    <x v="2"/>
    <n v="2473"/>
    <n v="151.637687019814"/>
    <s v="Low"/>
  </r>
  <r>
    <s v="16568 Stephen"/>
    <x v="59"/>
    <x v="1"/>
    <x v="1047"/>
    <n v="1"/>
    <x v="2"/>
    <x v="5"/>
    <n v="1769"/>
    <n v="213.39739966082533"/>
    <s v="Medium"/>
  </r>
  <r>
    <s v="22418 RIO VISTA Street"/>
    <x v="67"/>
    <x v="1"/>
    <x v="419"/>
    <n v="8"/>
    <x v="2"/>
    <x v="2"/>
    <n v="1505"/>
    <n v="251.16279069767441"/>
    <s v="Medium"/>
  </r>
  <r>
    <s v="31305 Louise"/>
    <x v="69"/>
    <x v="1"/>
    <x v="420"/>
    <n v="10"/>
    <x v="2"/>
    <x v="10"/>
    <n v="1644"/>
    <n v="230.53527980535279"/>
    <s v="Medium"/>
  </r>
  <r>
    <s v="20324 Edmunton Street"/>
    <x v="67"/>
    <x v="1"/>
    <x v="420"/>
    <n v="69"/>
    <x v="0"/>
    <x v="4"/>
    <n v="2500"/>
    <n v="151.6"/>
    <s v="Low"/>
  </r>
  <r>
    <s v="30008 CAMDEN Circle"/>
    <x v="69"/>
    <x v="1"/>
    <x v="421"/>
    <n v="0"/>
    <x v="2"/>
    <x v="10"/>
    <n v="1967"/>
    <n v="193.1367564819522"/>
    <s v="Low"/>
  </r>
  <r>
    <s v="32523 Robeson"/>
    <x v="67"/>
    <x v="1"/>
    <x v="421"/>
    <n v="109"/>
    <x v="2"/>
    <x v="5"/>
    <n v="1725"/>
    <n v="220.231884057971"/>
    <s v="Medium"/>
  </r>
  <r>
    <s v="11699 SHARON LEE Drive"/>
    <x v="78"/>
    <x v="1"/>
    <x v="422"/>
    <n v="11"/>
    <x v="2"/>
    <x v="3"/>
    <n v="1690"/>
    <n v="224.85207100591717"/>
    <s v="Medium"/>
  </r>
  <r>
    <s v="48260 REVERE Drive"/>
    <x v="59"/>
    <x v="1"/>
    <x v="422"/>
    <n v="4"/>
    <x v="2"/>
    <x v="5"/>
    <n v="1891"/>
    <n v="200.9518773135907"/>
    <s v="Medium"/>
  </r>
  <r>
    <s v="5035 CHADBOURNE Drive"/>
    <x v="66"/>
    <x v="1"/>
    <x v="422"/>
    <n v="80"/>
    <x v="0"/>
    <x v="5"/>
    <n v="2312"/>
    <n v="164.35986159169551"/>
    <s v="Low"/>
  </r>
  <r>
    <s v="16366 Ausable"/>
    <x v="59"/>
    <x v="1"/>
    <x v="422"/>
    <n v="34"/>
    <x v="0"/>
    <x v="5"/>
    <n v="2707"/>
    <n v="140.37680088659033"/>
    <s v="Low"/>
  </r>
  <r>
    <s v="5600 CELESTIAL Court"/>
    <x v="72"/>
    <x v="1"/>
    <x v="422"/>
    <n v="77"/>
    <x v="2"/>
    <x v="4"/>
    <n v="2594"/>
    <n v="146.49190439475714"/>
    <s v="Low"/>
  </r>
  <r>
    <s v="58176 Thomas"/>
    <x v="71"/>
    <x v="1"/>
    <x v="422"/>
    <n v="109"/>
    <x v="3"/>
    <x v="10"/>
    <n v="2592"/>
    <n v="146.60493827160494"/>
    <s v="Low"/>
  </r>
  <r>
    <s v="53386 Crawford"/>
    <x v="69"/>
    <x v="1"/>
    <x v="422"/>
    <n v="155"/>
    <x v="0"/>
    <x v="4"/>
    <n v="1750"/>
    <n v="217.14285714285714"/>
    <s v="Medium"/>
  </r>
  <r>
    <s v="44263 AUSABLE Drive"/>
    <x v="64"/>
    <x v="1"/>
    <x v="1048"/>
    <n v="4"/>
    <x v="2"/>
    <x v="5"/>
    <n v="2067"/>
    <n v="184.08321238509919"/>
    <s v="Low"/>
  </r>
  <r>
    <s v="8825 Mary Ann"/>
    <x v="72"/>
    <x v="1"/>
    <x v="423"/>
    <n v="114"/>
    <x v="2"/>
    <x v="5"/>
    <n v="2000"/>
    <n v="190.5"/>
    <s v="Low"/>
  </r>
  <r>
    <s v="4040 SANDY CREEK Drive"/>
    <x v="72"/>
    <x v="1"/>
    <x v="424"/>
    <n v="6"/>
    <x v="2"/>
    <x v="3"/>
    <n v="1454"/>
    <n v="262.72352132049519"/>
    <s v="Medium"/>
  </r>
  <r>
    <s v="31262 Broderick"/>
    <x v="69"/>
    <x v="1"/>
    <x v="424"/>
    <n v="71"/>
    <x v="0"/>
    <x v="5"/>
    <n v="2364"/>
    <n v="161.59052453468698"/>
    <s v="Low"/>
  </r>
  <r>
    <s v="41025 Vista Woods Way"/>
    <x v="64"/>
    <x v="1"/>
    <x v="424"/>
    <n v="7"/>
    <x v="2"/>
    <x v="5"/>
    <n v="2007"/>
    <n v="190.33383158943698"/>
    <s v="Low"/>
  </r>
  <r>
    <s v="43404 VINSETTA Drive"/>
    <x v="66"/>
    <x v="1"/>
    <x v="426"/>
    <n v="13"/>
    <x v="2"/>
    <x v="5"/>
    <n v="1760"/>
    <n v="218.75"/>
    <s v="Medium"/>
  </r>
  <r>
    <s v="37793 Sarafina Drive"/>
    <x v="66"/>
    <x v="1"/>
    <x v="426"/>
    <n v="9"/>
    <x v="2"/>
    <x v="2"/>
    <n v="1955"/>
    <n v="196.9309462915601"/>
    <s v="Low"/>
  </r>
  <r>
    <s v="15340 FRENCH Creek"/>
    <x v="76"/>
    <x v="1"/>
    <x v="426"/>
    <n v="4"/>
    <x v="2"/>
    <x v="5"/>
    <n v="1759"/>
    <n v="218.87436043206367"/>
    <s v="Medium"/>
  </r>
  <r>
    <s v="23981 DONALDSON Street"/>
    <x v="64"/>
    <x v="1"/>
    <x v="426"/>
    <n v="7"/>
    <x v="0"/>
    <x v="5"/>
    <n v="2392"/>
    <n v="160.95317725752508"/>
    <s v="Low"/>
  </r>
  <r>
    <s v="69200 ROMEO PLANK Road E"/>
    <x v="70"/>
    <x v="1"/>
    <x v="426"/>
    <n v="62"/>
    <x v="0"/>
    <x v="5"/>
    <n v="2064"/>
    <n v="186.53100775193798"/>
    <s v="Low"/>
  </r>
  <r>
    <s v="8855 MESSMORE Road"/>
    <x v="72"/>
    <x v="1"/>
    <x v="430"/>
    <n v="7"/>
    <x v="2"/>
    <x v="2"/>
    <n v="1726"/>
    <n v="224.79721900347624"/>
    <s v="Medium"/>
  </r>
  <r>
    <s v="12436 De Grove"/>
    <x v="66"/>
    <x v="1"/>
    <x v="430"/>
    <n v="69"/>
    <x v="3"/>
    <x v="5"/>
    <n v="2849"/>
    <n v="136.18813618813618"/>
    <s v="Low"/>
  </r>
  <r>
    <s v="16110 Vista Woods"/>
    <x v="64"/>
    <x v="1"/>
    <x v="433"/>
    <n v="10"/>
    <x v="2"/>
    <x v="5"/>
    <n v="2090"/>
    <n v="186.60287081339712"/>
    <s v="Low"/>
  </r>
  <r>
    <s v="11883 Liberty Woods Drive"/>
    <x v="78"/>
    <x v="1"/>
    <x v="433"/>
    <n v="5"/>
    <x v="2"/>
    <x v="2"/>
    <n v="1610"/>
    <n v="242.2360248447205"/>
    <s v="Medium"/>
  </r>
  <r>
    <s v="8160 INDEPENDENCE Drive"/>
    <x v="66"/>
    <x v="1"/>
    <x v="433"/>
    <n v="56"/>
    <x v="6"/>
    <x v="10"/>
    <n v="2266"/>
    <n v="172.10944395410414"/>
    <s v="Low"/>
  </r>
  <r>
    <s v="25561 S RIVER Road"/>
    <x v="75"/>
    <x v="1"/>
    <x v="433"/>
    <n v="44"/>
    <x v="2"/>
    <x v="5"/>
    <n v="1300"/>
    <n v="300"/>
    <s v="Medium"/>
  </r>
  <r>
    <s v="28722 Squire"/>
    <x v="69"/>
    <x v="1"/>
    <x v="433"/>
    <n v="21"/>
    <x v="0"/>
    <x v="5"/>
    <n v="2200"/>
    <n v="177.27272727272728"/>
    <s v="Low"/>
  </r>
  <r>
    <s v="22425 ALEXANDER Street"/>
    <x v="67"/>
    <x v="1"/>
    <x v="1049"/>
    <n v="32"/>
    <x v="2"/>
    <x v="5"/>
    <n v="2541"/>
    <n v="153.87642660369934"/>
    <s v="Low"/>
  </r>
  <r>
    <s v="28515 Emerald"/>
    <x v="69"/>
    <x v="1"/>
    <x v="1050"/>
    <n v="16"/>
    <x v="0"/>
    <x v="8"/>
    <n v="2927"/>
    <n v="133.88725657669968"/>
    <s v="Low"/>
  </r>
  <r>
    <s v="31207 GRAYSON Drive"/>
    <x v="69"/>
    <x v="1"/>
    <x v="1051"/>
    <n v="4"/>
    <x v="2"/>
    <x v="10"/>
    <n v="1742"/>
    <n v="225.02870264064293"/>
    <s v="Medium"/>
  </r>
  <r>
    <s v="28413 Emerald"/>
    <x v="69"/>
    <x v="1"/>
    <x v="1051"/>
    <n v="11"/>
    <x v="0"/>
    <x v="5"/>
    <n v="2554"/>
    <n v="153.48472983555209"/>
    <s v="Low"/>
  </r>
  <r>
    <s v="45440 Teal"/>
    <x v="69"/>
    <x v="1"/>
    <x v="1052"/>
    <n v="62"/>
    <x v="2"/>
    <x v="10"/>
    <n v="1936"/>
    <n v="203.51239669421489"/>
    <s v="Medium"/>
  </r>
  <r>
    <s v="40321 William"/>
    <x v="66"/>
    <x v="1"/>
    <x v="1053"/>
    <n v="8"/>
    <x v="3"/>
    <x v="10"/>
    <n v="1578"/>
    <n v="250"/>
    <s v="Medium"/>
  </r>
  <r>
    <s v="34142 Flower Hill"/>
    <x v="76"/>
    <x v="1"/>
    <x v="435"/>
    <n v="18"/>
    <x v="0"/>
    <x v="4"/>
    <n v="2571"/>
    <n v="153.63671723064957"/>
    <s v="Low"/>
  </r>
  <r>
    <s v="30035 CAMDEN Circle"/>
    <x v="69"/>
    <x v="1"/>
    <x v="435"/>
    <n v="52"/>
    <x v="2"/>
    <x v="2"/>
    <n v="1847"/>
    <n v="213.86031402273957"/>
    <s v="Medium"/>
  </r>
  <r>
    <s v="18006 Thomas"/>
    <x v="59"/>
    <x v="1"/>
    <x v="435"/>
    <n v="65"/>
    <x v="0"/>
    <x v="4"/>
    <n v="2372"/>
    <n v="166.52613827993255"/>
    <s v="Low"/>
  </r>
  <r>
    <s v="31256 Grayson"/>
    <x v="69"/>
    <x v="1"/>
    <x v="435"/>
    <n v="77"/>
    <x v="2"/>
    <x v="5"/>
    <n v="2742"/>
    <n v="144.05543398978847"/>
    <s v="Low"/>
  </r>
  <r>
    <s v="28855 Anchor"/>
    <x v="69"/>
    <x v="1"/>
    <x v="1054"/>
    <n v="35"/>
    <x v="2"/>
    <x v="5"/>
    <n v="1647"/>
    <n v="241.04432301153614"/>
    <s v="Medium"/>
  </r>
  <r>
    <s v="16542 FORESTVIEW Drive"/>
    <x v="64"/>
    <x v="1"/>
    <x v="1055"/>
    <n v="28"/>
    <x v="0"/>
    <x v="5"/>
    <n v="2553"/>
    <n v="155.89502546024286"/>
    <s v="Low"/>
  </r>
  <r>
    <s v="30011 CAMDEN Circle"/>
    <x v="69"/>
    <x v="1"/>
    <x v="438"/>
    <n v="115"/>
    <x v="2"/>
    <x v="10"/>
    <n v="1950"/>
    <n v="205.07692307692307"/>
    <s v="Medium"/>
  </r>
  <r>
    <s v="53361 ZACHARY Drive"/>
    <x v="69"/>
    <x v="1"/>
    <x v="439"/>
    <n v="24"/>
    <x v="2"/>
    <x v="2"/>
    <n v="2453"/>
    <n v="163.06563391765187"/>
    <s v="Low"/>
  </r>
  <r>
    <s v="47992 THISTLE Drive"/>
    <x v="59"/>
    <x v="1"/>
    <x v="439"/>
    <n v="46"/>
    <x v="2"/>
    <x v="5"/>
    <n v="1795"/>
    <n v="222.84122562674094"/>
    <s v="Medium"/>
  </r>
  <r>
    <s v="5726 Woodmire Drive"/>
    <x v="72"/>
    <x v="1"/>
    <x v="439"/>
    <n v="8"/>
    <x v="2"/>
    <x v="4"/>
    <n v="2064"/>
    <n v="193.79844961240309"/>
    <s v="Low"/>
  </r>
  <r>
    <s v="11700 Sara"/>
    <x v="78"/>
    <x v="1"/>
    <x v="439"/>
    <n v="18"/>
    <x v="2"/>
    <x v="5"/>
    <n v="1825"/>
    <n v="219.17808219178082"/>
    <s v="Medium"/>
  </r>
  <r>
    <s v="38766 MORAVIAN Drive"/>
    <x v="64"/>
    <x v="1"/>
    <x v="439"/>
    <n v="7"/>
    <x v="2"/>
    <x v="3"/>
    <n v="2233"/>
    <n v="179.13121361397222"/>
    <s v="Low"/>
  </r>
  <r>
    <s v="54638 Beacon Cove"/>
    <x v="83"/>
    <x v="1"/>
    <x v="439"/>
    <n v="74"/>
    <x v="0"/>
    <x v="5"/>
    <n v="2441"/>
    <n v="163.8672675133142"/>
    <s v="Low"/>
  </r>
  <r>
    <s v="45825 RYAN  Road"/>
    <x v="72"/>
    <x v="1"/>
    <x v="439"/>
    <n v="247"/>
    <x v="2"/>
    <x v="1"/>
    <n v="899"/>
    <n v="444.93882091212458"/>
    <s v="High"/>
  </r>
  <r>
    <s v="47127 ROSA"/>
    <x v="69"/>
    <x v="1"/>
    <x v="1056"/>
    <n v="289"/>
    <x v="2"/>
    <x v="5"/>
    <n v="2100"/>
    <n v="191.85714285714286"/>
    <s v="Low"/>
  </r>
  <r>
    <s v="33794 Morningside"/>
    <x v="76"/>
    <x v="1"/>
    <x v="446"/>
    <n v="8"/>
    <x v="2"/>
    <x v="5"/>
    <n v="2106"/>
    <n v="192.30769230769232"/>
    <s v="Low"/>
  </r>
  <r>
    <s v="30029 CAMDEN Circle"/>
    <x v="69"/>
    <x v="1"/>
    <x v="447"/>
    <n v="66"/>
    <x v="2"/>
    <x v="10"/>
    <n v="1950"/>
    <n v="208.2051282051282"/>
    <s v="Medium"/>
  </r>
  <r>
    <s v="47079 ROSA"/>
    <x v="69"/>
    <x v="1"/>
    <x v="1057"/>
    <n v="34"/>
    <x v="2"/>
    <x v="5"/>
    <n v="2100"/>
    <n v="194.33333333333334"/>
    <s v="Low"/>
  </r>
  <r>
    <s v="47748 Beacon Square"/>
    <x v="59"/>
    <x v="1"/>
    <x v="451"/>
    <n v="2"/>
    <x v="0"/>
    <x v="5"/>
    <n v="2898"/>
    <n v="141.47688060731539"/>
    <s v="Low"/>
  </r>
  <r>
    <s v="34458 Heartsworth Lane"/>
    <x v="66"/>
    <x v="1"/>
    <x v="451"/>
    <n v="2"/>
    <x v="2"/>
    <x v="4"/>
    <n v="1636"/>
    <n v="250.61124694376528"/>
    <s v="Medium"/>
  </r>
  <r>
    <s v="30014 CAMDEN Circle"/>
    <x v="69"/>
    <x v="1"/>
    <x v="451"/>
    <n v="37"/>
    <x v="2"/>
    <x v="2"/>
    <n v="1850"/>
    <n v="221.62162162162161"/>
    <s v="Medium"/>
  </r>
  <r>
    <s v="5171 Lorin"/>
    <x v="72"/>
    <x v="1"/>
    <x v="451"/>
    <n v="28"/>
    <x v="2"/>
    <x v="5"/>
    <n v="2076"/>
    <n v="197.49518304431598"/>
    <s v="Low"/>
  </r>
  <r>
    <s v="27507 MARY JANE LANE W"/>
    <x v="69"/>
    <x v="1"/>
    <x v="451"/>
    <n v="246"/>
    <x v="2"/>
    <x v="5"/>
    <n v="2180"/>
    <n v="188.07339449541286"/>
    <s v="Low"/>
  </r>
  <r>
    <s v="12269 MUIRLAND Drive"/>
    <x v="66"/>
    <x v="1"/>
    <x v="1058"/>
    <n v="0"/>
    <x v="2"/>
    <x v="5"/>
    <n v="1915"/>
    <n v="214.1514360313316"/>
    <s v="Medium"/>
  </r>
  <r>
    <s v="12205 MUIRLAND Drive"/>
    <x v="66"/>
    <x v="1"/>
    <x v="1059"/>
    <n v="0"/>
    <x v="0"/>
    <x v="5"/>
    <n v="2285"/>
    <n v="180.49452954048141"/>
    <s v="Low"/>
  </r>
  <r>
    <s v="12203 LUCERN Drive"/>
    <x v="66"/>
    <x v="1"/>
    <x v="1060"/>
    <n v="0"/>
    <x v="2"/>
    <x v="5"/>
    <n v="1915"/>
    <n v="215.99216710182768"/>
    <s v="Medium"/>
  </r>
  <r>
    <s v="46794 Springhill"/>
    <x v="72"/>
    <x v="1"/>
    <x v="456"/>
    <n v="10"/>
    <x v="2"/>
    <x v="10"/>
    <n v="1600"/>
    <n v="259.375"/>
    <s v="Medium"/>
  </r>
  <r>
    <s v="48586 TREMONT Drive"/>
    <x v="59"/>
    <x v="1"/>
    <x v="456"/>
    <n v="0"/>
    <x v="2"/>
    <x v="5"/>
    <n v="2822"/>
    <n v="147.05882352941177"/>
    <s v="Low"/>
  </r>
  <r>
    <s v="8840 SUMMERS Court"/>
    <x v="77"/>
    <x v="1"/>
    <x v="456"/>
    <n v="173"/>
    <x v="2"/>
    <x v="5"/>
    <n v="1785"/>
    <n v="232.49299719887955"/>
    <s v="Medium"/>
  </r>
  <r>
    <s v="47090 ROSA"/>
    <x v="69"/>
    <x v="1"/>
    <x v="1061"/>
    <n v="271"/>
    <x v="2"/>
    <x v="5"/>
    <n v="2100"/>
    <n v="198.04761904761904"/>
    <s v="Low"/>
  </r>
  <r>
    <s v="35567 Brooke"/>
    <x v="83"/>
    <x v="1"/>
    <x v="460"/>
    <n v="11"/>
    <x v="0"/>
    <x v="5"/>
    <n v="2184"/>
    <n v="191.16300366300365"/>
    <s v="Low"/>
  </r>
  <r>
    <s v="16037 TOULOUSE"/>
    <x v="76"/>
    <x v="1"/>
    <x v="460"/>
    <n v="6"/>
    <x v="2"/>
    <x v="5"/>
    <n v="2030"/>
    <n v="205.66502463054186"/>
    <s v="Medium"/>
  </r>
  <r>
    <s v="13130 Demil "/>
    <x v="85"/>
    <x v="1"/>
    <x v="1062"/>
    <n v="0"/>
    <x v="2"/>
    <x v="2"/>
    <n v="1740"/>
    <n v="240.47183908045977"/>
    <s v="Medium"/>
  </r>
  <r>
    <s v="52890 ARTHUR Avenue"/>
    <x v="72"/>
    <x v="1"/>
    <x v="461"/>
    <n v="16"/>
    <x v="7"/>
    <x v="13"/>
    <n v="1400"/>
    <n v="299.28571428571428"/>
    <s v="Medium"/>
  </r>
  <r>
    <s v="52890 ARTHUR Avenue"/>
    <x v="72"/>
    <x v="1"/>
    <x v="461"/>
    <n v="7"/>
    <x v="2"/>
    <x v="5"/>
    <n v="1782"/>
    <n v="235.12906846240179"/>
    <s v="Medium"/>
  </r>
  <r>
    <s v="44110 Trent Dr"/>
    <x v="64"/>
    <x v="1"/>
    <x v="461"/>
    <n v="73"/>
    <x v="2"/>
    <x v="10"/>
    <n v="2608"/>
    <n v="160.65950920245399"/>
    <s v="Low"/>
  </r>
  <r>
    <s v="33050 Wendy"/>
    <x v="66"/>
    <x v="1"/>
    <x v="463"/>
    <n v="9"/>
    <x v="3"/>
    <x v="8"/>
    <n v="2300"/>
    <n v="182.60869565217391"/>
    <s v="Low"/>
  </r>
  <r>
    <s v="33050 WENDY Drive"/>
    <x v="66"/>
    <x v="1"/>
    <x v="463"/>
    <n v="9"/>
    <x v="0"/>
    <x v="8"/>
    <n v="2300"/>
    <n v="182.60869565217391"/>
    <s v="Low"/>
  </r>
  <r>
    <s v="11851 Hadley"/>
    <x v="72"/>
    <x v="1"/>
    <x v="463"/>
    <n v="4"/>
    <x v="2"/>
    <x v="5"/>
    <n v="1805"/>
    <n v="232.68698060941827"/>
    <s v="Medium"/>
  </r>
  <r>
    <s v="38185 Willowmere"/>
    <x v="75"/>
    <x v="1"/>
    <x v="463"/>
    <n v="28"/>
    <x v="0"/>
    <x v="5"/>
    <n v="2101"/>
    <n v="199.90480723465018"/>
    <s v="Low"/>
  </r>
  <r>
    <s v="77802 Omo"/>
    <x v="84"/>
    <x v="1"/>
    <x v="463"/>
    <n v="70"/>
    <x v="2"/>
    <x v="10"/>
    <n v="2073"/>
    <n v="202.60492040520984"/>
    <s v="Medium"/>
  </r>
  <r>
    <s v="26667 Miela"/>
    <x v="69"/>
    <x v="1"/>
    <x v="463"/>
    <n v="101"/>
    <x v="0"/>
    <x v="8"/>
    <n v="2449"/>
    <n v="171.49857084524297"/>
    <s v="Low"/>
  </r>
  <r>
    <s v="12250 LUCERN Drive"/>
    <x v="66"/>
    <x v="1"/>
    <x v="1063"/>
    <n v="0"/>
    <x v="0"/>
    <x v="5"/>
    <n v="2285"/>
    <n v="183.8621444201313"/>
    <s v="Low"/>
  </r>
  <r>
    <s v="53127 Villa Rosa"/>
    <x v="59"/>
    <x v="1"/>
    <x v="1064"/>
    <n v="8"/>
    <x v="2"/>
    <x v="2"/>
    <n v="2002"/>
    <n v="210.78921078921078"/>
    <s v="Medium"/>
  </r>
  <r>
    <s v="55588 Rhine"/>
    <x v="59"/>
    <x v="1"/>
    <x v="1064"/>
    <n v="20"/>
    <x v="2"/>
    <x v="5"/>
    <n v="1835"/>
    <n v="229.97275204359673"/>
    <s v="Medium"/>
  </r>
  <r>
    <s v="2502 24 MILE Road"/>
    <x v="72"/>
    <x v="1"/>
    <x v="1064"/>
    <n v="44"/>
    <x v="0"/>
    <x v="5"/>
    <n v="2496"/>
    <n v="169.07051282051282"/>
    <s v="Low"/>
  </r>
  <r>
    <s v="11146 21 Mile"/>
    <x v="72"/>
    <x v="1"/>
    <x v="466"/>
    <n v="12"/>
    <x v="2"/>
    <x v="2"/>
    <n v="2200"/>
    <n v="193.18181818181819"/>
    <s v="Low"/>
  </r>
  <r>
    <s v="32877 Greenwood"/>
    <x v="69"/>
    <x v="1"/>
    <x v="466"/>
    <n v="9"/>
    <x v="0"/>
    <x v="8"/>
    <n v="2196"/>
    <n v="193.53369763205828"/>
    <s v="Low"/>
  </r>
  <r>
    <s v="55199 Pacific Ridge"/>
    <x v="59"/>
    <x v="1"/>
    <x v="466"/>
    <n v="4"/>
    <x v="2"/>
    <x v="5"/>
    <n v="2300"/>
    <n v="184.78260869565219"/>
    <s v="Low"/>
  </r>
  <r>
    <s v="26610 MIELA Drive"/>
    <x v="69"/>
    <x v="1"/>
    <x v="466"/>
    <n v="72"/>
    <x v="2"/>
    <x v="5"/>
    <n v="2012"/>
    <n v="211.23260437375745"/>
    <s v="Medium"/>
  </r>
  <r>
    <s v="11725 BARBARA ANN Drive"/>
    <x v="78"/>
    <x v="1"/>
    <x v="466"/>
    <n v="27"/>
    <x v="2"/>
    <x v="2"/>
    <n v="1700"/>
    <n v="250"/>
    <s v="Medium"/>
  </r>
  <r>
    <s v="42018 DUXBURY Drive"/>
    <x v="66"/>
    <x v="1"/>
    <x v="466"/>
    <n v="26"/>
    <x v="2"/>
    <x v="5"/>
    <n v="2204"/>
    <n v="192.83121597096189"/>
    <s v="Low"/>
  </r>
  <r>
    <s v="45595 Edgewater"/>
    <x v="69"/>
    <x v="1"/>
    <x v="468"/>
    <n v="7"/>
    <x v="2"/>
    <x v="5"/>
    <n v="1900"/>
    <n v="225.26315789473685"/>
    <s v="Medium"/>
  </r>
  <r>
    <s v="58691 NORTH Avenue"/>
    <x v="79"/>
    <x v="1"/>
    <x v="469"/>
    <n v="455"/>
    <x v="0"/>
    <x v="10"/>
    <n v="2010"/>
    <n v="213.88059701492537"/>
    <s v="Medium"/>
  </r>
  <r>
    <s v="50215 Madison"/>
    <x v="59"/>
    <x v="1"/>
    <x v="470"/>
    <n v="8"/>
    <x v="2"/>
    <x v="4"/>
    <n v="2024"/>
    <n v="212.4505928853755"/>
    <s v="Medium"/>
  </r>
  <r>
    <s v="50215 MADISON Drive"/>
    <x v="59"/>
    <x v="1"/>
    <x v="470"/>
    <n v="8"/>
    <x v="2"/>
    <x v="4"/>
    <n v="2024"/>
    <n v="212.4505928853755"/>
    <s v="Medium"/>
  </r>
  <r>
    <s v="39117 TWENLOW Court"/>
    <x v="64"/>
    <x v="1"/>
    <x v="470"/>
    <n v="6"/>
    <x v="0"/>
    <x v="10"/>
    <n v="1952"/>
    <n v="220.28688524590163"/>
    <s v="Medium"/>
  </r>
  <r>
    <s v="27853 ASHLAND Avenue"/>
    <x v="75"/>
    <x v="1"/>
    <x v="470"/>
    <n v="22"/>
    <x v="0"/>
    <x v="4"/>
    <n v="2203"/>
    <n v="195.18837948252383"/>
    <s v="Low"/>
  </r>
  <r>
    <s v="51437 FORSTER Lane"/>
    <x v="72"/>
    <x v="1"/>
    <x v="470"/>
    <n v="11"/>
    <x v="2"/>
    <x v="10"/>
    <n v="1922"/>
    <n v="223.72528616024974"/>
    <s v="Medium"/>
  </r>
  <r>
    <s v="8610 S Fernwood"/>
    <x v="78"/>
    <x v="1"/>
    <x v="470"/>
    <n v="49"/>
    <x v="2"/>
    <x v="5"/>
    <n v="2056"/>
    <n v="209.14396887159532"/>
    <s v="Medium"/>
  </r>
  <r>
    <s v="45916 Cornwall"/>
    <x v="72"/>
    <x v="1"/>
    <x v="1065"/>
    <n v="68"/>
    <x v="2"/>
    <x v="5"/>
    <n v="2200"/>
    <n v="197.27272727272728"/>
    <s v="Low"/>
  </r>
  <r>
    <s v="50131 MADISON Drive"/>
    <x v="59"/>
    <x v="1"/>
    <x v="476"/>
    <n v="31"/>
    <x v="2"/>
    <x v="5"/>
    <n v="1893"/>
    <n v="229.79397781299525"/>
    <s v="Medium"/>
  </r>
  <r>
    <s v="48044 Stapleton Avenue"/>
    <x v="59"/>
    <x v="1"/>
    <x v="476"/>
    <n v="57"/>
    <x v="0"/>
    <x v="5"/>
    <n v="2860"/>
    <n v="152.09790209790211"/>
    <s v="Low"/>
  </r>
  <r>
    <s v="6126 Whispering Oak"/>
    <x v="78"/>
    <x v="1"/>
    <x v="476"/>
    <n v="64"/>
    <x v="0"/>
    <x v="5"/>
    <n v="2382"/>
    <n v="182.61964735516372"/>
    <s v="Low"/>
  </r>
  <r>
    <s v="16129 Bishopsgate"/>
    <x v="59"/>
    <x v="1"/>
    <x v="1066"/>
    <n v="10"/>
    <x v="2"/>
    <x v="4"/>
    <n v="1622"/>
    <n v="269.42046855733662"/>
    <s v="Medium"/>
  </r>
  <r>
    <s v="12266 LUCERN Drive"/>
    <x v="66"/>
    <x v="1"/>
    <x v="1067"/>
    <n v="0"/>
    <x v="0"/>
    <x v="5"/>
    <n v="2285"/>
    <n v="192.43982494529541"/>
    <s v="Low"/>
  </r>
  <r>
    <s v="14642 Emerson  Drive"/>
    <x v="66"/>
    <x v="1"/>
    <x v="481"/>
    <n v="17"/>
    <x v="0"/>
    <x v="4"/>
    <n v="2311"/>
    <n v="190.39376893119862"/>
    <s v="Low"/>
  </r>
  <r>
    <s v="72075 VAN DYKE Road"/>
    <x v="85"/>
    <x v="1"/>
    <x v="481"/>
    <n v="62"/>
    <x v="0"/>
    <x v="5"/>
    <n v="2200"/>
    <n v="200"/>
    <s v="Low"/>
  </r>
  <r>
    <s v="62120 Place"/>
    <x v="65"/>
    <x v="1"/>
    <x v="481"/>
    <n v="127"/>
    <x v="2"/>
    <x v="2"/>
    <n v="1568"/>
    <n v="280.61224489795916"/>
    <s v="Medium"/>
  </r>
  <r>
    <s v="12253 MUIRLAND Drive"/>
    <x v="66"/>
    <x v="1"/>
    <x v="1068"/>
    <n v="0"/>
    <x v="0"/>
    <x v="5"/>
    <n v="2540"/>
    <n v="173.44881889763781"/>
    <s v="Low"/>
  </r>
  <r>
    <s v="12138 LUCERN Drive"/>
    <x v="66"/>
    <x v="1"/>
    <x v="1069"/>
    <n v="0"/>
    <x v="0"/>
    <x v="5"/>
    <n v="2285"/>
    <n v="194.054704595186"/>
    <s v="Low"/>
  </r>
  <r>
    <s v="12236 Miurland  Drive"/>
    <x v="66"/>
    <x v="1"/>
    <x v="1070"/>
    <n v="0"/>
    <x v="0"/>
    <x v="5"/>
    <n v="2285"/>
    <n v="194.70459518599563"/>
    <s v="Low"/>
  </r>
  <r>
    <s v="41620 Belvidere"/>
    <x v="75"/>
    <x v="1"/>
    <x v="485"/>
    <n v="84"/>
    <x v="2"/>
    <x v="2"/>
    <n v="1972"/>
    <n v="225.65922920892496"/>
    <s v="Medium"/>
  </r>
  <r>
    <s v="47045 WOODBERRY ESTATES Drive"/>
    <x v="59"/>
    <x v="1"/>
    <x v="485"/>
    <n v="68"/>
    <x v="0"/>
    <x v="5"/>
    <n v="2776"/>
    <n v="160.30259365994237"/>
    <s v="Low"/>
  </r>
  <r>
    <s v="34656 LINDA Lane"/>
    <x v="66"/>
    <x v="1"/>
    <x v="1071"/>
    <n v="0"/>
    <x v="0"/>
    <x v="4"/>
    <n v="2550"/>
    <n v="175.00980392156862"/>
    <s v="Low"/>
  </r>
  <r>
    <s v="21103 Strawberry Hills Dr."/>
    <x v="59"/>
    <x v="1"/>
    <x v="1072"/>
    <n v="13"/>
    <x v="2"/>
    <x v="5"/>
    <n v="2223"/>
    <n v="202.33783175888439"/>
    <s v="Medium"/>
  </r>
  <r>
    <s v="34087 Cherry Hill"/>
    <x v="69"/>
    <x v="1"/>
    <x v="1073"/>
    <n v="133"/>
    <x v="0"/>
    <x v="5"/>
    <n v="2523"/>
    <n v="178.31946095917559"/>
    <s v="Low"/>
  </r>
  <r>
    <s v="18459 Cheryl"/>
    <x v="59"/>
    <x v="1"/>
    <x v="491"/>
    <n v="5"/>
    <x v="2"/>
    <x v="5"/>
    <n v="2332"/>
    <n v="192.96740994854201"/>
    <s v="Low"/>
  </r>
  <r>
    <s v="57857 Roman"/>
    <x v="78"/>
    <x v="1"/>
    <x v="491"/>
    <n v="3"/>
    <x v="0"/>
    <x v="10"/>
    <n v="2572"/>
    <n v="174.96111975116642"/>
    <s v="Low"/>
  </r>
  <r>
    <s v="76756 Mary Grace"/>
    <x v="85"/>
    <x v="1"/>
    <x v="491"/>
    <n v="13"/>
    <x v="2"/>
    <x v="5"/>
    <n v="1791"/>
    <n v="251.25628140703517"/>
    <s v="Medium"/>
  </r>
  <r>
    <s v="17776 Crescent Lake"/>
    <x v="59"/>
    <x v="1"/>
    <x v="491"/>
    <n v="49"/>
    <x v="0"/>
    <x v="5"/>
    <n v="2600"/>
    <n v="173.07692307692307"/>
    <s v="Low"/>
  </r>
  <r>
    <s v="2865 WOODFORD Drive"/>
    <x v="66"/>
    <x v="1"/>
    <x v="491"/>
    <n v="70"/>
    <x v="0"/>
    <x v="8"/>
    <n v="2259"/>
    <n v="199.20318725099602"/>
    <s v="Low"/>
  </r>
  <r>
    <s v="48210 MANHATTAN Drive"/>
    <x v="59"/>
    <x v="1"/>
    <x v="493"/>
    <n v="5"/>
    <x v="0"/>
    <x v="5"/>
    <n v="2048"/>
    <n v="220.703125"/>
    <s v="Medium"/>
  </r>
  <r>
    <s v="48210 Manhattan Drive"/>
    <x v="59"/>
    <x v="1"/>
    <x v="493"/>
    <n v="3"/>
    <x v="0"/>
    <x v="5"/>
    <n v="2018"/>
    <n v="223.98414271555995"/>
    <s v="Medium"/>
  </r>
  <r>
    <s v="35224 VITO Drive"/>
    <x v="66"/>
    <x v="1"/>
    <x v="495"/>
    <n v="5"/>
    <x v="0"/>
    <x v="5"/>
    <n v="2268"/>
    <n v="199.73544973544975"/>
    <s v="Low"/>
  </r>
  <r>
    <s v="54600 LAUREL Drive"/>
    <x v="59"/>
    <x v="1"/>
    <x v="1074"/>
    <n v="9"/>
    <x v="0"/>
    <x v="5"/>
    <n v="2353"/>
    <n v="193.32766680832978"/>
    <s v="Low"/>
  </r>
  <r>
    <s v="21050 Batchelder Court"/>
    <x v="59"/>
    <x v="1"/>
    <x v="496"/>
    <n v="5"/>
    <x v="2"/>
    <x v="4"/>
    <n v="1761"/>
    <n v="258.37592277115277"/>
    <s v="Medium"/>
  </r>
  <r>
    <s v="15110 Kara Lane"/>
    <x v="66"/>
    <x v="1"/>
    <x v="497"/>
    <n v="9"/>
    <x v="0"/>
    <x v="0"/>
    <n v="2416"/>
    <n v="188.74172185430464"/>
    <s v="Low"/>
  </r>
  <r>
    <s v="15110 KARA Lane"/>
    <x v="66"/>
    <x v="1"/>
    <x v="497"/>
    <n v="60"/>
    <x v="0"/>
    <x v="4"/>
    <n v="2416"/>
    <n v="188.74172185430464"/>
    <s v="Low"/>
  </r>
  <r>
    <s v="71798 Dolores "/>
    <x v="85"/>
    <x v="1"/>
    <x v="1075"/>
    <n v="20"/>
    <x v="2"/>
    <x v="5"/>
    <n v="2166"/>
    <n v="210.67636195752539"/>
    <s v="Medium"/>
  </r>
  <r>
    <s v="21048 PROUST Court"/>
    <x v="59"/>
    <x v="1"/>
    <x v="500"/>
    <n v="7"/>
    <x v="2"/>
    <x v="10"/>
    <n v="2017"/>
    <n v="227.56569162121963"/>
    <s v="Medium"/>
  </r>
  <r>
    <s v="48786 STONE VALLEY Drive"/>
    <x v="59"/>
    <x v="1"/>
    <x v="1076"/>
    <n v="109"/>
    <x v="0"/>
    <x v="5"/>
    <n v="2450"/>
    <n v="187.71428571428572"/>
    <s v="Low"/>
  </r>
  <r>
    <s v="23759 CLOUD VISTA Drive"/>
    <x v="59"/>
    <x v="1"/>
    <x v="1076"/>
    <n v="176"/>
    <x v="0"/>
    <x v="5"/>
    <n v="2400"/>
    <n v="191.625"/>
    <s v="Low"/>
  </r>
  <r>
    <s v="49325 Mustang"/>
    <x v="59"/>
    <x v="1"/>
    <x v="501"/>
    <n v="15"/>
    <x v="2"/>
    <x v="5"/>
    <n v="2317"/>
    <n v="198.53258523953389"/>
    <s v="Low"/>
  </r>
  <r>
    <s v="14106 REDWOOD Drive"/>
    <x v="72"/>
    <x v="1"/>
    <x v="501"/>
    <n v="12"/>
    <x v="2"/>
    <x v="5"/>
    <n v="2311"/>
    <n v="199.04803115534401"/>
    <s v="Low"/>
  </r>
  <r>
    <s v="46821 Twin City Trail"/>
    <x v="59"/>
    <x v="1"/>
    <x v="501"/>
    <n v="8"/>
    <x v="0"/>
    <x v="4"/>
    <n v="2384"/>
    <n v="192.95302013422818"/>
    <s v="Low"/>
  </r>
  <r>
    <s v="16895 ORCHARD GARDENS Drive"/>
    <x v="59"/>
    <x v="1"/>
    <x v="1077"/>
    <n v="5"/>
    <x v="3"/>
    <x v="5"/>
    <n v="2952"/>
    <n v="156.21375338753387"/>
    <s v="Low"/>
  </r>
  <r>
    <s v="47073 ROSA"/>
    <x v="69"/>
    <x v="1"/>
    <x v="1078"/>
    <n v="257"/>
    <x v="2"/>
    <x v="5"/>
    <n v="2100"/>
    <n v="220.33190476190475"/>
    <s v="Medium"/>
  </r>
  <r>
    <s v="12040 Twin Brook"/>
    <x v="80"/>
    <x v="1"/>
    <x v="1079"/>
    <n v="86"/>
    <x v="1"/>
    <x v="5"/>
    <n v="1863"/>
    <n v="248.52388620504561"/>
    <s v="Medium"/>
  </r>
  <r>
    <s v="12186 LUCERN Drive"/>
    <x v="66"/>
    <x v="1"/>
    <x v="1079"/>
    <n v="0"/>
    <x v="0"/>
    <x v="5"/>
    <n v="2540"/>
    <n v="182.28346456692913"/>
    <s v="Low"/>
  </r>
  <r>
    <s v="49621 Manistee"/>
    <x v="69"/>
    <x v="1"/>
    <x v="507"/>
    <n v="10"/>
    <x v="0"/>
    <x v="5"/>
    <n v="2452"/>
    <n v="189.6411092985318"/>
    <s v="Low"/>
  </r>
  <r>
    <s v="49385 E Central Park"/>
    <x v="72"/>
    <x v="1"/>
    <x v="517"/>
    <n v="9"/>
    <x v="0"/>
    <x v="5"/>
    <n v="2546"/>
    <n v="184.60329929300863"/>
    <s v="Low"/>
  </r>
  <r>
    <s v="13986 Timberview"/>
    <x v="72"/>
    <x v="1"/>
    <x v="1080"/>
    <n v="5"/>
    <x v="0"/>
    <x v="5"/>
    <n v="2645"/>
    <n v="179.01701323251419"/>
    <s v="Low"/>
  </r>
  <r>
    <s v="59724 CRANBERRY Drive"/>
    <x v="78"/>
    <x v="1"/>
    <x v="1081"/>
    <n v="265"/>
    <x v="0"/>
    <x v="5"/>
    <n v="2653"/>
    <n v="178.50169619298907"/>
    <s v="Low"/>
  </r>
  <r>
    <s v="20576 COUNTRY SIDE Drive"/>
    <x v="59"/>
    <x v="1"/>
    <x v="523"/>
    <n v="7"/>
    <x v="2"/>
    <x v="10"/>
    <n v="1926"/>
    <n v="246.62512980269989"/>
    <s v="Medium"/>
  </r>
  <r>
    <s v="21412 PATTERSON Drive"/>
    <x v="59"/>
    <x v="1"/>
    <x v="523"/>
    <n v="41"/>
    <x v="2"/>
    <x v="8"/>
    <n v="2021"/>
    <n v="235.03216229589313"/>
    <s v="Medium"/>
  </r>
  <r>
    <s v="30951 34 Mile"/>
    <x v="84"/>
    <x v="1"/>
    <x v="523"/>
    <n v="83"/>
    <x v="2"/>
    <x v="4"/>
    <n v="2483"/>
    <n v="191.30084575110754"/>
    <s v="Low"/>
  </r>
  <r>
    <s v="71683 DOLORES Drive"/>
    <x v="85"/>
    <x v="1"/>
    <x v="1082"/>
    <n v="0"/>
    <x v="0"/>
    <x v="5"/>
    <n v="2599"/>
    <n v="183.15467487495189"/>
    <s v="Low"/>
  </r>
  <r>
    <s v="54624 Franklin"/>
    <x v="72"/>
    <x v="1"/>
    <x v="1083"/>
    <n v="10"/>
    <x v="3"/>
    <x v="4"/>
    <n v="3250"/>
    <n v="146.92307692307693"/>
    <s v="Low"/>
  </r>
  <r>
    <s v="50331 Cheltenham"/>
    <x v="59"/>
    <x v="1"/>
    <x v="1084"/>
    <n v="56"/>
    <x v="2"/>
    <x v="5"/>
    <n v="2498"/>
    <n v="191.35308246597279"/>
    <s v="Low"/>
  </r>
  <r>
    <s v="21355 Summerfield"/>
    <x v="59"/>
    <x v="1"/>
    <x v="526"/>
    <n v="8"/>
    <x v="0"/>
    <x v="5"/>
    <n v="2643"/>
    <n v="181.23344684071131"/>
    <s v="Low"/>
  </r>
  <r>
    <s v="53237 Sams Lane"/>
    <x v="69"/>
    <x v="1"/>
    <x v="529"/>
    <n v="93"/>
    <x v="0"/>
    <x v="5"/>
    <n v="2653"/>
    <n v="180.92725216735772"/>
    <s v="Low"/>
  </r>
  <r>
    <s v="50822 Torrey Pines"/>
    <x v="59"/>
    <x v="1"/>
    <x v="534"/>
    <n v="5"/>
    <x v="2"/>
    <x v="5"/>
    <n v="2122"/>
    <n v="228.55796418473139"/>
    <s v="Medium"/>
  </r>
  <r>
    <s v="34473 Linda"/>
    <x v="66"/>
    <x v="1"/>
    <x v="534"/>
    <n v="42"/>
    <x v="2"/>
    <x v="5"/>
    <n v="1904"/>
    <n v="254.72689075630251"/>
    <s v="Medium"/>
  </r>
  <r>
    <s v="34473 LINDA LANE Drive"/>
    <x v="66"/>
    <x v="1"/>
    <x v="534"/>
    <n v="46"/>
    <x v="2"/>
    <x v="5"/>
    <n v="1904"/>
    <n v="254.72689075630251"/>
    <s v="Medium"/>
  </r>
  <r>
    <s v="12282 LUCERN Drive"/>
    <x v="66"/>
    <x v="1"/>
    <x v="1085"/>
    <n v="0"/>
    <x v="0"/>
    <x v="5"/>
    <n v="2540"/>
    <n v="191.91929133858267"/>
    <s v="Low"/>
  </r>
  <r>
    <s v="13265 Demil"/>
    <x v="85"/>
    <x v="1"/>
    <x v="1086"/>
    <n v="11"/>
    <x v="0"/>
    <x v="5"/>
    <n v="2602"/>
    <n v="187.50960799385089"/>
    <s v="Low"/>
  </r>
  <r>
    <s v="13265 Demil Drive"/>
    <x v="85"/>
    <x v="1"/>
    <x v="1086"/>
    <n v="11"/>
    <x v="0"/>
    <x v="5"/>
    <n v="2602"/>
    <n v="187.50960799385089"/>
    <s v="Low"/>
  </r>
  <r>
    <s v="53238 Sherwood"/>
    <x v="72"/>
    <x v="1"/>
    <x v="540"/>
    <n v="13"/>
    <x v="3"/>
    <x v="5"/>
    <n v="2864"/>
    <n v="171.08938547486034"/>
    <s v="Low"/>
  </r>
  <r>
    <s v="12187 LUCERN Drive"/>
    <x v="66"/>
    <x v="1"/>
    <x v="1087"/>
    <n v="0"/>
    <x v="0"/>
    <x v="5"/>
    <n v="2540"/>
    <n v="193.7244094488189"/>
    <s v="Low"/>
  </r>
  <r>
    <s v="5825 Gregory Drive"/>
    <x v="77"/>
    <x v="1"/>
    <x v="543"/>
    <n v="37"/>
    <x v="0"/>
    <x v="5"/>
    <n v="3398"/>
    <n v="145.67392583872865"/>
    <s v="Low"/>
  </r>
  <r>
    <s v="39725 Cannon Drive"/>
    <x v="75"/>
    <x v="1"/>
    <x v="543"/>
    <n v="4"/>
    <x v="2"/>
    <x v="5"/>
    <n v="1907"/>
    <n v="259.57000524383847"/>
    <s v="Medium"/>
  </r>
  <r>
    <s v="33625 MULVEY"/>
    <x v="76"/>
    <x v="1"/>
    <x v="543"/>
    <n v="48"/>
    <x v="2"/>
    <x v="4"/>
    <n v="2481"/>
    <n v="199.51632406287789"/>
    <s v="Low"/>
  </r>
  <r>
    <s v="2115 Dawes"/>
    <x v="72"/>
    <x v="1"/>
    <x v="547"/>
    <n v="6"/>
    <x v="3"/>
    <x v="5"/>
    <n v="2970"/>
    <n v="168.01346801346801"/>
    <s v="Low"/>
  </r>
  <r>
    <s v="35850 Jefferson Avenue"/>
    <x v="75"/>
    <x v="1"/>
    <x v="547"/>
    <n v="298"/>
    <x v="1"/>
    <x v="2"/>
    <n v="1922"/>
    <n v="259.6253902185224"/>
    <s v="Medium"/>
  </r>
  <r>
    <s v="4825 MACERI Circle"/>
    <x v="66"/>
    <x v="1"/>
    <x v="549"/>
    <n v="81"/>
    <x v="0"/>
    <x v="4"/>
    <n v="2938"/>
    <n v="170.18379850238259"/>
    <s v="Low"/>
  </r>
  <r>
    <s v="14765 24 Mile"/>
    <x v="72"/>
    <x v="1"/>
    <x v="549"/>
    <n v="122"/>
    <x v="0"/>
    <x v="10"/>
    <n v="3716"/>
    <n v="134.55328310010765"/>
    <s v="Low"/>
  </r>
  <r>
    <s v="21310 IRWIN Road"/>
    <x v="70"/>
    <x v="1"/>
    <x v="549"/>
    <n v="201"/>
    <x v="0"/>
    <x v="4"/>
    <n v="2549"/>
    <n v="196.15535504119262"/>
    <s v="Low"/>
  </r>
  <r>
    <s v="8500 RHODE Drive"/>
    <x v="72"/>
    <x v="1"/>
    <x v="549"/>
    <n v="6"/>
    <x v="0"/>
    <x v="5"/>
    <n v="2239"/>
    <n v="223.31397945511389"/>
    <s v="Medium"/>
  </r>
  <r>
    <s v="54308 Sherwood"/>
    <x v="72"/>
    <x v="1"/>
    <x v="552"/>
    <n v="9"/>
    <x v="0"/>
    <x v="4"/>
    <n v="3528"/>
    <n v="142.29024943310657"/>
    <s v="Low"/>
  </r>
  <r>
    <s v="27980 SANTA ANITA Drive S"/>
    <x v="69"/>
    <x v="1"/>
    <x v="554"/>
    <n v="7"/>
    <x v="2"/>
    <x v="5"/>
    <n v="2884"/>
    <n v="175.10402219140084"/>
    <s v="Low"/>
  </r>
  <r>
    <s v="11276 Marino"/>
    <x v="85"/>
    <x v="1"/>
    <x v="554"/>
    <n v="4"/>
    <x v="0"/>
    <x v="4"/>
    <n v="2777"/>
    <n v="181.850918257112"/>
    <s v="Low"/>
  </r>
  <r>
    <s v="2614 Farmdale Drive"/>
    <x v="66"/>
    <x v="1"/>
    <x v="554"/>
    <n v="114"/>
    <x v="0"/>
    <x v="4"/>
    <n v="3089"/>
    <n v="163.48332793784397"/>
    <s v="Low"/>
  </r>
  <r>
    <s v="48082 E Prestwyck"/>
    <x v="59"/>
    <x v="1"/>
    <x v="557"/>
    <n v="19"/>
    <x v="0"/>
    <x v="5"/>
    <n v="2970"/>
    <n v="170.87542087542087"/>
    <s v="Low"/>
  </r>
  <r>
    <s v="43296 Emily"/>
    <x v="66"/>
    <x v="1"/>
    <x v="559"/>
    <n v="43"/>
    <x v="0"/>
    <x v="4"/>
    <n v="2050"/>
    <n v="248.78048780487805"/>
    <s v="Medium"/>
  </r>
  <r>
    <s v="7168 Sparling"/>
    <x v="72"/>
    <x v="1"/>
    <x v="559"/>
    <n v="46"/>
    <x v="0"/>
    <x v="5"/>
    <n v="2770"/>
    <n v="184.11552346570397"/>
    <s v="Low"/>
  </r>
  <r>
    <s v="51678 CREEK VIEW Drive"/>
    <x v="69"/>
    <x v="1"/>
    <x v="560"/>
    <n v="96"/>
    <x v="0"/>
    <x v="5"/>
    <n v="2269"/>
    <n v="225.6500661084178"/>
    <s v="Medium"/>
  </r>
  <r>
    <s v="28034 Norcross"/>
    <x v="75"/>
    <x v="1"/>
    <x v="563"/>
    <n v="34"/>
    <x v="0"/>
    <x v="5"/>
    <n v="3027"/>
    <n v="170.13544763792535"/>
    <s v="Low"/>
  </r>
  <r>
    <s v="54680 AURORA Park"/>
    <x v="72"/>
    <x v="1"/>
    <x v="563"/>
    <n v="49"/>
    <x v="2"/>
    <x v="5"/>
    <n v="2849"/>
    <n v="180.76518076518076"/>
    <s v="Low"/>
  </r>
  <r>
    <s v="17307  CANVASBACK Drive"/>
    <x v="64"/>
    <x v="1"/>
    <x v="567"/>
    <n v="38"/>
    <x v="0"/>
    <x v="5"/>
    <n v="2700"/>
    <n v="192.59259259259258"/>
    <s v="Low"/>
  </r>
  <r>
    <s v="26573 CREEK VIEW Drive"/>
    <x v="69"/>
    <x v="1"/>
    <x v="569"/>
    <n v="96"/>
    <x v="2"/>
    <x v="5"/>
    <n v="2315"/>
    <n v="225.70194384449243"/>
    <s v="Medium"/>
  </r>
  <r>
    <s v="33294 Nicola"/>
    <x v="76"/>
    <x v="1"/>
    <x v="571"/>
    <n v="39"/>
    <x v="0"/>
    <x v="5"/>
    <n v="2500"/>
    <n v="210"/>
    <s v="Medium"/>
  </r>
  <r>
    <s v="23386 Angel Park"/>
    <x v="59"/>
    <x v="1"/>
    <x v="571"/>
    <n v="23"/>
    <x v="0"/>
    <x v="5"/>
    <n v="2850"/>
    <n v="184.21052631578948"/>
    <s v="Low"/>
  </r>
  <r>
    <s v="37548 FIORE Trail"/>
    <x v="64"/>
    <x v="1"/>
    <x v="571"/>
    <n v="58"/>
    <x v="3"/>
    <x v="10"/>
    <n v="3202"/>
    <n v="163.96002498438477"/>
    <s v="Low"/>
  </r>
  <r>
    <s v="34453 Linda"/>
    <x v="66"/>
    <x v="1"/>
    <x v="578"/>
    <n v="30"/>
    <x v="0"/>
    <x v="5"/>
    <n v="2681"/>
    <n v="197.65013054830288"/>
    <s v="Low"/>
  </r>
  <r>
    <s v="34453 LINDA LANE Drive"/>
    <x v="66"/>
    <x v="1"/>
    <x v="578"/>
    <n v="30"/>
    <x v="0"/>
    <x v="5"/>
    <n v="2681"/>
    <n v="197.65013054830288"/>
    <s v="Low"/>
  </r>
  <r>
    <s v="2594 MAPLECREST Road"/>
    <x v="66"/>
    <x v="1"/>
    <x v="579"/>
    <n v="145"/>
    <x v="0"/>
    <x v="5"/>
    <n v="2964"/>
    <n v="178.81241565452092"/>
    <s v="Low"/>
  </r>
  <r>
    <s v="17866 PLAYER Drive"/>
    <x v="59"/>
    <x v="1"/>
    <x v="584"/>
    <n v="9"/>
    <x v="7"/>
    <x v="13"/>
    <n v="3290"/>
    <n v="162.61398176291794"/>
    <s v="Low"/>
  </r>
  <r>
    <s v="17866 PLAYER Drive"/>
    <x v="59"/>
    <x v="1"/>
    <x v="584"/>
    <n v="169"/>
    <x v="0"/>
    <x v="5"/>
    <n v="3290"/>
    <n v="162.61398176291794"/>
    <s v="Low"/>
  </r>
  <r>
    <s v="48983 Chelsea Park"/>
    <x v="59"/>
    <x v="1"/>
    <x v="587"/>
    <n v="43"/>
    <x v="0"/>
    <x v="5"/>
    <n v="3315"/>
    <n v="162.89592760180994"/>
    <s v="Low"/>
  </r>
  <r>
    <s v="54959 Camden"/>
    <x v="72"/>
    <x v="1"/>
    <x v="587"/>
    <n v="248"/>
    <x v="2"/>
    <x v="5"/>
    <n v="2349"/>
    <n v="229.88505747126436"/>
    <s v="Medium"/>
  </r>
  <r>
    <s v="54884 Camden"/>
    <x v="72"/>
    <x v="1"/>
    <x v="587"/>
    <n v="135"/>
    <x v="2"/>
    <x v="5"/>
    <n v="2349"/>
    <n v="229.88505747126436"/>
    <s v="Medium"/>
  </r>
  <r>
    <s v="17613 Benjamin  Drive"/>
    <x v="59"/>
    <x v="1"/>
    <x v="1088"/>
    <n v="2"/>
    <x v="0"/>
    <x v="10"/>
    <n v="2655"/>
    <n v="203.94350282485877"/>
    <s v="Medium"/>
  </r>
  <r>
    <s v="16859 Kentfield"/>
    <x v="59"/>
    <x v="1"/>
    <x v="1089"/>
    <n v="258"/>
    <x v="2"/>
    <x v="5"/>
    <n v="1886"/>
    <n v="288.2460233297985"/>
    <s v="Medium"/>
  </r>
  <r>
    <s v="38234 CARMALOT Drive"/>
    <x v="66"/>
    <x v="1"/>
    <x v="1090"/>
    <n v="78"/>
    <x v="2"/>
    <x v="5"/>
    <n v="2900"/>
    <n v="188.27586206896552"/>
    <s v="Low"/>
  </r>
  <r>
    <s v="49793 Becher Dr W"/>
    <x v="59"/>
    <x v="1"/>
    <x v="1091"/>
    <n v="2"/>
    <x v="0"/>
    <x v="5"/>
    <n v="2900"/>
    <n v="188.44827586206895"/>
    <s v="Low"/>
  </r>
  <r>
    <s v="47077 Hidden Meadows"/>
    <x v="59"/>
    <x v="1"/>
    <x v="1092"/>
    <n v="133"/>
    <x v="0"/>
    <x v="5"/>
    <n v="2688"/>
    <n v="204.57589285714286"/>
    <s v="Medium"/>
  </r>
  <r>
    <s v="57803 GREY FOX GLEN"/>
    <x v="78"/>
    <x v="1"/>
    <x v="595"/>
    <n v="118"/>
    <x v="2"/>
    <x v="10"/>
    <n v="3350"/>
    <n v="164.17910447761193"/>
    <s v="Low"/>
  </r>
  <r>
    <s v="19835 CHASE Drive"/>
    <x v="59"/>
    <x v="1"/>
    <x v="595"/>
    <n v="254"/>
    <x v="0"/>
    <x v="5"/>
    <n v="2800"/>
    <n v="196.42857142857142"/>
    <s v="Low"/>
  </r>
  <r>
    <s v="54893 Camden"/>
    <x v="72"/>
    <x v="1"/>
    <x v="1093"/>
    <n v="28"/>
    <x v="2"/>
    <x v="5"/>
    <n v="2349"/>
    <n v="234.97232865048957"/>
    <s v="Medium"/>
  </r>
  <r>
    <s v="56641 Via Nesso"/>
    <x v="59"/>
    <x v="1"/>
    <x v="598"/>
    <n v="148"/>
    <x v="2"/>
    <x v="5"/>
    <n v="2281"/>
    <n v="242.87593160894343"/>
    <s v="Medium"/>
  </r>
  <r>
    <s v="11360 29 Mile"/>
    <x v="78"/>
    <x v="1"/>
    <x v="1094"/>
    <n v="70"/>
    <x v="2"/>
    <x v="5"/>
    <n v="2387"/>
    <n v="233.55676581483033"/>
    <s v="Medium"/>
  </r>
  <r>
    <s v="37483 Josephine"/>
    <x v="66"/>
    <x v="1"/>
    <x v="1095"/>
    <n v="160"/>
    <x v="0"/>
    <x v="5"/>
    <n v="2690"/>
    <n v="208.13271375464683"/>
    <s v="Medium"/>
  </r>
  <r>
    <s v="15889 TEA ROSE Drive"/>
    <x v="59"/>
    <x v="1"/>
    <x v="603"/>
    <n v="8"/>
    <x v="0"/>
    <x v="8"/>
    <n v="2718"/>
    <n v="206.03384841795437"/>
    <s v="Medium"/>
  </r>
  <r>
    <s v="41643 VANCOUVER Drive"/>
    <x v="66"/>
    <x v="1"/>
    <x v="603"/>
    <n v="6"/>
    <x v="0"/>
    <x v="4"/>
    <n v="2735"/>
    <n v="204.75319926873857"/>
    <s v="Medium"/>
  </r>
  <r>
    <s v="50119 Josephine"/>
    <x v="59"/>
    <x v="1"/>
    <x v="603"/>
    <n v="9"/>
    <x v="0"/>
    <x v="5"/>
    <n v="2737"/>
    <n v="204.60358056265986"/>
    <s v="Medium"/>
  </r>
  <r>
    <s v="47939 Fox Chase"/>
    <x v="72"/>
    <x v="1"/>
    <x v="603"/>
    <n v="16"/>
    <x v="0"/>
    <x v="0"/>
    <n v="3177"/>
    <n v="176.26691847655022"/>
    <s v="Low"/>
  </r>
  <r>
    <s v="50790 Rose"/>
    <x v="83"/>
    <x v="1"/>
    <x v="603"/>
    <n v="86"/>
    <x v="2"/>
    <x v="10"/>
    <n v="2412"/>
    <n v="232.17247097844114"/>
    <s v="Medium"/>
  </r>
  <r>
    <s v="43801 PINOT NOIR Drive"/>
    <x v="66"/>
    <x v="1"/>
    <x v="603"/>
    <n v="95"/>
    <x v="0"/>
    <x v="8"/>
    <n v="2658"/>
    <n v="210.68472535741159"/>
    <s v="Medium"/>
  </r>
  <r>
    <s v="39250 GARY Street"/>
    <x v="64"/>
    <x v="1"/>
    <x v="605"/>
    <n v="45"/>
    <x v="0"/>
    <x v="4"/>
    <n v="3105"/>
    <n v="181.15942028985506"/>
    <s v="Low"/>
  </r>
  <r>
    <s v="28058 ASHLAND Avenue"/>
    <x v="75"/>
    <x v="1"/>
    <x v="609"/>
    <n v="7"/>
    <x v="0"/>
    <x v="5"/>
    <n v="2958"/>
    <n v="191.00743745774173"/>
    <s v="Low"/>
  </r>
  <r>
    <s v="63642 DOVER Court"/>
    <x v="78"/>
    <x v="1"/>
    <x v="609"/>
    <n v="9"/>
    <x v="0"/>
    <x v="4"/>
    <n v="2142"/>
    <n v="263.77217553688143"/>
    <s v="Medium"/>
  </r>
  <r>
    <s v="52432  Rejoice  Drive"/>
    <x v="59"/>
    <x v="1"/>
    <x v="1096"/>
    <n v="10"/>
    <x v="0"/>
    <x v="5"/>
    <n v="3242"/>
    <n v="174.58359037631092"/>
    <s v="Low"/>
  </r>
  <r>
    <s v="52432 Rejoice"/>
    <x v="59"/>
    <x v="1"/>
    <x v="1096"/>
    <n v="10"/>
    <x v="0"/>
    <x v="5"/>
    <n v="3242"/>
    <n v="174.58359037631092"/>
    <s v="Low"/>
  </r>
  <r>
    <s v="49432 Hummel Drive"/>
    <x v="59"/>
    <x v="1"/>
    <x v="1097"/>
    <n v="190"/>
    <x v="3"/>
    <x v="4"/>
    <n v="3080"/>
    <n v="184.08766233766235"/>
    <s v="Low"/>
  </r>
  <r>
    <s v="51956 WESTEND Drive"/>
    <x v="72"/>
    <x v="1"/>
    <x v="1098"/>
    <n v="1"/>
    <x v="0"/>
    <x v="10"/>
    <n v="2768"/>
    <n v="205.11560693641619"/>
    <s v="Medium"/>
  </r>
  <r>
    <s v="37569 Church"/>
    <x v="75"/>
    <x v="1"/>
    <x v="1099"/>
    <n v="11"/>
    <x v="2"/>
    <x v="2"/>
    <n v="2000"/>
    <n v="284.8"/>
    <s v="Medium"/>
  </r>
  <r>
    <s v="5200 Raap"/>
    <x v="85"/>
    <x v="1"/>
    <x v="617"/>
    <n v="80"/>
    <x v="1"/>
    <x v="2"/>
    <n v="1720"/>
    <n v="334.30232558139534"/>
    <s v="High"/>
  </r>
  <r>
    <s v="2605 Chesley Drive"/>
    <x v="66"/>
    <x v="1"/>
    <x v="617"/>
    <n v="56"/>
    <x v="3"/>
    <x v="10"/>
    <n v="2730"/>
    <n v="210.62271062271063"/>
    <s v="Medium"/>
  </r>
  <r>
    <s v="49529 Compass Pointe"/>
    <x v="69"/>
    <x v="1"/>
    <x v="617"/>
    <n v="33"/>
    <x v="0"/>
    <x v="4"/>
    <n v="2618"/>
    <n v="219.63330786860197"/>
    <s v="Medium"/>
  </r>
  <r>
    <s v="35608 ADDISON Drive"/>
    <x v="83"/>
    <x v="1"/>
    <x v="617"/>
    <n v="463"/>
    <x v="0"/>
    <x v="5"/>
    <n v="2944"/>
    <n v="195.3125"/>
    <s v="Low"/>
  </r>
  <r>
    <s v="13425 AMBERGLEN Drive"/>
    <x v="78"/>
    <x v="1"/>
    <x v="620"/>
    <n v="84"/>
    <x v="0"/>
    <x v="5"/>
    <n v="2758"/>
    <n v="209.57215373459027"/>
    <s v="Medium"/>
  </r>
  <r>
    <s v="55222 HIDDEN RIVER Drive"/>
    <x v="59"/>
    <x v="1"/>
    <x v="1100"/>
    <n v="9"/>
    <x v="2"/>
    <x v="4"/>
    <n v="2236"/>
    <n v="259.391771019678"/>
    <s v="Medium"/>
  </r>
  <r>
    <s v="19780 JOY Drive"/>
    <x v="59"/>
    <x v="1"/>
    <x v="1100"/>
    <n v="101"/>
    <x v="0"/>
    <x v="5"/>
    <n v="2800"/>
    <n v="207.14285714285714"/>
    <s v="Medium"/>
  </r>
  <r>
    <s v="56439 SCOTLAND Drive"/>
    <x v="59"/>
    <x v="1"/>
    <x v="1100"/>
    <n v="153"/>
    <x v="0"/>
    <x v="4"/>
    <n v="3170"/>
    <n v="182.9652996845426"/>
    <s v="Low"/>
  </r>
  <r>
    <s v="49725 Bingham"/>
    <x v="59"/>
    <x v="1"/>
    <x v="624"/>
    <n v="3"/>
    <x v="2"/>
    <x v="5"/>
    <n v="2312"/>
    <n v="253.02768166089965"/>
    <s v="Medium"/>
  </r>
  <r>
    <s v="22103 Sturgeon River"/>
    <x v="59"/>
    <x v="1"/>
    <x v="626"/>
    <n v="146"/>
    <x v="0"/>
    <x v="5"/>
    <n v="2828"/>
    <n v="208.5926449787836"/>
    <s v="Medium"/>
  </r>
  <r>
    <s v="5028 HOMESTEAD Drive"/>
    <x v="66"/>
    <x v="1"/>
    <x v="627"/>
    <n v="0"/>
    <x v="0"/>
    <x v="5"/>
    <n v="3223"/>
    <n v="183.05926155755506"/>
    <s v="Low"/>
  </r>
  <r>
    <s v="24767 Brookshire"/>
    <x v="59"/>
    <x v="1"/>
    <x v="1101"/>
    <n v="301"/>
    <x v="0"/>
    <x v="5"/>
    <n v="3020"/>
    <n v="196.98675496688742"/>
    <s v="Low"/>
  </r>
  <r>
    <s v="54511 RIDGEVIEW Drive"/>
    <x v="72"/>
    <x v="1"/>
    <x v="631"/>
    <n v="63"/>
    <x v="0"/>
    <x v="12"/>
    <n v="3339"/>
    <n v="178.19706498951783"/>
    <s v="Low"/>
  </r>
  <r>
    <s v="42876 Hanks Lane"/>
    <x v="66"/>
    <x v="1"/>
    <x v="631"/>
    <n v="64"/>
    <x v="0"/>
    <x v="5"/>
    <n v="2700"/>
    <n v="220.37037037037038"/>
    <s v="Medium"/>
  </r>
  <r>
    <s v="35811 Windridge"/>
    <x v="83"/>
    <x v="1"/>
    <x v="1102"/>
    <n v="76"/>
    <x v="0"/>
    <x v="4"/>
    <n v="2410"/>
    <n v="247.26141078838174"/>
    <s v="Medium"/>
  </r>
  <r>
    <s v="35811 WINDRIDGE Drive"/>
    <x v="83"/>
    <x v="1"/>
    <x v="1102"/>
    <n v="76"/>
    <x v="0"/>
    <x v="4"/>
    <n v="2397"/>
    <n v="248.60241969128077"/>
    <s v="Medium"/>
  </r>
  <r>
    <s v="57627 Ridgewood Dr"/>
    <x v="78"/>
    <x v="1"/>
    <x v="1103"/>
    <n v="6"/>
    <x v="3"/>
    <x v="4"/>
    <n v="3200"/>
    <n v="186.5625"/>
    <s v="Low"/>
  </r>
  <r>
    <s v="67913 Ashley"/>
    <x v="74"/>
    <x v="1"/>
    <x v="1104"/>
    <n v="302"/>
    <x v="0"/>
    <x v="2"/>
    <n v="1897"/>
    <n v="315.05640484976277"/>
    <s v="High"/>
  </r>
  <r>
    <s v="52754 Char Marie"/>
    <x v="59"/>
    <x v="1"/>
    <x v="1105"/>
    <n v="15"/>
    <x v="0"/>
    <x v="5"/>
    <n v="3125"/>
    <n v="191.80799999999999"/>
    <s v="Low"/>
  </r>
  <r>
    <s v="52754 CHAR MARIE Drive"/>
    <x v="59"/>
    <x v="1"/>
    <x v="1105"/>
    <n v="15"/>
    <x v="0"/>
    <x v="5"/>
    <n v="3125"/>
    <n v="191.80799999999999"/>
    <s v="Low"/>
  </r>
  <r>
    <s v="19781 CHASE Drive"/>
    <x v="59"/>
    <x v="1"/>
    <x v="638"/>
    <n v="49"/>
    <x v="2"/>
    <x v="4"/>
    <n v="2521"/>
    <n v="238.00079333597779"/>
    <s v="Medium"/>
  </r>
  <r>
    <s v="54644 Lawson Creek"/>
    <x v="72"/>
    <x v="1"/>
    <x v="638"/>
    <n v="56"/>
    <x v="2"/>
    <x v="5"/>
    <n v="2400"/>
    <n v="250"/>
    <s v="Medium"/>
  </r>
  <r>
    <s v="16467 VIA MONTELLA"/>
    <x v="59"/>
    <x v="1"/>
    <x v="1106"/>
    <n v="132"/>
    <x v="0"/>
    <x v="5"/>
    <n v="3236"/>
    <n v="186.95920889987639"/>
    <s v="Low"/>
  </r>
  <r>
    <s v="16467 Via Montella"/>
    <x v="59"/>
    <x v="1"/>
    <x v="1106"/>
    <n v="15"/>
    <x v="0"/>
    <x v="5"/>
    <n v="3251"/>
    <n v="186.09658566594894"/>
    <s v="Low"/>
  </r>
  <r>
    <s v="52626 Char Marie #19"/>
    <x v="59"/>
    <x v="1"/>
    <x v="1106"/>
    <n v="205"/>
    <x v="0"/>
    <x v="5"/>
    <n v="2950"/>
    <n v="205.08474576271186"/>
    <s v="Medium"/>
  </r>
  <r>
    <s v="70161 ROMEO ORCHARD Drive"/>
    <x v="85"/>
    <x v="1"/>
    <x v="1107"/>
    <n v="385"/>
    <x v="0"/>
    <x v="5"/>
    <n v="2756"/>
    <n v="219.59579100145137"/>
    <s v="Medium"/>
  </r>
  <r>
    <s v="56452 SCOTLAND Drive"/>
    <x v="59"/>
    <x v="1"/>
    <x v="1108"/>
    <n v="6"/>
    <x v="0"/>
    <x v="5"/>
    <n v="3100"/>
    <n v="196.74193548387098"/>
    <s v="Low"/>
  </r>
  <r>
    <s v="14220 Provim Forest"/>
    <x v="72"/>
    <x v="1"/>
    <x v="643"/>
    <n v="1"/>
    <x v="0"/>
    <x v="4"/>
    <n v="3493"/>
    <n v="174.63498425422273"/>
    <s v="Low"/>
  </r>
  <r>
    <s v="60988 Jewell"/>
    <x v="78"/>
    <x v="1"/>
    <x v="643"/>
    <n v="92"/>
    <x v="0"/>
    <x v="5"/>
    <n v="2980"/>
    <n v="204.69798657718121"/>
    <s v="Medium"/>
  </r>
  <r>
    <s v="29026 Thistle Lane"/>
    <x v="75"/>
    <x v="1"/>
    <x v="1109"/>
    <n v="15"/>
    <x v="0"/>
    <x v="5"/>
    <n v="4024"/>
    <n v="152.08747514910536"/>
    <s v="Low"/>
  </r>
  <r>
    <s v="43743 VIA ANTONIO Drive"/>
    <x v="66"/>
    <x v="1"/>
    <x v="1110"/>
    <n v="82"/>
    <x v="0"/>
    <x v="4"/>
    <n v="3350"/>
    <n v="185.67164179104478"/>
    <s v="Low"/>
  </r>
  <r>
    <s v="22517 E 10 MILE Road"/>
    <x v="67"/>
    <x v="1"/>
    <x v="658"/>
    <n v="72"/>
    <x v="0"/>
    <x v="5"/>
    <n v="2000"/>
    <n v="312.5"/>
    <s v="High"/>
  </r>
  <r>
    <s v="19817 CHASE Drive"/>
    <x v="59"/>
    <x v="1"/>
    <x v="663"/>
    <n v="416"/>
    <x v="0"/>
    <x v="4"/>
    <n v="3000"/>
    <n v="209.66666666666666"/>
    <s v="Medium"/>
  </r>
  <r>
    <s v="56158 GRIMES"/>
    <x v="59"/>
    <x v="1"/>
    <x v="664"/>
    <n v="0"/>
    <x v="0"/>
    <x v="4"/>
    <n v="3400"/>
    <n v="185.26470588235293"/>
    <s v="Low"/>
  </r>
  <r>
    <s v="56029 GRIMES"/>
    <x v="59"/>
    <x v="1"/>
    <x v="664"/>
    <n v="5"/>
    <x v="0"/>
    <x v="4"/>
    <n v="3400"/>
    <n v="185.26470588235293"/>
    <s v="Low"/>
  </r>
  <r>
    <s v="57172 SCENIC HOLLOW Drive"/>
    <x v="78"/>
    <x v="1"/>
    <x v="665"/>
    <n v="77"/>
    <x v="2"/>
    <x v="4"/>
    <n v="2506"/>
    <n v="251.39664804469274"/>
    <s v="Medium"/>
  </r>
  <r>
    <s v="19430 RYAN Drive"/>
    <x v="59"/>
    <x v="1"/>
    <x v="668"/>
    <n v="16"/>
    <x v="0"/>
    <x v="4"/>
    <n v="3650"/>
    <n v="173.94520547945206"/>
    <s v="Low"/>
  </r>
  <r>
    <s v="56080 GRIMES"/>
    <x v="59"/>
    <x v="1"/>
    <x v="669"/>
    <n v="17"/>
    <x v="0"/>
    <x v="4"/>
    <n v="3100"/>
    <n v="204.83870967741936"/>
    <s v="Medium"/>
  </r>
  <r>
    <s v="16981 Glenhurst"/>
    <x v="59"/>
    <x v="1"/>
    <x v="669"/>
    <n v="204"/>
    <x v="0"/>
    <x v="5"/>
    <n v="2834"/>
    <n v="224.06492589978828"/>
    <s v="Medium"/>
  </r>
  <r>
    <s v="4153 Spring Meadow"/>
    <x v="66"/>
    <x v="1"/>
    <x v="1111"/>
    <n v="36"/>
    <x v="0"/>
    <x v="5"/>
    <n v="2700"/>
    <n v="235.18703703703704"/>
    <s v="Medium"/>
  </r>
  <r>
    <s v="56696 EDGEWOOD Drive"/>
    <x v="72"/>
    <x v="1"/>
    <x v="672"/>
    <n v="6"/>
    <x v="0"/>
    <x v="12"/>
    <n v="3241"/>
    <n v="196.54427645788337"/>
    <s v="Low"/>
  </r>
  <r>
    <s v="5023 MACERI Circle"/>
    <x v="66"/>
    <x v="1"/>
    <x v="675"/>
    <n v="8"/>
    <x v="0"/>
    <x v="4"/>
    <n v="3400"/>
    <n v="188.23529411764707"/>
    <s v="Low"/>
  </r>
  <r>
    <s v="14129 JODE PARK Court"/>
    <x v="72"/>
    <x v="1"/>
    <x v="1112"/>
    <n v="183"/>
    <x v="2"/>
    <x v="5"/>
    <n v="2300"/>
    <n v="282.52173913043481"/>
    <s v="Medium"/>
  </r>
  <r>
    <s v="54362 Lawson"/>
    <x v="72"/>
    <x v="1"/>
    <x v="1113"/>
    <n v="355"/>
    <x v="2"/>
    <x v="5"/>
    <n v="2355"/>
    <n v="276.95329087048833"/>
    <s v="Medium"/>
  </r>
  <r>
    <s v="52334 Monaco"/>
    <x v="59"/>
    <x v="1"/>
    <x v="691"/>
    <n v="87"/>
    <x v="0"/>
    <x v="5"/>
    <n v="3300"/>
    <n v="200"/>
    <s v="Low"/>
  </r>
  <r>
    <s v="30840 N RIVER Road"/>
    <x v="75"/>
    <x v="1"/>
    <x v="691"/>
    <n v="126"/>
    <x v="2"/>
    <x v="3"/>
    <n v="1650"/>
    <n v="400"/>
    <s v="High"/>
  </r>
  <r>
    <s v="56056 Parkview Drive"/>
    <x v="72"/>
    <x v="1"/>
    <x v="691"/>
    <n v="89"/>
    <x v="0"/>
    <x v="0"/>
    <n v="3802"/>
    <n v="173.59284587059443"/>
    <s v="Low"/>
  </r>
  <r>
    <s v="49301 HUMMEL Drive"/>
    <x v="59"/>
    <x v="1"/>
    <x v="1114"/>
    <n v="4"/>
    <x v="3"/>
    <x v="0"/>
    <n v="3240"/>
    <n v="205.24382716049382"/>
    <s v="Medium"/>
  </r>
  <r>
    <s v="3959 WOODGLEN"/>
    <x v="72"/>
    <x v="1"/>
    <x v="695"/>
    <n v="8"/>
    <x v="3"/>
    <x v="14"/>
    <n v="3842"/>
    <n v="173.08693388859967"/>
    <s v="Low"/>
  </r>
  <r>
    <s v="52388 WOODSIDE Court"/>
    <x v="72"/>
    <x v="1"/>
    <x v="698"/>
    <n v="12"/>
    <x v="0"/>
    <x v="8"/>
    <n v="3435"/>
    <n v="195.0509461426492"/>
    <s v="Low"/>
  </r>
  <r>
    <s v="4105 Spring Meadow"/>
    <x v="66"/>
    <x v="1"/>
    <x v="1115"/>
    <n v="58"/>
    <x v="0"/>
    <x v="5"/>
    <n v="2700"/>
    <n v="249.47851851851851"/>
    <s v="Medium"/>
  </r>
  <r>
    <s v="16900 Heron"/>
    <x v="59"/>
    <x v="1"/>
    <x v="701"/>
    <n v="197"/>
    <x v="0"/>
    <x v="5"/>
    <n v="2834"/>
    <n v="238.17925194071984"/>
    <s v="Medium"/>
  </r>
  <r>
    <s v="13453 LAKEVIEW Drive"/>
    <x v="72"/>
    <x v="1"/>
    <x v="701"/>
    <n v="96"/>
    <x v="2"/>
    <x v="12"/>
    <n v="3515"/>
    <n v="192.03413940256044"/>
    <s v="Low"/>
  </r>
  <r>
    <s v="52876 Camelot"/>
    <x v="72"/>
    <x v="1"/>
    <x v="701"/>
    <n v="102"/>
    <x v="2"/>
    <x v="5"/>
    <n v="2430"/>
    <n v="277.77777777777777"/>
    <s v="Medium"/>
  </r>
  <r>
    <s v="52876 CAMELOT"/>
    <x v="72"/>
    <x v="1"/>
    <x v="701"/>
    <n v="102"/>
    <x v="2"/>
    <x v="5"/>
    <n v="2430"/>
    <n v="277.77777777777777"/>
    <s v="Medium"/>
  </r>
  <r>
    <s v="15321 25 MILE Road"/>
    <x v="59"/>
    <x v="1"/>
    <x v="704"/>
    <n v="151"/>
    <x v="0"/>
    <x v="5"/>
    <n v="3000"/>
    <n v="226.66666666666666"/>
    <s v="Medium"/>
  </r>
  <r>
    <s v="16917  Glenhurst  Drive"/>
    <x v="59"/>
    <x v="1"/>
    <x v="706"/>
    <n v="343"/>
    <x v="0"/>
    <x v="5"/>
    <n v="3005"/>
    <n v="229.61730449251249"/>
    <s v="Medium"/>
  </r>
  <r>
    <s v="52861 Royal Park"/>
    <x v="72"/>
    <x v="1"/>
    <x v="709"/>
    <n v="74"/>
    <x v="0"/>
    <x v="4"/>
    <n v="2476"/>
    <n v="282.71405492730207"/>
    <s v="Medium"/>
  </r>
  <r>
    <s v="52861 Royal Park Avenue"/>
    <x v="72"/>
    <x v="1"/>
    <x v="709"/>
    <n v="83"/>
    <x v="0"/>
    <x v="4"/>
    <n v="2476"/>
    <n v="282.71405492730207"/>
    <s v="Medium"/>
  </r>
  <r>
    <s v="37336 N HANSON Drive"/>
    <x v="66"/>
    <x v="1"/>
    <x v="1116"/>
    <n v="28"/>
    <x v="2"/>
    <x v="5"/>
    <n v="2602"/>
    <n v="271.32974634896232"/>
    <s v="Medium"/>
  </r>
  <r>
    <s v="6556 PETKO"/>
    <x v="78"/>
    <x v="1"/>
    <x v="721"/>
    <n v="94"/>
    <x v="0"/>
    <x v="4"/>
    <n v="3800"/>
    <n v="190.78947368421052"/>
    <s v="Low"/>
  </r>
  <r>
    <s v="54502 DEADWOOD Lane"/>
    <x v="72"/>
    <x v="1"/>
    <x v="1117"/>
    <n v="90"/>
    <x v="0"/>
    <x v="4"/>
    <n v="3616"/>
    <n v="207.38384955752213"/>
    <s v="Medium"/>
  </r>
  <r>
    <s v="43501 Grouse"/>
    <x v="64"/>
    <x v="1"/>
    <x v="737"/>
    <n v="6"/>
    <x v="0"/>
    <x v="0"/>
    <n v="3777"/>
    <n v="203.86550172094255"/>
    <s v="Medium"/>
  </r>
  <r>
    <s v="52679 SHELBY Road"/>
    <x v="72"/>
    <x v="1"/>
    <x v="738"/>
    <n v="56"/>
    <x v="0"/>
    <x v="4"/>
    <n v="3032"/>
    <n v="255.60686015831135"/>
    <s v="Medium"/>
  </r>
  <r>
    <s v="2670 Harrow Way"/>
    <x v="72"/>
    <x v="1"/>
    <x v="738"/>
    <n v="105"/>
    <x v="0"/>
    <x v="4"/>
    <n v="3255"/>
    <n v="238.0952380952381"/>
    <s v="Medium"/>
  </r>
  <r>
    <s v="54156 SALEM Drive"/>
    <x v="72"/>
    <x v="1"/>
    <x v="740"/>
    <n v="74"/>
    <x v="0"/>
    <x v="0"/>
    <n v="4215"/>
    <n v="185.05338078291814"/>
    <s v="Low"/>
  </r>
  <r>
    <s v="53343 Winter"/>
    <x v="72"/>
    <x v="1"/>
    <x v="1118"/>
    <n v="176"/>
    <x v="0"/>
    <x v="5"/>
    <n v="3000"/>
    <n v="262.25366666666667"/>
    <s v="Medium"/>
  </r>
  <r>
    <s v="6746 NORTHWICK Drive"/>
    <x v="72"/>
    <x v="1"/>
    <x v="1119"/>
    <n v="13"/>
    <x v="6"/>
    <x v="0"/>
    <n v="3522"/>
    <n v="237.64906303236796"/>
    <s v="Medium"/>
  </r>
  <r>
    <s v="63520 GEORGETOWNE S"/>
    <x v="78"/>
    <x v="1"/>
    <x v="758"/>
    <n v="207"/>
    <x v="0"/>
    <x v="14"/>
    <n v="4200"/>
    <n v="202.38095238095238"/>
    <s v="Medium"/>
  </r>
  <r>
    <s v="11889 Encore Court"/>
    <x v="72"/>
    <x v="1"/>
    <x v="1120"/>
    <n v="0"/>
    <x v="0"/>
    <x v="4"/>
    <n v="3410"/>
    <n v="254.50175953079179"/>
    <s v="Medium"/>
  </r>
  <r>
    <s v="32774 N River Road"/>
    <x v="75"/>
    <x v="1"/>
    <x v="766"/>
    <n v="12"/>
    <x v="0"/>
    <x v="0"/>
    <n v="4772"/>
    <n v="184.40905280804694"/>
    <s v="Low"/>
  </r>
  <r>
    <s v="22290 27 Mile"/>
    <x v="79"/>
    <x v="1"/>
    <x v="771"/>
    <n v="3"/>
    <x v="0"/>
    <x v="4"/>
    <n v="3868"/>
    <n v="232.6783867631851"/>
    <s v="Medium"/>
  </r>
  <r>
    <s v="78642 HARVEST Lane"/>
    <x v="85"/>
    <x v="1"/>
    <x v="771"/>
    <n v="112"/>
    <x v="2"/>
    <x v="4"/>
    <n v="4926"/>
    <n v="182.70401948842874"/>
    <s v="Low"/>
  </r>
  <r>
    <s v="6532 POND Drive"/>
    <x v="78"/>
    <x v="1"/>
    <x v="773"/>
    <n v="70"/>
    <x v="0"/>
    <x v="14"/>
    <n v="3715"/>
    <n v="246.29878869448183"/>
    <s v="Medium"/>
  </r>
  <r>
    <s v="70237 Mountain Creek"/>
    <x v="85"/>
    <x v="1"/>
    <x v="773"/>
    <n v="256"/>
    <x v="6"/>
    <x v="17"/>
    <n v="5359"/>
    <n v="170.74080985258445"/>
    <s v="Low"/>
  </r>
  <r>
    <s v="3843 Forster"/>
    <x v="72"/>
    <x v="1"/>
    <x v="1121"/>
    <n v="194"/>
    <x v="0"/>
    <x v="14"/>
    <n v="3668"/>
    <n v="257.00899672846236"/>
    <s v="Medium"/>
  </r>
  <r>
    <s v="6310 County Line"/>
    <x v="69"/>
    <x v="1"/>
    <x v="782"/>
    <n v="480"/>
    <x v="3"/>
    <x v="4"/>
    <n v="6024"/>
    <n v="157.70252324037185"/>
    <s v="Low"/>
  </r>
  <r>
    <s v="63091 TURNBERRY Way"/>
    <x v="78"/>
    <x v="1"/>
    <x v="816"/>
    <n v="32"/>
    <x v="0"/>
    <x v="12"/>
    <n v="3706"/>
    <n v="323.79924446842955"/>
    <s v="High"/>
  </r>
  <r>
    <s v="6690 Roseberry"/>
    <x v="72"/>
    <x v="1"/>
    <x v="1122"/>
    <n v="643"/>
    <x v="0"/>
    <x v="4"/>
    <n v="3555"/>
    <n v="346.45541490857948"/>
    <s v="High"/>
  </r>
  <r>
    <s v="19793 WESTCHESTER Drive"/>
    <x v="64"/>
    <x v="1"/>
    <x v="1123"/>
    <n v="225"/>
    <x v="3"/>
    <x v="15"/>
    <n v="5623"/>
    <n v="222.30126267117197"/>
    <s v="Medium"/>
  </r>
  <r>
    <s v="61495 Beacon Hill"/>
    <x v="78"/>
    <x v="1"/>
    <x v="821"/>
    <n v="24"/>
    <x v="0"/>
    <x v="17"/>
    <n v="4992"/>
    <n v="255.40865384615384"/>
    <s v="Medium"/>
  </r>
  <r>
    <s v="8475 MORNINGSIDE Drive"/>
    <x v="85"/>
    <x v="1"/>
    <x v="1124"/>
    <n v="406"/>
    <x v="3"/>
    <x v="4"/>
    <n v="3475"/>
    <n v="385.89928057553959"/>
    <s v="High"/>
  </r>
  <r>
    <s v="55377 BUCKTHORN Drive"/>
    <x v="72"/>
    <x v="1"/>
    <x v="1125"/>
    <n v="0"/>
    <x v="0"/>
    <x v="4"/>
    <n v="4487"/>
    <n v="314.07466012926233"/>
    <s v="High"/>
  </r>
  <r>
    <s v="61715 Bradbury"/>
    <x v="78"/>
    <x v="1"/>
    <x v="831"/>
    <n v="114"/>
    <x v="0"/>
    <x v="14"/>
    <n v="4100"/>
    <n v="353.65853658536588"/>
    <s v="High"/>
  </r>
  <r>
    <s v="48730 Point Lakeview Drive"/>
    <x v="69"/>
    <x v="1"/>
    <x v="1126"/>
    <n v="197"/>
    <x v="3"/>
    <x v="16"/>
    <n v="4009"/>
    <n v="395.03616862060363"/>
    <s v="High"/>
  </r>
  <r>
    <s v="69359 Lake Point"/>
    <x v="85"/>
    <x v="1"/>
    <x v="1127"/>
    <n v="129"/>
    <x v="0"/>
    <x v="16"/>
    <n v="5598"/>
    <n v="310.37870668095746"/>
    <s v="High"/>
  </r>
  <r>
    <s v="7007 28 Mile Road"/>
    <x v="78"/>
    <x v="1"/>
    <x v="1128"/>
    <n v="14"/>
    <x v="0"/>
    <x v="14"/>
    <n v="4382"/>
    <n v="484.93838429940666"/>
    <s v="Hig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5B53D9-58DB-4ADC-8034-9479B2AB3623}" name="DoMByCounty" cacheId="9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3:K6" firstHeaderRow="0" firstDataRow="1" firstDataCol="1"/>
  <pivotFields count="10">
    <pivotField showAll="0"/>
    <pivotField showAll="0"/>
    <pivotField axis="axisRow" showAll="0">
      <items count="3">
        <item x="1"/>
        <item x="0"/>
        <item t="default"/>
      </items>
    </pivotField>
    <pivotField numFmtId="165" showAll="0"/>
    <pivotField dataField="1" showAll="0"/>
    <pivotField showAll="0"/>
    <pivotField showAll="0"/>
    <pivotField showAll="0"/>
    <pivotField showAll="0"/>
    <pivotField showAll="0"/>
  </pivotFields>
  <rowFields count="1">
    <field x="2"/>
  </rowFields>
  <rowItems count="3">
    <i>
      <x/>
    </i>
    <i>
      <x v="1"/>
    </i>
    <i t="grand">
      <x/>
    </i>
  </rowItems>
  <colFields count="1">
    <field x="-2"/>
  </colFields>
  <colItems count="2">
    <i>
      <x/>
    </i>
    <i i="1">
      <x v="1"/>
    </i>
  </colItems>
  <dataFields count="2">
    <dataField name="Max of Days on Market" fld="4" subtotal="max" baseField="2" baseItem="0"/>
    <dataField name="Average of Days on Market" fld="4" subtotal="average" baseField="2" baseItem="0" numFmtId="2"/>
  </dataFields>
  <formats count="1">
    <format dxfId="37">
      <pivotArea outline="0" collapsedLevelsAreSubtotals="1" fieldPosition="0">
        <references count="1">
          <reference field="4294967294" count="1" selected="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7F55F9-C93C-4376-AC68-E68C30D60FEC}" name="SquareFeetByCounty" cacheId="9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6" firstHeaderRow="0" firstDataRow="1" firstDataCol="1"/>
  <pivotFields count="10">
    <pivotField showAll="0"/>
    <pivotField showAll="0"/>
    <pivotField axis="axisRow" showAll="0">
      <items count="3">
        <item x="1"/>
        <item x="0"/>
        <item t="default"/>
      </items>
    </pivotField>
    <pivotField numFmtId="165" showAll="0"/>
    <pivotField showAll="0"/>
    <pivotField showAll="0"/>
    <pivotField showAll="0"/>
    <pivotField dataField="1" showAll="0"/>
    <pivotField showAll="0"/>
    <pivotField showAll="0"/>
  </pivotFields>
  <rowFields count="1">
    <field x="2"/>
  </rowFields>
  <rowItems count="3">
    <i>
      <x/>
    </i>
    <i>
      <x v="1"/>
    </i>
    <i t="grand">
      <x/>
    </i>
  </rowItems>
  <colFields count="1">
    <field x="-2"/>
  </colFields>
  <colItems count="3">
    <i>
      <x/>
    </i>
    <i i="1">
      <x v="1"/>
    </i>
    <i i="2">
      <x v="2"/>
    </i>
  </colItems>
  <dataFields count="3">
    <dataField name="Average of Sq Ft" fld="7" subtotal="average" baseField="2" baseItem="0" numFmtId="1"/>
    <dataField name="Min of Sq Ft" fld="7" subtotal="min" baseField="2" baseItem="1"/>
    <dataField name="Max of Sq Ft2" fld="7" subtotal="max" baseField="2" baseItem="1"/>
  </dataFields>
  <formats count="1">
    <format dxfId="36">
      <pivotArea outline="0" collapsedLevelsAreSubtotals="1" fieldPosition="0"/>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675008-C577-42C9-983A-AF7334736CD8}" name="3Bed2BathPivotTable" cacheId="957" applyNumberFormats="0" applyBorderFormats="0" applyFontFormats="0" applyPatternFormats="0" applyAlignmentFormats="0" applyWidthHeightFormats="1" dataCaption="Values" updatedVersion="8" minRefreshableVersion="3" useAutoFormatting="1" rowGrandTotals="0" itemPrintTitles="1" createdVersion="8" indent="0" showHeaders="0" outline="1" outlineData="1" multipleFieldFilters="0" chartFormat="5">
  <location ref="A29:B31" firstHeaderRow="1" firstDataRow="1" firstDataCol="1" rowPageCount="2" colPageCount="1"/>
  <pivotFields count="10">
    <pivotField showAll="0"/>
    <pivotField showAll="0"/>
    <pivotField axis="axisRow" showAll="0">
      <items count="3">
        <item x="1"/>
        <item x="0"/>
        <item t="default"/>
      </items>
    </pivotField>
    <pivotField dataField="1" numFmtId="165" showAll="0" avgSubtotal="1">
      <items count="1130">
        <item x="1"/>
        <item x="2"/>
        <item x="866"/>
        <item x="867"/>
        <item x="3"/>
        <item x="4"/>
        <item x="868"/>
        <item x="5"/>
        <item x="6"/>
        <item x="7"/>
        <item x="869"/>
        <item x="8"/>
        <item x="9"/>
        <item x="870"/>
        <item x="871"/>
        <item x="10"/>
        <item x="872"/>
        <item x="11"/>
        <item x="12"/>
        <item x="873"/>
        <item x="13"/>
        <item x="14"/>
        <item x="15"/>
        <item x="874"/>
        <item x="875"/>
        <item x="16"/>
        <item x="876"/>
        <item x="877"/>
        <item x="878"/>
        <item x="17"/>
        <item x="18"/>
        <item x="879"/>
        <item x="19"/>
        <item x="880"/>
        <item x="881"/>
        <item x="882"/>
        <item x="20"/>
        <item x="21"/>
        <item x="22"/>
        <item x="883"/>
        <item x="23"/>
        <item x="24"/>
        <item x="884"/>
        <item x="25"/>
        <item x="885"/>
        <item x="26"/>
        <item x="886"/>
        <item x="887"/>
        <item x="27"/>
        <item x="28"/>
        <item x="29"/>
        <item x="30"/>
        <item x="888"/>
        <item x="31"/>
        <item x="889"/>
        <item x="890"/>
        <item x="32"/>
        <item x="891"/>
        <item x="892"/>
        <item x="893"/>
        <item x="894"/>
        <item x="895"/>
        <item x="896"/>
        <item x="33"/>
        <item x="34"/>
        <item x="35"/>
        <item x="897"/>
        <item x="898"/>
        <item x="36"/>
        <item x="37"/>
        <item x="38"/>
        <item x="899"/>
        <item x="39"/>
        <item x="40"/>
        <item x="41"/>
        <item x="42"/>
        <item x="900"/>
        <item x="43"/>
        <item x="901"/>
        <item x="44"/>
        <item x="902"/>
        <item x="45"/>
        <item x="46"/>
        <item x="47"/>
        <item x="903"/>
        <item x="904"/>
        <item x="905"/>
        <item x="48"/>
        <item x="49"/>
        <item x="50"/>
        <item x="906"/>
        <item x="51"/>
        <item x="907"/>
        <item x="908"/>
        <item x="909"/>
        <item x="52"/>
        <item x="53"/>
        <item x="910"/>
        <item x="911"/>
        <item x="54"/>
        <item x="55"/>
        <item x="912"/>
        <item x="913"/>
        <item x="914"/>
        <item x="56"/>
        <item x="915"/>
        <item x="916"/>
        <item x="57"/>
        <item x="917"/>
        <item x="918"/>
        <item x="919"/>
        <item x="920"/>
        <item x="58"/>
        <item x="921"/>
        <item x="59"/>
        <item x="922"/>
        <item x="923"/>
        <item x="60"/>
        <item x="61"/>
        <item x="62"/>
        <item x="924"/>
        <item x="925"/>
        <item x="63"/>
        <item x="64"/>
        <item x="65"/>
        <item x="66"/>
        <item x="67"/>
        <item x="926"/>
        <item x="927"/>
        <item x="68"/>
        <item x="928"/>
        <item x="929"/>
        <item x="930"/>
        <item x="69"/>
        <item x="70"/>
        <item x="931"/>
        <item x="71"/>
        <item x="72"/>
        <item x="73"/>
        <item x="74"/>
        <item x="932"/>
        <item x="75"/>
        <item x="76"/>
        <item x="933"/>
        <item x="77"/>
        <item x="934"/>
        <item x="935"/>
        <item x="936"/>
        <item x="78"/>
        <item x="79"/>
        <item x="80"/>
        <item x="937"/>
        <item x="81"/>
        <item x="938"/>
        <item x="82"/>
        <item x="83"/>
        <item x="939"/>
        <item x="84"/>
        <item x="85"/>
        <item x="86"/>
        <item x="940"/>
        <item x="87"/>
        <item x="88"/>
        <item x="89"/>
        <item x="941"/>
        <item x="90"/>
        <item x="942"/>
        <item x="91"/>
        <item x="943"/>
        <item x="92"/>
        <item x="93"/>
        <item x="94"/>
        <item x="95"/>
        <item x="96"/>
        <item x="944"/>
        <item x="97"/>
        <item x="945"/>
        <item x="946"/>
        <item x="947"/>
        <item x="98"/>
        <item x="948"/>
        <item x="99"/>
        <item x="949"/>
        <item x="950"/>
        <item x="951"/>
        <item x="100"/>
        <item x="952"/>
        <item x="101"/>
        <item x="953"/>
        <item x="954"/>
        <item x="102"/>
        <item x="103"/>
        <item x="955"/>
        <item x="104"/>
        <item x="105"/>
        <item x="956"/>
        <item x="957"/>
        <item x="106"/>
        <item x="107"/>
        <item x="958"/>
        <item x="108"/>
        <item x="109"/>
        <item x="959"/>
        <item x="110"/>
        <item x="111"/>
        <item x="960"/>
        <item x="112"/>
        <item x="113"/>
        <item x="114"/>
        <item x="115"/>
        <item x="116"/>
        <item x="117"/>
        <item x="118"/>
        <item x="961"/>
        <item x="119"/>
        <item x="120"/>
        <item x="121"/>
        <item x="962"/>
        <item x="963"/>
        <item x="122"/>
        <item x="123"/>
        <item x="124"/>
        <item x="125"/>
        <item x="126"/>
        <item x="964"/>
        <item x="127"/>
        <item x="128"/>
        <item x="965"/>
        <item x="129"/>
        <item x="966"/>
        <item x="130"/>
        <item x="967"/>
        <item x="968"/>
        <item x="131"/>
        <item x="132"/>
        <item x="133"/>
        <item x="134"/>
        <item x="135"/>
        <item x="136"/>
        <item x="969"/>
        <item x="137"/>
        <item x="138"/>
        <item x="139"/>
        <item x="970"/>
        <item x="140"/>
        <item x="141"/>
        <item x="142"/>
        <item x="143"/>
        <item x="144"/>
        <item x="145"/>
        <item x="146"/>
        <item x="147"/>
        <item x="971"/>
        <item x="148"/>
        <item x="149"/>
        <item x="150"/>
        <item x="151"/>
        <item x="152"/>
        <item x="153"/>
        <item x="972"/>
        <item x="154"/>
        <item x="155"/>
        <item x="156"/>
        <item x="157"/>
        <item x="158"/>
        <item x="973"/>
        <item x="159"/>
        <item x="160"/>
        <item x="161"/>
        <item x="162"/>
        <item x="163"/>
        <item x="164"/>
        <item x="165"/>
        <item x="166"/>
        <item x="974"/>
        <item x="167"/>
        <item x="975"/>
        <item x="168"/>
        <item x="169"/>
        <item x="170"/>
        <item x="171"/>
        <item x="172"/>
        <item x="173"/>
        <item x="174"/>
        <item x="175"/>
        <item x="176"/>
        <item x="177"/>
        <item x="976"/>
        <item x="178"/>
        <item x="179"/>
        <item x="180"/>
        <item x="977"/>
        <item x="978"/>
        <item x="181"/>
        <item x="182"/>
        <item x="183"/>
        <item x="184"/>
        <item x="185"/>
        <item x="186"/>
        <item x="187"/>
        <item x="979"/>
        <item x="980"/>
        <item x="188"/>
        <item x="189"/>
        <item x="981"/>
        <item x="190"/>
        <item x="191"/>
        <item x="982"/>
        <item x="192"/>
        <item x="193"/>
        <item x="194"/>
        <item x="983"/>
        <item x="195"/>
        <item x="984"/>
        <item x="196"/>
        <item x="197"/>
        <item x="198"/>
        <item x="985"/>
        <item x="986"/>
        <item x="199"/>
        <item x="987"/>
        <item x="200"/>
        <item x="201"/>
        <item x="202"/>
        <item x="203"/>
        <item x="204"/>
        <item x="205"/>
        <item x="206"/>
        <item x="988"/>
        <item x="989"/>
        <item x="207"/>
        <item x="208"/>
        <item x="209"/>
        <item x="210"/>
        <item x="211"/>
        <item x="212"/>
        <item x="213"/>
        <item x="214"/>
        <item x="215"/>
        <item x="216"/>
        <item x="990"/>
        <item x="217"/>
        <item x="991"/>
        <item x="218"/>
        <item x="219"/>
        <item x="992"/>
        <item x="220"/>
        <item x="221"/>
        <item x="222"/>
        <item x="223"/>
        <item x="224"/>
        <item x="225"/>
        <item x="226"/>
        <item x="227"/>
        <item x="993"/>
        <item x="228"/>
        <item x="229"/>
        <item x="230"/>
        <item x="231"/>
        <item x="232"/>
        <item x="233"/>
        <item x="234"/>
        <item x="235"/>
        <item x="236"/>
        <item x="237"/>
        <item x="238"/>
        <item x="239"/>
        <item x="994"/>
        <item x="0"/>
        <item x="240"/>
        <item x="241"/>
        <item x="995"/>
        <item x="242"/>
        <item x="243"/>
        <item x="244"/>
        <item x="245"/>
        <item x="246"/>
        <item x="247"/>
        <item x="248"/>
        <item x="249"/>
        <item x="250"/>
        <item x="251"/>
        <item x="252"/>
        <item x="996"/>
        <item x="997"/>
        <item x="253"/>
        <item x="254"/>
        <item x="255"/>
        <item x="256"/>
        <item x="257"/>
        <item x="258"/>
        <item x="259"/>
        <item x="998"/>
        <item x="260"/>
        <item x="261"/>
        <item x="262"/>
        <item x="263"/>
        <item x="264"/>
        <item x="999"/>
        <item x="265"/>
        <item x="1000"/>
        <item x="266"/>
        <item x="1001"/>
        <item x="267"/>
        <item x="268"/>
        <item x="1002"/>
        <item x="269"/>
        <item x="1003"/>
        <item x="270"/>
        <item x="271"/>
        <item x="272"/>
        <item x="273"/>
        <item x="274"/>
        <item x="275"/>
        <item x="276"/>
        <item x="1004"/>
        <item x="1005"/>
        <item x="277"/>
        <item x="278"/>
        <item x="279"/>
        <item x="280"/>
        <item x="281"/>
        <item x="1006"/>
        <item x="1007"/>
        <item x="1008"/>
        <item x="1009"/>
        <item x="282"/>
        <item x="283"/>
        <item x="284"/>
        <item x="1010"/>
        <item x="285"/>
        <item x="1011"/>
        <item x="286"/>
        <item x="1012"/>
        <item x="287"/>
        <item x="288"/>
        <item x="289"/>
        <item x="290"/>
        <item x="1013"/>
        <item x="291"/>
        <item x="292"/>
        <item x="1014"/>
        <item x="293"/>
        <item x="294"/>
        <item x="295"/>
        <item x="296"/>
        <item x="297"/>
        <item x="1015"/>
        <item x="298"/>
        <item x="299"/>
        <item x="300"/>
        <item x="301"/>
        <item x="302"/>
        <item x="303"/>
        <item x="304"/>
        <item x="305"/>
        <item x="1016"/>
        <item x="306"/>
        <item x="307"/>
        <item x="1017"/>
        <item x="1018"/>
        <item x="308"/>
        <item x="309"/>
        <item x="1019"/>
        <item x="1020"/>
        <item x="1021"/>
        <item x="310"/>
        <item x="311"/>
        <item x="312"/>
        <item x="313"/>
        <item x="314"/>
        <item x="1022"/>
        <item x="315"/>
        <item x="316"/>
        <item x="317"/>
        <item x="318"/>
        <item x="319"/>
        <item x="320"/>
        <item x="321"/>
        <item x="322"/>
        <item x="323"/>
        <item x="324"/>
        <item x="1023"/>
        <item x="325"/>
        <item x="326"/>
        <item x="327"/>
        <item x="328"/>
        <item x="329"/>
        <item x="330"/>
        <item x="331"/>
        <item x="332"/>
        <item x="1024"/>
        <item x="333"/>
        <item x="1025"/>
        <item x="334"/>
        <item x="335"/>
        <item x="336"/>
        <item x="337"/>
        <item x="338"/>
        <item x="1026"/>
        <item x="339"/>
        <item x="340"/>
        <item x="341"/>
        <item x="342"/>
        <item x="343"/>
        <item x="344"/>
        <item x="345"/>
        <item x="346"/>
        <item x="347"/>
        <item x="1027"/>
        <item x="348"/>
        <item x="349"/>
        <item x="350"/>
        <item x="1028"/>
        <item x="351"/>
        <item x="352"/>
        <item x="353"/>
        <item x="354"/>
        <item x="355"/>
        <item x="356"/>
        <item x="1029"/>
        <item x="357"/>
        <item x="1030"/>
        <item x="358"/>
        <item x="359"/>
        <item x="1031"/>
        <item x="360"/>
        <item x="361"/>
        <item x="362"/>
        <item x="363"/>
        <item x="364"/>
        <item x="1032"/>
        <item x="1033"/>
        <item x="365"/>
        <item x="1034"/>
        <item x="1035"/>
        <item x="366"/>
        <item x="367"/>
        <item x="368"/>
        <item x="369"/>
        <item x="370"/>
        <item x="371"/>
        <item x="372"/>
        <item x="373"/>
        <item x="374"/>
        <item x="375"/>
        <item x="376"/>
        <item x="377"/>
        <item x="1036"/>
        <item x="378"/>
        <item x="379"/>
        <item x="380"/>
        <item x="381"/>
        <item x="382"/>
        <item x="383"/>
        <item x="384"/>
        <item x="385"/>
        <item x="386"/>
        <item x="1037"/>
        <item x="387"/>
        <item x="388"/>
        <item x="1038"/>
        <item x="389"/>
        <item x="390"/>
        <item x="391"/>
        <item x="392"/>
        <item x="393"/>
        <item x="394"/>
        <item x="395"/>
        <item x="1039"/>
        <item x="1040"/>
        <item x="396"/>
        <item x="397"/>
        <item x="398"/>
        <item x="399"/>
        <item x="1041"/>
        <item x="1042"/>
        <item x="400"/>
        <item x="401"/>
        <item x="1043"/>
        <item x="1044"/>
        <item x="402"/>
        <item x="403"/>
        <item x="404"/>
        <item x="405"/>
        <item x="406"/>
        <item x="1045"/>
        <item x="407"/>
        <item x="1046"/>
        <item x="408"/>
        <item x="409"/>
        <item x="410"/>
        <item x="411"/>
        <item x="412"/>
        <item x="413"/>
        <item x="414"/>
        <item x="415"/>
        <item x="416"/>
        <item x="417"/>
        <item x="418"/>
        <item x="1047"/>
        <item x="419"/>
        <item x="420"/>
        <item x="421"/>
        <item x="422"/>
        <item x="1048"/>
        <item x="423"/>
        <item x="424"/>
        <item x="425"/>
        <item x="426"/>
        <item x="427"/>
        <item x="428"/>
        <item x="429"/>
        <item x="430"/>
        <item x="431"/>
        <item x="432"/>
        <item x="433"/>
        <item x="1049"/>
        <item x="1050"/>
        <item x="1051"/>
        <item x="434"/>
        <item x="1052"/>
        <item x="1053"/>
        <item x="435"/>
        <item x="436"/>
        <item x="1054"/>
        <item x="1055"/>
        <item x="437"/>
        <item x="438"/>
        <item x="439"/>
        <item x="440"/>
        <item x="441"/>
        <item x="442"/>
        <item x="443"/>
        <item x="1056"/>
        <item x="444"/>
        <item x="445"/>
        <item x="446"/>
        <item x="447"/>
        <item x="448"/>
        <item x="1057"/>
        <item x="449"/>
        <item x="450"/>
        <item x="451"/>
        <item x="1058"/>
        <item x="452"/>
        <item x="453"/>
        <item x="454"/>
        <item x="1059"/>
        <item x="455"/>
        <item x="1060"/>
        <item x="456"/>
        <item x="457"/>
        <item x="1061"/>
        <item x="458"/>
        <item x="459"/>
        <item x="460"/>
        <item x="1062"/>
        <item x="461"/>
        <item x="462"/>
        <item x="463"/>
        <item x="1063"/>
        <item x="464"/>
        <item x="1064"/>
        <item x="465"/>
        <item x="466"/>
        <item x="467"/>
        <item x="468"/>
        <item x="469"/>
        <item x="470"/>
        <item x="471"/>
        <item x="472"/>
        <item x="473"/>
        <item x="474"/>
        <item x="1065"/>
        <item x="475"/>
        <item x="476"/>
        <item x="477"/>
        <item x="1066"/>
        <item x="478"/>
        <item x="479"/>
        <item x="1067"/>
        <item x="480"/>
        <item x="481"/>
        <item x="1068"/>
        <item x="482"/>
        <item x="483"/>
        <item x="1069"/>
        <item x="484"/>
        <item x="1070"/>
        <item x="485"/>
        <item x="1071"/>
        <item x="486"/>
        <item x="487"/>
        <item x="488"/>
        <item x="489"/>
        <item x="490"/>
        <item x="1072"/>
        <item x="1073"/>
        <item x="491"/>
        <item x="492"/>
        <item x="493"/>
        <item x="494"/>
        <item x="495"/>
        <item x="1074"/>
        <item x="496"/>
        <item x="497"/>
        <item x="1075"/>
        <item x="498"/>
        <item x="499"/>
        <item x="500"/>
        <item x="1076"/>
        <item x="501"/>
        <item x="502"/>
        <item x="503"/>
        <item x="1077"/>
        <item x="504"/>
        <item x="505"/>
        <item x="1078"/>
        <item x="1079"/>
        <item x="506"/>
        <item x="507"/>
        <item x="508"/>
        <item x="509"/>
        <item x="510"/>
        <item x="511"/>
        <item x="512"/>
        <item x="513"/>
        <item x="514"/>
        <item x="515"/>
        <item x="516"/>
        <item x="517"/>
        <item x="518"/>
        <item x="519"/>
        <item x="520"/>
        <item x="521"/>
        <item x="1080"/>
        <item x="1081"/>
        <item x="522"/>
        <item x="523"/>
        <item x="1082"/>
        <item x="524"/>
        <item x="1083"/>
        <item x="1084"/>
        <item x="525"/>
        <item x="526"/>
        <item x="527"/>
        <item x="528"/>
        <item x="529"/>
        <item x="530"/>
        <item x="531"/>
        <item x="532"/>
        <item x="533"/>
        <item x="534"/>
        <item x="535"/>
        <item x="536"/>
        <item x="537"/>
        <item x="1085"/>
        <item x="538"/>
        <item x="1086"/>
        <item x="539"/>
        <item x="540"/>
        <item x="541"/>
        <item x="1087"/>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1088"/>
        <item x="588"/>
        <item x="589"/>
        <item x="1089"/>
        <item x="590"/>
        <item x="591"/>
        <item x="592"/>
        <item x="1090"/>
        <item x="1091"/>
        <item x="593"/>
        <item x="594"/>
        <item x="1092"/>
        <item x="595"/>
        <item x="1093"/>
        <item x="596"/>
        <item x="597"/>
        <item x="598"/>
        <item x="599"/>
        <item x="600"/>
        <item x="601"/>
        <item x="1094"/>
        <item x="602"/>
        <item x="1095"/>
        <item x="603"/>
        <item x="604"/>
        <item x="605"/>
        <item x="606"/>
        <item x="607"/>
        <item x="608"/>
        <item x="609"/>
        <item x="1096"/>
        <item x="1097"/>
        <item x="610"/>
        <item x="1098"/>
        <item x="611"/>
        <item x="1099"/>
        <item x="612"/>
        <item x="613"/>
        <item x="614"/>
        <item x="615"/>
        <item x="616"/>
        <item x="617"/>
        <item x="618"/>
        <item x="619"/>
        <item x="620"/>
        <item x="621"/>
        <item x="622"/>
        <item x="1100"/>
        <item x="623"/>
        <item x="624"/>
        <item x="625"/>
        <item x="626"/>
        <item x="627"/>
        <item x="628"/>
        <item x="629"/>
        <item x="630"/>
        <item x="1101"/>
        <item x="631"/>
        <item x="632"/>
        <item x="633"/>
        <item x="1102"/>
        <item x="634"/>
        <item x="1103"/>
        <item x="1104"/>
        <item x="635"/>
        <item x="636"/>
        <item x="1105"/>
        <item x="637"/>
        <item x="638"/>
        <item x="639"/>
        <item x="640"/>
        <item x="641"/>
        <item x="1106"/>
        <item x="1107"/>
        <item x="642"/>
        <item x="1108"/>
        <item x="643"/>
        <item x="644"/>
        <item x="645"/>
        <item x="646"/>
        <item x="1109"/>
        <item x="647"/>
        <item x="648"/>
        <item x="649"/>
        <item x="650"/>
        <item x="651"/>
        <item x="652"/>
        <item x="653"/>
        <item x="654"/>
        <item x="1110"/>
        <item x="655"/>
        <item x="656"/>
        <item x="657"/>
        <item x="658"/>
        <item x="659"/>
        <item x="660"/>
        <item x="661"/>
        <item x="662"/>
        <item x="663"/>
        <item x="664"/>
        <item x="665"/>
        <item x="666"/>
        <item x="667"/>
        <item x="668"/>
        <item x="669"/>
        <item x="1111"/>
        <item x="670"/>
        <item x="671"/>
        <item x="672"/>
        <item x="673"/>
        <item x="674"/>
        <item x="675"/>
        <item x="676"/>
        <item x="677"/>
        <item x="678"/>
        <item x="679"/>
        <item x="680"/>
        <item x="681"/>
        <item x="1112"/>
        <item x="682"/>
        <item x="683"/>
        <item x="684"/>
        <item x="1113"/>
        <item x="685"/>
        <item x="686"/>
        <item x="687"/>
        <item x="688"/>
        <item x="689"/>
        <item x="690"/>
        <item x="691"/>
        <item x="692"/>
        <item x="693"/>
        <item x="694"/>
        <item x="1114"/>
        <item x="695"/>
        <item x="696"/>
        <item x="697"/>
        <item x="698"/>
        <item x="699"/>
        <item x="700"/>
        <item x="1115"/>
        <item x="701"/>
        <item x="702"/>
        <item x="703"/>
        <item x="704"/>
        <item x="705"/>
        <item x="706"/>
        <item x="707"/>
        <item x="708"/>
        <item x="709"/>
        <item x="710"/>
        <item x="711"/>
        <item x="1116"/>
        <item x="712"/>
        <item x="713"/>
        <item x="714"/>
        <item x="715"/>
        <item x="716"/>
        <item x="717"/>
        <item x="718"/>
        <item x="719"/>
        <item x="720"/>
        <item x="721"/>
        <item x="722"/>
        <item x="723"/>
        <item x="724"/>
        <item x="725"/>
        <item x="726"/>
        <item x="727"/>
        <item x="728"/>
        <item x="729"/>
        <item x="730"/>
        <item x="1117"/>
        <item x="731"/>
        <item x="732"/>
        <item x="733"/>
        <item x="734"/>
        <item x="735"/>
        <item x="736"/>
        <item x="737"/>
        <item x="738"/>
        <item x="739"/>
        <item x="740"/>
        <item x="741"/>
        <item x="742"/>
        <item x="1118"/>
        <item x="743"/>
        <item x="744"/>
        <item x="745"/>
        <item x="746"/>
        <item x="747"/>
        <item x="748"/>
        <item x="749"/>
        <item x="750"/>
        <item x="751"/>
        <item x="752"/>
        <item x="753"/>
        <item x="754"/>
        <item x="755"/>
        <item x="756"/>
        <item x="1119"/>
        <item x="757"/>
        <item x="758"/>
        <item x="759"/>
        <item x="760"/>
        <item x="761"/>
        <item x="1120"/>
        <item x="762"/>
        <item x="763"/>
        <item x="764"/>
        <item x="765"/>
        <item x="766"/>
        <item x="767"/>
        <item x="768"/>
        <item x="769"/>
        <item x="770"/>
        <item x="771"/>
        <item x="772"/>
        <item x="773"/>
        <item x="774"/>
        <item x="775"/>
        <item x="776"/>
        <item x="777"/>
        <item x="778"/>
        <item x="779"/>
        <item x="780"/>
        <item x="1121"/>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1122"/>
        <item x="817"/>
        <item x="818"/>
        <item x="1123"/>
        <item x="819"/>
        <item x="820"/>
        <item x="821"/>
        <item x="822"/>
        <item x="823"/>
        <item x="824"/>
        <item x="825"/>
        <item x="1124"/>
        <item x="826"/>
        <item x="827"/>
        <item x="828"/>
        <item x="829"/>
        <item x="1125"/>
        <item x="830"/>
        <item x="831"/>
        <item x="832"/>
        <item x="833"/>
        <item x="834"/>
        <item x="1126"/>
        <item x="835"/>
        <item x="836"/>
        <item x="837"/>
        <item x="838"/>
        <item x="839"/>
        <item x="840"/>
        <item x="841"/>
        <item x="842"/>
        <item x="843"/>
        <item x="1127"/>
        <item x="844"/>
        <item x="845"/>
        <item x="846"/>
        <item x="847"/>
        <item x="848"/>
        <item x="1128"/>
        <item x="849"/>
        <item x="850"/>
        <item x="851"/>
        <item x="852"/>
        <item x="853"/>
        <item x="854"/>
        <item x="855"/>
        <item x="856"/>
        <item x="857"/>
        <item x="858"/>
        <item x="859"/>
        <item x="860"/>
        <item x="861"/>
        <item x="862"/>
        <item x="863"/>
        <item x="864"/>
        <item x="865"/>
        <item t="avg"/>
      </items>
    </pivotField>
    <pivotField showAll="0"/>
    <pivotField axis="axisPage" multipleItemSelectionAllowed="1" showAll="0">
      <items count="11">
        <item h="1" x="7"/>
        <item h="1" x="5"/>
        <item h="1" x="1"/>
        <item x="2"/>
        <item h="1" x="0"/>
        <item h="1" x="3"/>
        <item h="1" x="6"/>
        <item h="1" x="9"/>
        <item h="1" x="4"/>
        <item h="1" x="8"/>
        <item t="default"/>
      </items>
    </pivotField>
    <pivotField axis="axisPage" multipleItemSelectionAllowed="1" showAll="0">
      <items count="31">
        <item h="1" x="6"/>
        <item h="1" x="13"/>
        <item h="1" x="19"/>
        <item h="1" x="7"/>
        <item h="1" x="1"/>
        <item h="1" x="3"/>
        <item h="1" x="9"/>
        <item h="1" x="11"/>
        <item x="2"/>
        <item h="1" x="5"/>
        <item h="1" x="8"/>
        <item h="1" x="24"/>
        <item h="1" x="10"/>
        <item h="1" x="4"/>
        <item h="1" x="14"/>
        <item h="1" x="18"/>
        <item h="1" x="22"/>
        <item h="1" x="12"/>
        <item h="1" x="0"/>
        <item h="1" x="16"/>
        <item h="1" x="15"/>
        <item h="1" x="21"/>
        <item h="1" x="17"/>
        <item h="1" x="26"/>
        <item h="1" x="25"/>
        <item h="1" x="20"/>
        <item h="1" x="27"/>
        <item h="1" x="28"/>
        <item h="1" x="23"/>
        <item h="1" x="29"/>
        <item t="default"/>
      </items>
    </pivotField>
    <pivotField showAll="0"/>
    <pivotField showAll="0"/>
    <pivotField showAll="0"/>
  </pivotFields>
  <rowFields count="1">
    <field x="2"/>
  </rowFields>
  <rowItems count="2">
    <i>
      <x/>
    </i>
    <i>
      <x v="1"/>
    </i>
  </rowItems>
  <colItems count="1">
    <i/>
  </colItems>
  <pageFields count="2">
    <pageField fld="5" hier="-1"/>
    <pageField fld="6" hier="-1"/>
  </pageFields>
  <dataFields count="1">
    <dataField name="Average of Price" fld="3" subtotal="average" baseField="2" baseItem="0" numFmtId="167"/>
  </dataFields>
  <formats count="1">
    <format dxfId="35">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altText="PivotTable Average of Price for a 3 Bed/2 Bath House by County" altTextSummary="This is a pivottable along with a pivotchart to show the differences in average price between a 3 bed/2 bath home sold in Oakland and Macomb. This is useful for a &quot;traditional&quot; family starter house."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AC7B68-5470-4CBC-8581-46FD6602B383}" name="cityAvgPPSFAndAvgSFPivotTable" cacheId="95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I1:K3" firstHeaderRow="0" firstDataRow="1" firstDataCol="1"/>
  <pivotFields count="10">
    <pivotField compact="0" outline="0" showAll="0"/>
    <pivotField axis="axisRow" compact="0" outline="0" showAll="0">
      <items count="88">
        <item h="1" x="55"/>
        <item h="1" x="70"/>
        <item h="1" x="81"/>
        <item h="1" x="5"/>
        <item h="1" x="25"/>
        <item h="1" x="58"/>
        <item h="1" x="41"/>
        <item x="40"/>
        <item h="1" x="54"/>
        <item h="1" x="48"/>
        <item h="1" x="20"/>
        <item h="1" x="85"/>
        <item h="1" x="68"/>
        <item h="1" x="69"/>
        <item h="1" x="82"/>
        <item h="1" x="30"/>
        <item h="1" x="64"/>
        <item h="1" x="14"/>
        <item h="1" x="63"/>
        <item h="1" x="38"/>
        <item h="1" x="11"/>
        <item h="1" x="6"/>
        <item h="1" x="53"/>
        <item h="1" x="76"/>
        <item h="1" x="27"/>
        <item h="1" x="75"/>
        <item h="1" x="7"/>
        <item h="1" x="17"/>
        <item h="1" x="26"/>
        <item h="1" x="9"/>
        <item h="1" x="23"/>
        <item h="1" x="50"/>
        <item h="1" x="29"/>
        <item h="1" x="21"/>
        <item h="1" x="57"/>
        <item h="1" x="36"/>
        <item h="1" x="44"/>
        <item h="1" x="65"/>
        <item h="1" x="37"/>
        <item h="1" x="59"/>
        <item h="1" x="8"/>
        <item h="1" x="73"/>
        <item h="1" x="49"/>
        <item h="1" x="39"/>
        <item h="1" x="62"/>
        <item h="1" x="83"/>
        <item h="1" x="71"/>
        <item h="1" x="52"/>
        <item h="1" x="2"/>
        <item h="1" x="15"/>
        <item h="1" x="35"/>
        <item h="1" x="56"/>
        <item h="1" x="13"/>
        <item h="1" x="51"/>
        <item h="1" x="43"/>
        <item h="1" x="31"/>
        <item h="1" x="42"/>
        <item h="1" x="1"/>
        <item h="1" x="79"/>
        <item h="1" x="74"/>
        <item h="1" x="84"/>
        <item h="1" x="46"/>
        <item h="1" x="3"/>
        <item h="1" x="80"/>
        <item h="1" x="45"/>
        <item h="1" x="60"/>
        <item h="1" x="18"/>
        <item h="1" x="19"/>
        <item h="1" x="72"/>
        <item h="1" x="16"/>
        <item h="1" x="12"/>
        <item h="1" x="28"/>
        <item h="1" x="67"/>
        <item h="1" x="66"/>
        <item h="1" x="34"/>
        <item h="1" x="22"/>
        <item h="1" x="77"/>
        <item h="1" x="4"/>
        <item h="1" x="33"/>
        <item h="1" x="61"/>
        <item h="1" x="78"/>
        <item h="1" x="0"/>
        <item h="1" x="24"/>
        <item h="1" x="10"/>
        <item h="1" x="47"/>
        <item h="1" x="32"/>
        <item h="1" m="1" x="86"/>
        <item t="default"/>
      </items>
    </pivotField>
    <pivotField compact="0" outline="0" showAll="0"/>
    <pivotField compact="0" numFmtId="165" outline="0" showAll="0"/>
    <pivotField compact="0" outline="0" showAll="0"/>
    <pivotField compact="0" outline="0" showAll="0"/>
    <pivotField compact="0" outline="0" showAll="0"/>
    <pivotField dataField="1" compact="0" outline="0" showAll="0"/>
    <pivotField dataField="1" compact="0" outline="0" showAll="0"/>
    <pivotField compact="0" outline="0" showAll="0"/>
  </pivotFields>
  <rowFields count="1">
    <field x="1"/>
  </rowFields>
  <rowItems count="2">
    <i>
      <x v="7"/>
    </i>
    <i t="grand">
      <x/>
    </i>
  </rowItems>
  <colFields count="1">
    <field x="-2"/>
  </colFields>
  <colItems count="2">
    <i>
      <x/>
    </i>
    <i i="1">
      <x v="1"/>
    </i>
  </colItems>
  <dataFields count="2">
    <dataField name="Average of Price per Sq Ft" fld="8" subtotal="average" baseField="0" baseItem="0" numFmtId="44"/>
    <dataField name="Average of Sq Ft" fld="7" subtotal="average" baseField="0" baseItem="0" numFmtId="1"/>
  </dataFields>
  <formats count="2">
    <format dxfId="33">
      <pivotArea outline="0" fieldPosition="0">
        <references count="1">
          <reference field="4294967294" count="1" selected="0">
            <x v="0"/>
          </reference>
        </references>
      </pivotArea>
    </format>
    <format dxfId="34">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FF1504-7A92-41B6-A4FC-8D5FCB73D956}" name="MinMaxAvgPivot" cacheId="957" dataOnRows="1" applyNumberFormats="0" applyBorderFormats="0" applyFontFormats="0" applyPatternFormats="0" applyAlignmentFormats="0" applyWidthHeightFormats="1" dataCaption="Values by County" updatedVersion="8" minRefreshableVersion="3" useAutoFormatting="1" itemPrintTitles="1" createdVersion="8" indent="0" compact="0" compactData="0" multipleFieldFilters="0" chartFormat="1">
  <location ref="A3:B22" firstHeaderRow="1" firstDataRow="1" firstDataCol="1"/>
  <pivotFields count="10">
    <pivotField dataField="1" compact="0" outline="0" showAll="0"/>
    <pivotField compact="0" outline="0" showAll="0"/>
    <pivotField compact="0" outline="0" showAll="0">
      <items count="3">
        <item h="1" x="1"/>
        <item x="0"/>
        <item t="default"/>
      </items>
    </pivotField>
    <pivotField dataField="1" compact="0" numFmtId="165"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pivotFields>
  <rowFields count="1">
    <field x="-2"/>
  </rowFields>
  <rowItems count="19">
    <i>
      <x/>
    </i>
    <i i="1">
      <x v="1"/>
    </i>
    <i i="2">
      <x v="2"/>
    </i>
    <i i="3">
      <x v="3"/>
    </i>
    <i i="4">
      <x v="4"/>
    </i>
    <i i="5">
      <x v="5"/>
    </i>
    <i i="6">
      <x v="6"/>
    </i>
    <i i="7">
      <x v="7"/>
    </i>
    <i i="8">
      <x v="8"/>
    </i>
    <i i="9">
      <x v="9"/>
    </i>
    <i i="10">
      <x v="10"/>
    </i>
    <i i="11">
      <x v="11"/>
    </i>
    <i i="12">
      <x v="12"/>
    </i>
    <i i="13">
      <x v="13"/>
    </i>
    <i i="14">
      <x v="14"/>
    </i>
    <i i="15">
      <x v="15"/>
    </i>
    <i i="16">
      <x v="16"/>
    </i>
    <i i="17">
      <x v="17"/>
    </i>
    <i i="18">
      <x v="18"/>
    </i>
  </rowItems>
  <colItems count="1">
    <i/>
  </colItems>
  <dataFields count="19">
    <dataField name="Count of Address" fld="0" subtotal="count" baseField="0" baseItem="0"/>
    <dataField name="Min of Sq Ft" fld="7" subtotal="min" baseField="0" baseItem="0"/>
    <dataField name="Max of Sq Ft" fld="7" subtotal="max" baseField="0" baseItem="0"/>
    <dataField name="Average of Sq Ft" fld="7" subtotal="average" baseField="0" baseItem="0" numFmtId="1"/>
    <dataField name="Min of Price per Sq Ft" fld="8" subtotal="min" baseField="0" baseItem="0" numFmtId="167"/>
    <dataField name="Max of Price per Sq Ft" fld="8" subtotal="max" baseField="0" baseItem="0" numFmtId="167"/>
    <dataField name="Average of Price per Sq Ft" fld="8" subtotal="average" baseField="0" baseItem="0" numFmtId="167"/>
    <dataField name="Min of Price" fld="3" subtotal="min" baseField="0" baseItem="0" numFmtId="167"/>
    <dataField name="Max of Price" fld="3" subtotal="max" baseField="0" baseItem="0" numFmtId="167"/>
    <dataField name="Average of Price" fld="3" subtotal="average" baseField="0" baseItem="0" numFmtId="167"/>
    <dataField name="Min of Beds" fld="5" subtotal="min" baseField="0" baseItem="0"/>
    <dataField name="Max of Beds" fld="5" subtotal="max" baseField="0" baseItem="0"/>
    <dataField name="Average of Beds" fld="5" subtotal="average" baseField="0" baseItem="0" numFmtId="1"/>
    <dataField name="Min of Baths" fld="6" subtotal="min" baseField="0" baseItem="0"/>
    <dataField name="Max of Baths" fld="6" subtotal="max" baseField="0" baseItem="0"/>
    <dataField name="Average of Baths" fld="6" subtotal="average" baseField="0" baseItem="0" numFmtId="1"/>
    <dataField name="Min of Days on Market" fld="4" subtotal="min" baseField="0" baseItem="0"/>
    <dataField name="Max of Days on Market" fld="4" subtotal="max" baseField="0" baseItem="0"/>
    <dataField name="Average of Days on Market" fld="4" subtotal="average" baseField="0" baseItem="0" numFmtId="2"/>
  </dataFields>
  <formats count="3">
    <format dxfId="30">
      <pivotArea outline="0" fieldPosition="0">
        <references count="1">
          <reference field="4294967294" count="3" selected="0">
            <x v="7"/>
            <x v="8"/>
            <x v="9"/>
          </reference>
        </references>
      </pivotArea>
    </format>
    <format dxfId="31">
      <pivotArea outline="0" fieldPosition="0">
        <references count="1">
          <reference field="4294967294" count="1">
            <x v="18"/>
          </reference>
        </references>
      </pivotArea>
    </format>
    <format dxfId="32">
      <pivotArea outline="0" fieldPosition="0">
        <references count="1">
          <reference field="4294967294" count="3" selected="0">
            <x v="4"/>
            <x v="5"/>
            <x v="6"/>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altText="MinMaxAvgPivot" altTextSummary="This table is used to tell minimums, maximums, and averages for Macomb and Oakland County home sales."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A1E27C-7AFA-4A7F-AF08-710561DC510C}" name="PriceByCityPivotTable" cacheId="95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F3:H4" firstHeaderRow="0" firstDataRow="1" firstDataCol="0"/>
  <pivotFields count="10">
    <pivotField compact="0" outline="0" showAll="0"/>
    <pivotField compact="0" outline="0" showAll="0">
      <items count="88">
        <item h="1" x="55"/>
        <item h="1" x="70"/>
        <item h="1" x="81"/>
        <item h="1" x="5"/>
        <item h="1" x="25"/>
        <item h="1" x="58"/>
        <item h="1" x="41"/>
        <item x="40"/>
        <item h="1" x="54"/>
        <item h="1" x="48"/>
        <item h="1" x="20"/>
        <item h="1" x="85"/>
        <item h="1" x="68"/>
        <item h="1" x="69"/>
        <item h="1" x="82"/>
        <item h="1" x="30"/>
        <item h="1" x="64"/>
        <item h="1" x="14"/>
        <item h="1" x="63"/>
        <item h="1" x="38"/>
        <item h="1" x="11"/>
        <item h="1" x="6"/>
        <item h="1" x="53"/>
        <item h="1" x="76"/>
        <item h="1" x="27"/>
        <item h="1" x="75"/>
        <item h="1" x="7"/>
        <item h="1" x="17"/>
        <item h="1" x="26"/>
        <item h="1" x="9"/>
        <item h="1" x="23"/>
        <item h="1" x="50"/>
        <item h="1" x="29"/>
        <item h="1" x="21"/>
        <item h="1" x="57"/>
        <item h="1" x="36"/>
        <item h="1" x="44"/>
        <item h="1" x="65"/>
        <item h="1" x="37"/>
        <item h="1" x="59"/>
        <item h="1" x="8"/>
        <item h="1" x="73"/>
        <item h="1" x="49"/>
        <item h="1" x="39"/>
        <item h="1" x="62"/>
        <item h="1" x="83"/>
        <item h="1" x="71"/>
        <item h="1" x="52"/>
        <item h="1" x="2"/>
        <item h="1" x="15"/>
        <item h="1" x="35"/>
        <item h="1" x="56"/>
        <item h="1" x="13"/>
        <item h="1" x="51"/>
        <item h="1" x="43"/>
        <item h="1" x="31"/>
        <item h="1" x="42"/>
        <item h="1" x="1"/>
        <item h="1" x="79"/>
        <item h="1" x="74"/>
        <item h="1" x="84"/>
        <item h="1" x="46"/>
        <item h="1" x="3"/>
        <item h="1" x="80"/>
        <item h="1" x="45"/>
        <item h="1" x="60"/>
        <item h="1" x="18"/>
        <item h="1" x="19"/>
        <item h="1" x="72"/>
        <item h="1" x="16"/>
        <item h="1" x="12"/>
        <item h="1" x="28"/>
        <item h="1" x="67"/>
        <item h="1" x="66"/>
        <item h="1" x="34"/>
        <item h="1" x="22"/>
        <item h="1" x="77"/>
        <item h="1" x="4"/>
        <item h="1" x="33"/>
        <item h="1" x="61"/>
        <item h="1" x="78"/>
        <item h="1" x="0"/>
        <item h="1" x="24"/>
        <item h="1" x="10"/>
        <item h="1" x="47"/>
        <item h="1" x="32"/>
        <item h="1" m="1" x="86"/>
        <item t="default"/>
      </items>
    </pivotField>
    <pivotField compact="0" outline="0" showAll="0"/>
    <pivotField dataField="1" compact="0" numFmtId="165"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Fields count="1">
    <field x="-2"/>
  </colFields>
  <colItems count="3">
    <i>
      <x/>
    </i>
    <i i="1">
      <x v="1"/>
    </i>
    <i i="2">
      <x v="2"/>
    </i>
  </colItems>
  <dataFields count="3">
    <dataField name="Min of Price" fld="3" subtotal="min" baseField="0" baseItem="0" numFmtId="167"/>
    <dataField name="Max of Price" fld="3" subtotal="max" baseField="0" baseItem="0" numFmtId="167"/>
    <dataField name="Average of Price" fld="3" subtotal="average" baseField="0" baseItem="0" numFmtId="44"/>
  </dataFields>
  <formats count="1">
    <format dxfId="29">
      <pivotArea outline="0" fieldPosition="0">
        <references count="1">
          <reference field="4294967294" count="2" selected="0">
            <x v="0"/>
            <x v="1"/>
          </reference>
        </references>
      </pivotArea>
    </format>
  </formats>
  <chartFormats count="10">
    <chartFormat chart="0" format="0"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PriceByCityPivotTable" altTextSummary="This pivottable has a slicer to allow quick and easy display of the pricing ranges by city."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719C1B09-3750-4CE1-BCBB-74B016E0DA62}" sourceName="County">
  <pivotTables>
    <pivotTable tabId="15" name="MinMaxAvgPivot"/>
  </pivotTables>
  <data>
    <tabular pivotCacheId="1652252354">
      <items count="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221F25BC-3BC9-4B75-A29D-4E0A5F34F4F7}" sourceName="City">
  <pivotTables>
    <pivotTable tabId="15" name="PriceByCityPivotTable"/>
  </pivotTables>
  <data>
    <tabular pivotCacheId="1652252354">
      <items count="87">
        <i x="55"/>
        <i x="70"/>
        <i x="81"/>
        <i x="5"/>
        <i x="25"/>
        <i x="58"/>
        <i x="41"/>
        <i x="40" s="1"/>
        <i x="54"/>
        <i x="48"/>
        <i x="20"/>
        <i x="85"/>
        <i x="68"/>
        <i x="69"/>
        <i x="82"/>
        <i x="30"/>
        <i x="64"/>
        <i x="14"/>
        <i x="63"/>
        <i x="38"/>
        <i x="11"/>
        <i x="6"/>
        <i x="53"/>
        <i x="76"/>
        <i x="27"/>
        <i x="75"/>
        <i x="7"/>
        <i x="17"/>
        <i x="26"/>
        <i x="9"/>
        <i x="23"/>
        <i x="50"/>
        <i x="29"/>
        <i x="21"/>
        <i x="57"/>
        <i x="36"/>
        <i x="44"/>
        <i x="65"/>
        <i x="37"/>
        <i x="59"/>
        <i x="8"/>
        <i x="73"/>
        <i x="49"/>
        <i x="39"/>
        <i x="62"/>
        <i x="83"/>
        <i x="71"/>
        <i x="52"/>
        <i x="2"/>
        <i x="15"/>
        <i x="35"/>
        <i x="56"/>
        <i x="13"/>
        <i x="51"/>
        <i x="43"/>
        <i x="31"/>
        <i x="42"/>
        <i x="1"/>
        <i x="79"/>
        <i x="74"/>
        <i x="84"/>
        <i x="46"/>
        <i x="3"/>
        <i x="80"/>
        <i x="45"/>
        <i x="60"/>
        <i x="18"/>
        <i x="19"/>
        <i x="72"/>
        <i x="16"/>
        <i x="12"/>
        <i x="28"/>
        <i x="67"/>
        <i x="66"/>
        <i x="34"/>
        <i x="22"/>
        <i x="77"/>
        <i x="4"/>
        <i x="33"/>
        <i x="61"/>
        <i x="78"/>
        <i x="0"/>
        <i x="24"/>
        <i x="10"/>
        <i x="47"/>
        <i x="32"/>
        <i x="8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B9CB065D-9259-407F-9A05-1A51BC95E68E}" sourceName="City">
  <pivotTables>
    <pivotTable tabId="16" name="cityAvgPPSFAndAvgSFPivotTable"/>
  </pivotTables>
  <data>
    <tabular pivotCacheId="1652252354">
      <items count="87">
        <i x="55"/>
        <i x="70"/>
        <i x="81"/>
        <i x="5"/>
        <i x="25"/>
        <i x="58"/>
        <i x="41"/>
        <i x="40" s="1"/>
        <i x="54"/>
        <i x="48"/>
        <i x="20"/>
        <i x="85"/>
        <i x="68"/>
        <i x="69"/>
        <i x="82"/>
        <i x="30"/>
        <i x="64"/>
        <i x="14"/>
        <i x="63"/>
        <i x="38"/>
        <i x="11"/>
        <i x="6"/>
        <i x="53"/>
        <i x="76"/>
        <i x="27"/>
        <i x="75"/>
        <i x="7"/>
        <i x="17"/>
        <i x="26"/>
        <i x="9"/>
        <i x="23"/>
        <i x="50"/>
        <i x="29"/>
        <i x="21"/>
        <i x="57"/>
        <i x="36"/>
        <i x="44"/>
        <i x="65"/>
        <i x="37"/>
        <i x="59"/>
        <i x="8"/>
        <i x="73"/>
        <i x="49"/>
        <i x="39"/>
        <i x="62"/>
        <i x="83"/>
        <i x="71"/>
        <i x="52"/>
        <i x="2"/>
        <i x="15"/>
        <i x="35"/>
        <i x="56"/>
        <i x="13"/>
        <i x="51"/>
        <i x="43"/>
        <i x="31"/>
        <i x="42"/>
        <i x="1"/>
        <i x="79"/>
        <i x="74"/>
        <i x="84"/>
        <i x="46"/>
        <i x="3"/>
        <i x="80"/>
        <i x="45"/>
        <i x="60"/>
        <i x="18"/>
        <i x="19"/>
        <i x="72"/>
        <i x="16"/>
        <i x="12"/>
        <i x="28"/>
        <i x="67"/>
        <i x="66"/>
        <i x="34"/>
        <i x="22"/>
        <i x="77"/>
        <i x="4"/>
        <i x="33"/>
        <i x="61"/>
        <i x="78"/>
        <i x="0"/>
        <i x="24"/>
        <i x="10"/>
        <i x="47"/>
        <i x="32"/>
        <i x="8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Splicer" xr10:uid="{86E17A52-3CC8-4698-ACFD-6F8ECF4F1468}" cache="Slicer_City1" caption="City" columnCount="5"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ySplicer" xr10:uid="{D499ADBD-AFB2-47C8-8290-C832E072497A}" cache="Slicer_County" caption="County" style="SlicerStyleLight2" rowHeight="228600"/>
  <slicer name="citySplicer2" xr10:uid="{CF2E3415-7735-4A0E-AB9C-63569422ED17}" cache="Slicer_City" caption="Average Price by City" startItem="24" columnCount="6" rowHeight="2286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3F7BBA-3DA9-4850-B3A9-61A8E8A231E2}" name="Table5" displayName="Table5" ref="A1:J3546" totalsRowShown="0" headerRowDxfId="28" dataDxfId="27" tableBorderDxfId="26">
  <autoFilter ref="A1:J3546" xr:uid="{E13F7BBA-3DA9-4850-B3A9-61A8E8A231E2}"/>
  <tableColumns count="10">
    <tableColumn id="1" xr3:uid="{C1A44E4B-95C7-4C2A-A2DF-EB34A16CA4F4}" name="Address" dataDxfId="25"/>
    <tableColumn id="2" xr3:uid="{9D13B9E6-EA4F-4193-B8FC-E9E135DAAB74}" name="City" dataDxfId="24"/>
    <tableColumn id="3" xr3:uid="{8F2ADC20-71BC-495D-871E-41E5F92E93C9}" name="County" dataDxfId="23"/>
    <tableColumn id="4" xr3:uid="{5AFAF644-7FA2-446F-8711-96A90E4B542C}" name="Price" dataDxfId="22"/>
    <tableColumn id="5" xr3:uid="{F57A47C9-887E-49EA-AA0C-D8D7ACF815BC}" name="Days on Market" dataDxfId="21"/>
    <tableColumn id="6" xr3:uid="{DD369D37-8BF0-4774-B309-0587CB9BB56B}" name="Beds Total" dataDxfId="20"/>
    <tableColumn id="7" xr3:uid="{556978D1-6281-4057-99E3-1B76213336B9}" name="Baths" dataDxfId="19"/>
    <tableColumn id="8" xr3:uid="{6EEBAD34-CE17-4057-9FA3-C3751F366B78}" name="Sq Ft" dataDxfId="18"/>
    <tableColumn id="9" xr3:uid="{545AB9C3-5D45-46E7-9AE6-C3E4881681FE}" name="Price per Sq Ft" dataDxfId="17">
      <calculatedColumnFormula>D2/H2</calculatedColumnFormula>
    </tableColumn>
    <tableColumn id="10" xr3:uid="{AD5D8A87-23DF-4B59-BBDE-0CAADE96376E}" name="Price per Sq Ft Category" dataDxfId="16">
      <calculatedColumnFormula>IF(I2 &gt; 300, "High", IF(AND(I2 &lt;= 300, I2 &gt; 200), "Medium", "Low"))</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2EFD7E-A290-4CB6-B0C2-BB76F9BF1357}" name="Table2" displayName="Table2" ref="A1:F88" totalsRowShown="0" headerRowDxfId="11" dataDxfId="10" headerRowBorderDxfId="9">
  <autoFilter ref="A1:F88" xr:uid="{CC2EFD7E-A290-4CB6-B0C2-BB76F9BF1357}"/>
  <tableColumns count="6">
    <tableColumn id="1" xr3:uid="{E1FCC1B1-D6C0-4BC5-AE05-FD2956A98B1F}" name="City" dataDxfId="8"/>
    <tableColumn id="2" xr3:uid="{04D41B42-C516-4A38-BF9A-D3703674C714}" name="Min of Price" dataDxfId="7"/>
    <tableColumn id="3" xr3:uid="{71787EA8-D55D-4754-85CE-B7FE06E79961}" name="Max of Price" dataDxfId="6"/>
    <tableColumn id="4" xr3:uid="{9AF485AA-3B45-453F-B609-E99DB4ABD9FF}" name="Average of Price" dataDxfId="5"/>
    <tableColumn id="5" xr3:uid="{D9CDA887-47AE-4E53-BF59-443DD364A209}" name="Average of Date on Market" dataDxfId="4"/>
    <tableColumn id="6" xr3:uid="{1369A8A0-73FC-4781-9520-EB5C6AF940F5}" name="Average of Price per Sq Ft"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8449B4-0A9F-4683-8735-203DB369DCCF}" name="Table1" displayName="Table1" ref="A1:C86" totalsRowShown="0">
  <autoFilter ref="A1:C86" xr:uid="{F68449B4-0A9F-4683-8735-203DB369DCCF}"/>
  <tableColumns count="3">
    <tableColumn id="1" xr3:uid="{6006413C-4C15-472B-880D-88F80FBA337D}" name="City" dataDxfId="2"/>
    <tableColumn id="2" xr3:uid="{D54AC71D-DA19-40C5-8F63-44058D5B5D56}" name="Avg Price" dataDxfId="1"/>
    <tableColumn id="3" xr3:uid="{8E03C535-A82B-468A-840D-F8377C6CAF8D}" name="Diff Between Price and Budget" dataDxfId="0">
      <calculatedColumnFormula>ABS(B2-$E$2)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 dT="2024-04-03T13:31:20.30" personId="{324678E1-24EF-4F02-9681-2FCBC2795C34}" id="{43F1EF4D-8E42-4589-9EF1-6B9AF8A71907}">
    <text xml:space="preserve">Categorizing based on Price per Sq Ft. The median PPSF in Oakland County is $213 for example. This IF statement will need tweaking to match the data we have, unless it's in fact true that most of these home's PPSF is actually low based on the median price. </text>
  </threadedComment>
</ThreadedComments>
</file>

<file path=xl/threadedComments/threadedComment2.xml><?xml version="1.0" encoding="utf-8"?>
<ThreadedComments xmlns="http://schemas.microsoft.com/office/spreadsheetml/2018/threadedcomments" xmlns:x="http://schemas.openxmlformats.org/spreadsheetml/2006/main">
  <threadedComment ref="D2" dT="2024-04-03T14:38:14.02" personId="{324678E1-24EF-4F02-9681-2FCBC2795C34}" id="{50BB8DB2-914C-46A4-8BD8-5017CBF8AD8F}">
    <text>Added conditional formatting color scales to differentiate high and low values</text>
  </threadedComment>
</ThreadedComments>
</file>

<file path=xl/threadedComments/threadedComment3.xml><?xml version="1.0" encoding="utf-8"?>
<ThreadedComments xmlns="http://schemas.microsoft.com/office/spreadsheetml/2018/threadedcomments" xmlns:x="http://schemas.openxmlformats.org/spreadsheetml/2006/main">
  <threadedComment ref="B2" dT="2024-04-03T14:38:14.02" personId="{324678E1-24EF-4F02-9681-2FCBC2795C34}" id="{976F28BC-D9CF-4D5F-B03A-BEEF289D4F57}">
    <text>Added conditional formatting color scales to differentiate high and low values</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5.xml"/><Relationship Id="rId1" Type="http://schemas.openxmlformats.org/officeDocument/2006/relationships/pivotTable" Target="../pivotTables/pivotTable4.xml"/><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8A369-B4DF-49A3-B5AF-9B7CEB34CE28}">
  <dimension ref="A1:J3546"/>
  <sheetViews>
    <sheetView tabSelected="1" workbookViewId="0">
      <selection activeCell="F3" sqref="F3"/>
    </sheetView>
  </sheetViews>
  <sheetFormatPr defaultRowHeight="15.75"/>
  <cols>
    <col min="1" max="1" width="34" style="3" customWidth="1"/>
    <col min="2" max="2" width="18.125" style="3" bestFit="1" customWidth="1"/>
    <col min="3" max="3" width="9" style="3"/>
    <col min="4" max="4" width="13.625" style="24" bestFit="1" customWidth="1"/>
    <col min="5" max="5" width="15.625" style="3" bestFit="1" customWidth="1"/>
    <col min="6" max="6" width="11.625" style="3" bestFit="1" customWidth="1"/>
    <col min="7" max="7" width="9" style="3"/>
    <col min="8" max="8" width="19.625" style="3" bestFit="1" customWidth="1"/>
    <col min="9" max="9" width="14.875" style="3" bestFit="1" customWidth="1"/>
    <col min="10" max="10" width="22.875" style="3" bestFit="1" customWidth="1"/>
    <col min="11" max="12" width="9" style="3"/>
    <col min="13" max="13" width="18.875" style="3" bestFit="1" customWidth="1"/>
    <col min="14" max="14" width="16.625" style="3" bestFit="1" customWidth="1"/>
    <col min="15" max="16384" width="9" style="3"/>
  </cols>
  <sheetData>
    <row r="1" spans="1:10">
      <c r="A1" s="2" t="s">
        <v>0</v>
      </c>
      <c r="B1" s="2" t="s">
        <v>1</v>
      </c>
      <c r="C1" s="2" t="s">
        <v>2</v>
      </c>
      <c r="D1" s="20" t="s">
        <v>3</v>
      </c>
      <c r="E1" s="2" t="s">
        <v>4</v>
      </c>
      <c r="F1" s="2" t="s">
        <v>5</v>
      </c>
      <c r="G1" s="2" t="s">
        <v>6</v>
      </c>
      <c r="H1" s="2" t="s">
        <v>7</v>
      </c>
      <c r="I1" s="2" t="s">
        <v>8</v>
      </c>
      <c r="J1" s="2" t="s">
        <v>9</v>
      </c>
    </row>
    <row r="2" spans="1:10">
      <c r="A2" s="4" t="s">
        <v>10</v>
      </c>
      <c r="B2" s="4" t="s">
        <v>11</v>
      </c>
      <c r="C2" s="4" t="s">
        <v>12</v>
      </c>
      <c r="D2" s="21">
        <v>249900</v>
      </c>
      <c r="E2" s="4">
        <v>16</v>
      </c>
      <c r="F2" s="4">
        <v>4</v>
      </c>
      <c r="G2" s="4">
        <v>4.0999999999999996</v>
      </c>
      <c r="H2" s="4">
        <v>1826</v>
      </c>
      <c r="I2" s="6">
        <f t="shared" ref="I2:I65" si="0">D2/H2</f>
        <v>136.8565169769989</v>
      </c>
      <c r="J2" s="3" t="str">
        <f t="shared" ref="J2:J65" si="1">IF(I2 &gt; 300, "High", IF(AND(I2 &lt;= 300, I2 &gt; 200), "Medium", "Low"))</f>
        <v>Low</v>
      </c>
    </row>
    <row r="3" spans="1:10">
      <c r="A3" s="7" t="s">
        <v>13</v>
      </c>
      <c r="B3" s="7" t="s">
        <v>14</v>
      </c>
      <c r="C3" s="7" t="s">
        <v>12</v>
      </c>
      <c r="D3" s="22">
        <v>10000</v>
      </c>
      <c r="E3" s="7">
        <v>21</v>
      </c>
      <c r="F3" s="7">
        <v>2</v>
      </c>
      <c r="G3" s="7">
        <v>1</v>
      </c>
      <c r="H3" s="7">
        <v>758</v>
      </c>
      <c r="I3" s="9">
        <f t="shared" si="0"/>
        <v>13.192612137203167</v>
      </c>
      <c r="J3" s="3" t="str">
        <f t="shared" si="1"/>
        <v>Low</v>
      </c>
    </row>
    <row r="4" spans="1:10">
      <c r="A4" s="4" t="s">
        <v>15</v>
      </c>
      <c r="B4" s="4" t="s">
        <v>16</v>
      </c>
      <c r="C4" s="4" t="s">
        <v>12</v>
      </c>
      <c r="D4" s="21">
        <v>12000</v>
      </c>
      <c r="E4" s="4">
        <v>77</v>
      </c>
      <c r="F4" s="4">
        <v>3</v>
      </c>
      <c r="G4" s="4">
        <v>2</v>
      </c>
      <c r="H4" s="10">
        <v>1216</v>
      </c>
      <c r="I4" s="11">
        <f t="shared" si="0"/>
        <v>9.8684210526315788</v>
      </c>
      <c r="J4" s="3" t="str">
        <f t="shared" si="1"/>
        <v>Low</v>
      </c>
    </row>
    <row r="5" spans="1:10">
      <c r="A5" s="7" t="s">
        <v>17</v>
      </c>
      <c r="B5" s="7" t="s">
        <v>18</v>
      </c>
      <c r="C5" s="7" t="s">
        <v>12</v>
      </c>
      <c r="D5" s="22">
        <v>21000</v>
      </c>
      <c r="E5" s="7">
        <v>83</v>
      </c>
      <c r="F5" s="7">
        <v>2</v>
      </c>
      <c r="G5" s="7">
        <v>2</v>
      </c>
      <c r="H5" s="12">
        <v>1100</v>
      </c>
      <c r="I5" s="9">
        <f t="shared" si="0"/>
        <v>19.09090909090909</v>
      </c>
      <c r="J5" s="3" t="str">
        <f t="shared" si="1"/>
        <v>Low</v>
      </c>
    </row>
    <row r="6" spans="1:10">
      <c r="A6" s="4" t="s">
        <v>19</v>
      </c>
      <c r="B6" s="4" t="s">
        <v>18</v>
      </c>
      <c r="C6" s="4" t="s">
        <v>12</v>
      </c>
      <c r="D6" s="21">
        <v>29000</v>
      </c>
      <c r="E6" s="4">
        <v>88</v>
      </c>
      <c r="F6" s="4">
        <v>2</v>
      </c>
      <c r="G6" s="4">
        <v>2</v>
      </c>
      <c r="H6" s="10">
        <v>1100</v>
      </c>
      <c r="I6" s="11">
        <f t="shared" si="0"/>
        <v>26.363636363636363</v>
      </c>
      <c r="J6" s="3" t="str">
        <f t="shared" si="1"/>
        <v>Low</v>
      </c>
    </row>
    <row r="7" spans="1:10">
      <c r="A7" s="7" t="s">
        <v>20</v>
      </c>
      <c r="B7" s="7" t="s">
        <v>21</v>
      </c>
      <c r="C7" s="7" t="s">
        <v>12</v>
      </c>
      <c r="D7" s="22">
        <v>38000</v>
      </c>
      <c r="E7" s="7">
        <v>126</v>
      </c>
      <c r="F7" s="7">
        <v>3</v>
      </c>
      <c r="G7" s="7">
        <v>2</v>
      </c>
      <c r="H7" s="12">
        <v>1352</v>
      </c>
      <c r="I7" s="9">
        <f t="shared" si="0"/>
        <v>28.106508875739646</v>
      </c>
      <c r="J7" s="3" t="str">
        <f t="shared" si="1"/>
        <v>Low</v>
      </c>
    </row>
    <row r="8" spans="1:10">
      <c r="A8" s="4" t="s">
        <v>22</v>
      </c>
      <c r="B8" s="4" t="s">
        <v>14</v>
      </c>
      <c r="C8" s="4" t="s">
        <v>12</v>
      </c>
      <c r="D8" s="21">
        <v>40000</v>
      </c>
      <c r="E8" s="4">
        <v>14</v>
      </c>
      <c r="F8" s="4">
        <v>4</v>
      </c>
      <c r="G8" s="4">
        <v>2</v>
      </c>
      <c r="H8" s="10">
        <v>1424</v>
      </c>
      <c r="I8" s="11">
        <f t="shared" si="0"/>
        <v>28.089887640449437</v>
      </c>
      <c r="J8" s="3" t="str">
        <f t="shared" si="1"/>
        <v>Low</v>
      </c>
    </row>
    <row r="9" spans="1:10">
      <c r="A9" s="7" t="s">
        <v>23</v>
      </c>
      <c r="B9" s="7" t="s">
        <v>14</v>
      </c>
      <c r="C9" s="7" t="s">
        <v>12</v>
      </c>
      <c r="D9" s="22">
        <v>41000</v>
      </c>
      <c r="E9" s="7">
        <v>11</v>
      </c>
      <c r="F9" s="7">
        <v>4</v>
      </c>
      <c r="G9" s="7">
        <v>1</v>
      </c>
      <c r="H9" s="12">
        <v>1161</v>
      </c>
      <c r="I9" s="9">
        <f t="shared" si="0"/>
        <v>35.314384151593451</v>
      </c>
      <c r="J9" s="3" t="str">
        <f t="shared" si="1"/>
        <v>Low</v>
      </c>
    </row>
    <row r="10" spans="1:10">
      <c r="A10" s="4" t="s">
        <v>24</v>
      </c>
      <c r="B10" s="4" t="s">
        <v>25</v>
      </c>
      <c r="C10" s="4" t="s">
        <v>12</v>
      </c>
      <c r="D10" s="21">
        <v>45000</v>
      </c>
      <c r="E10" s="4">
        <v>111</v>
      </c>
      <c r="F10" s="4">
        <v>3</v>
      </c>
      <c r="G10" s="4">
        <v>2</v>
      </c>
      <c r="H10" s="10">
        <v>1152</v>
      </c>
      <c r="I10" s="11">
        <f t="shared" si="0"/>
        <v>39.0625</v>
      </c>
      <c r="J10" s="3" t="str">
        <f t="shared" si="1"/>
        <v>Low</v>
      </c>
    </row>
    <row r="11" spans="1:10">
      <c r="A11" s="7" t="s">
        <v>26</v>
      </c>
      <c r="B11" s="7" t="s">
        <v>14</v>
      </c>
      <c r="C11" s="7" t="s">
        <v>12</v>
      </c>
      <c r="D11" s="22">
        <v>47000</v>
      </c>
      <c r="E11" s="7">
        <v>10</v>
      </c>
      <c r="F11" s="7">
        <v>4</v>
      </c>
      <c r="G11" s="7">
        <v>1.1000000000000001</v>
      </c>
      <c r="H11" s="12">
        <v>1143</v>
      </c>
      <c r="I11" s="9">
        <f t="shared" si="0"/>
        <v>41.119860017497814</v>
      </c>
      <c r="J11" s="3" t="str">
        <f t="shared" si="1"/>
        <v>Low</v>
      </c>
    </row>
    <row r="12" spans="1:10">
      <c r="A12" s="4" t="s">
        <v>27</v>
      </c>
      <c r="B12" s="4" t="s">
        <v>14</v>
      </c>
      <c r="C12" s="4" t="s">
        <v>12</v>
      </c>
      <c r="D12" s="21">
        <v>50500</v>
      </c>
      <c r="E12" s="4">
        <v>23</v>
      </c>
      <c r="F12" s="4">
        <v>2</v>
      </c>
      <c r="G12" s="4">
        <v>1</v>
      </c>
      <c r="H12" s="4">
        <v>958</v>
      </c>
      <c r="I12" s="11">
        <f t="shared" si="0"/>
        <v>52.71398747390397</v>
      </c>
      <c r="J12" s="3" t="str">
        <f t="shared" si="1"/>
        <v>Low</v>
      </c>
    </row>
    <row r="13" spans="1:10">
      <c r="A13" s="7" t="s">
        <v>28</v>
      </c>
      <c r="B13" s="7" t="s">
        <v>29</v>
      </c>
      <c r="C13" s="7" t="s">
        <v>12</v>
      </c>
      <c r="D13" s="22">
        <v>54000</v>
      </c>
      <c r="E13" s="7">
        <v>1</v>
      </c>
      <c r="F13" s="7">
        <v>2</v>
      </c>
      <c r="G13" s="7">
        <v>1</v>
      </c>
      <c r="H13" s="7">
        <v>773</v>
      </c>
      <c r="I13" s="9">
        <f t="shared" si="0"/>
        <v>69.857697283311779</v>
      </c>
      <c r="J13" s="3" t="str">
        <f t="shared" si="1"/>
        <v>Low</v>
      </c>
    </row>
    <row r="14" spans="1:10">
      <c r="A14" s="4" t="s">
        <v>30</v>
      </c>
      <c r="B14" s="4" t="s">
        <v>14</v>
      </c>
      <c r="C14" s="4" t="s">
        <v>12</v>
      </c>
      <c r="D14" s="21">
        <v>55000</v>
      </c>
      <c r="E14" s="4">
        <v>29</v>
      </c>
      <c r="F14" s="4">
        <v>3</v>
      </c>
      <c r="G14" s="4">
        <v>1</v>
      </c>
      <c r="H14" s="10">
        <v>1524</v>
      </c>
      <c r="I14" s="11">
        <f t="shared" si="0"/>
        <v>36.089238845144358</v>
      </c>
      <c r="J14" s="3" t="str">
        <f t="shared" si="1"/>
        <v>Low</v>
      </c>
    </row>
    <row r="15" spans="1:10">
      <c r="A15" s="7" t="s">
        <v>31</v>
      </c>
      <c r="B15" s="7" t="s">
        <v>14</v>
      </c>
      <c r="C15" s="7" t="s">
        <v>12</v>
      </c>
      <c r="D15" s="22">
        <v>57000</v>
      </c>
      <c r="E15" s="7">
        <v>1</v>
      </c>
      <c r="F15" s="7">
        <v>3</v>
      </c>
      <c r="G15" s="7">
        <v>1</v>
      </c>
      <c r="H15" s="7">
        <v>858</v>
      </c>
      <c r="I15" s="9">
        <f t="shared" si="0"/>
        <v>66.43356643356644</v>
      </c>
      <c r="J15" s="3" t="str">
        <f t="shared" si="1"/>
        <v>Low</v>
      </c>
    </row>
    <row r="16" spans="1:10">
      <c r="A16" s="4" t="s">
        <v>32</v>
      </c>
      <c r="B16" s="4" t="s">
        <v>14</v>
      </c>
      <c r="C16" s="4" t="s">
        <v>12</v>
      </c>
      <c r="D16" s="21">
        <v>57000</v>
      </c>
      <c r="E16" s="4">
        <v>46</v>
      </c>
      <c r="F16" s="4">
        <v>2</v>
      </c>
      <c r="G16" s="4">
        <v>1</v>
      </c>
      <c r="H16" s="4">
        <v>771</v>
      </c>
      <c r="I16" s="11">
        <f t="shared" si="0"/>
        <v>73.929961089494157</v>
      </c>
      <c r="J16" s="3" t="str">
        <f t="shared" si="1"/>
        <v>Low</v>
      </c>
    </row>
    <row r="17" spans="1:10">
      <c r="A17" s="7" t="s">
        <v>33</v>
      </c>
      <c r="B17" s="7" t="s">
        <v>14</v>
      </c>
      <c r="C17" s="7" t="s">
        <v>12</v>
      </c>
      <c r="D17" s="22">
        <v>57000</v>
      </c>
      <c r="E17" s="7">
        <v>167</v>
      </c>
      <c r="F17" s="7">
        <v>3</v>
      </c>
      <c r="G17" s="7">
        <v>2</v>
      </c>
      <c r="H17" s="12">
        <v>1516</v>
      </c>
      <c r="I17" s="9">
        <f t="shared" si="0"/>
        <v>37.598944591029024</v>
      </c>
      <c r="J17" s="3" t="str">
        <f t="shared" si="1"/>
        <v>Low</v>
      </c>
    </row>
    <row r="18" spans="1:10">
      <c r="A18" s="4" t="s">
        <v>34</v>
      </c>
      <c r="B18" s="4" t="s">
        <v>14</v>
      </c>
      <c r="C18" s="4" t="s">
        <v>12</v>
      </c>
      <c r="D18" s="21">
        <v>58000</v>
      </c>
      <c r="E18" s="4">
        <v>91</v>
      </c>
      <c r="F18" s="4">
        <v>5</v>
      </c>
      <c r="G18" s="4">
        <v>2</v>
      </c>
      <c r="H18" s="10">
        <v>1759</v>
      </c>
      <c r="I18" s="11">
        <f t="shared" si="0"/>
        <v>32.97328027288232</v>
      </c>
      <c r="J18" s="3" t="str">
        <f t="shared" si="1"/>
        <v>Low</v>
      </c>
    </row>
    <row r="19" spans="1:10">
      <c r="A19" s="7" t="s">
        <v>35</v>
      </c>
      <c r="B19" s="7" t="s">
        <v>36</v>
      </c>
      <c r="C19" s="7" t="s">
        <v>12</v>
      </c>
      <c r="D19" s="22">
        <v>60000</v>
      </c>
      <c r="E19" s="7">
        <v>35</v>
      </c>
      <c r="F19" s="7">
        <v>2</v>
      </c>
      <c r="G19" s="7">
        <v>1</v>
      </c>
      <c r="H19" s="7">
        <v>673</v>
      </c>
      <c r="I19" s="9">
        <f t="shared" si="0"/>
        <v>89.153046062407128</v>
      </c>
      <c r="J19" s="3" t="str">
        <f t="shared" si="1"/>
        <v>Low</v>
      </c>
    </row>
    <row r="20" spans="1:10">
      <c r="A20" s="4" t="s">
        <v>37</v>
      </c>
      <c r="B20" s="4" t="s">
        <v>14</v>
      </c>
      <c r="C20" s="4" t="s">
        <v>12</v>
      </c>
      <c r="D20" s="21">
        <v>61200</v>
      </c>
      <c r="E20" s="4">
        <v>26</v>
      </c>
      <c r="F20" s="4">
        <v>2</v>
      </c>
      <c r="G20" s="4">
        <v>1</v>
      </c>
      <c r="H20" s="4">
        <v>862</v>
      </c>
      <c r="I20" s="11">
        <f t="shared" si="0"/>
        <v>70.997679814385151</v>
      </c>
      <c r="J20" s="3" t="str">
        <f t="shared" si="1"/>
        <v>Low</v>
      </c>
    </row>
    <row r="21" spans="1:10">
      <c r="A21" s="7" t="s">
        <v>38</v>
      </c>
      <c r="B21" s="7" t="s">
        <v>36</v>
      </c>
      <c r="C21" s="7" t="s">
        <v>12</v>
      </c>
      <c r="D21" s="22">
        <v>65000</v>
      </c>
      <c r="E21" s="7">
        <v>7</v>
      </c>
      <c r="F21" s="7">
        <v>2</v>
      </c>
      <c r="G21" s="7">
        <v>1</v>
      </c>
      <c r="H21" s="7">
        <v>769</v>
      </c>
      <c r="I21" s="9">
        <f t="shared" si="0"/>
        <v>84.525357607282189</v>
      </c>
      <c r="J21" s="3" t="str">
        <f t="shared" si="1"/>
        <v>Low</v>
      </c>
    </row>
    <row r="22" spans="1:10">
      <c r="A22" s="4" t="s">
        <v>39</v>
      </c>
      <c r="B22" s="4" t="s">
        <v>36</v>
      </c>
      <c r="C22" s="4" t="s">
        <v>12</v>
      </c>
      <c r="D22" s="21">
        <v>67500</v>
      </c>
      <c r="E22" s="4">
        <v>27</v>
      </c>
      <c r="F22" s="4">
        <v>2</v>
      </c>
      <c r="G22" s="4">
        <v>1</v>
      </c>
      <c r="H22" s="4">
        <v>643</v>
      </c>
      <c r="I22" s="11">
        <f t="shared" si="0"/>
        <v>104.97667185069984</v>
      </c>
      <c r="J22" s="3" t="str">
        <f t="shared" si="1"/>
        <v>Low</v>
      </c>
    </row>
    <row r="23" spans="1:10">
      <c r="A23" s="7" t="s">
        <v>40</v>
      </c>
      <c r="B23" s="7" t="s">
        <v>14</v>
      </c>
      <c r="C23" s="7" t="s">
        <v>12</v>
      </c>
      <c r="D23" s="22">
        <v>68000</v>
      </c>
      <c r="E23" s="7">
        <v>78</v>
      </c>
      <c r="F23" s="7">
        <v>5</v>
      </c>
      <c r="G23" s="7">
        <v>2</v>
      </c>
      <c r="H23" s="12">
        <v>1612</v>
      </c>
      <c r="I23" s="9">
        <f t="shared" si="0"/>
        <v>42.183622828784117</v>
      </c>
      <c r="J23" s="3" t="str">
        <f t="shared" si="1"/>
        <v>Low</v>
      </c>
    </row>
    <row r="24" spans="1:10">
      <c r="A24" s="4" t="s">
        <v>41</v>
      </c>
      <c r="B24" s="4" t="s">
        <v>42</v>
      </c>
      <c r="C24" s="4" t="s">
        <v>12</v>
      </c>
      <c r="D24" s="21">
        <v>70000</v>
      </c>
      <c r="E24" s="4">
        <v>7</v>
      </c>
      <c r="F24" s="4">
        <v>2</v>
      </c>
      <c r="G24" s="4">
        <v>1</v>
      </c>
      <c r="H24" s="4">
        <v>848</v>
      </c>
      <c r="I24" s="11">
        <f t="shared" si="0"/>
        <v>82.547169811320757</v>
      </c>
      <c r="J24" s="3" t="str">
        <f t="shared" si="1"/>
        <v>Low</v>
      </c>
    </row>
    <row r="25" spans="1:10">
      <c r="A25" s="7" t="s">
        <v>43</v>
      </c>
      <c r="B25" s="7" t="s">
        <v>14</v>
      </c>
      <c r="C25" s="7" t="s">
        <v>12</v>
      </c>
      <c r="D25" s="22">
        <v>70000</v>
      </c>
      <c r="E25" s="7">
        <v>84</v>
      </c>
      <c r="F25" s="7">
        <v>2</v>
      </c>
      <c r="G25" s="7">
        <v>1</v>
      </c>
      <c r="H25" s="12">
        <v>1030</v>
      </c>
      <c r="I25" s="9">
        <f t="shared" si="0"/>
        <v>67.961165048543691</v>
      </c>
      <c r="J25" s="3" t="str">
        <f t="shared" si="1"/>
        <v>Low</v>
      </c>
    </row>
    <row r="26" spans="1:10">
      <c r="A26" s="4" t="s">
        <v>44</v>
      </c>
      <c r="B26" s="4" t="s">
        <v>14</v>
      </c>
      <c r="C26" s="4" t="s">
        <v>12</v>
      </c>
      <c r="D26" s="21">
        <v>71000</v>
      </c>
      <c r="E26" s="4">
        <v>2</v>
      </c>
      <c r="F26" s="4">
        <v>8</v>
      </c>
      <c r="G26" s="4">
        <v>2</v>
      </c>
      <c r="H26" s="10">
        <v>1860</v>
      </c>
      <c r="I26" s="11">
        <f t="shared" si="0"/>
        <v>38.172043010752688</v>
      </c>
      <c r="J26" s="3" t="str">
        <f t="shared" si="1"/>
        <v>Low</v>
      </c>
    </row>
    <row r="27" spans="1:10">
      <c r="A27" s="7" t="s">
        <v>45</v>
      </c>
      <c r="B27" s="7" t="s">
        <v>14</v>
      </c>
      <c r="C27" s="7" t="s">
        <v>12</v>
      </c>
      <c r="D27" s="22">
        <v>72000</v>
      </c>
      <c r="E27" s="7">
        <v>15</v>
      </c>
      <c r="F27" s="7">
        <v>2</v>
      </c>
      <c r="G27" s="7">
        <v>1.1000000000000001</v>
      </c>
      <c r="H27" s="7">
        <v>887</v>
      </c>
      <c r="I27" s="9">
        <f t="shared" si="0"/>
        <v>81.172491544532136</v>
      </c>
      <c r="J27" s="3" t="str">
        <f t="shared" si="1"/>
        <v>Low</v>
      </c>
    </row>
    <row r="28" spans="1:10">
      <c r="A28" s="4" t="s">
        <v>46</v>
      </c>
      <c r="B28" s="4" t="s">
        <v>14</v>
      </c>
      <c r="C28" s="4" t="s">
        <v>12</v>
      </c>
      <c r="D28" s="21">
        <v>74000</v>
      </c>
      <c r="E28" s="4">
        <v>3</v>
      </c>
      <c r="F28" s="4">
        <v>2</v>
      </c>
      <c r="G28" s="4">
        <v>1</v>
      </c>
      <c r="H28" s="4">
        <v>930</v>
      </c>
      <c r="I28" s="11">
        <f t="shared" si="0"/>
        <v>79.569892473118273</v>
      </c>
      <c r="J28" s="3" t="str">
        <f t="shared" si="1"/>
        <v>Low</v>
      </c>
    </row>
    <row r="29" spans="1:10">
      <c r="A29" s="7" t="s">
        <v>47</v>
      </c>
      <c r="B29" s="7" t="s">
        <v>14</v>
      </c>
      <c r="C29" s="7" t="s">
        <v>12</v>
      </c>
      <c r="D29" s="22">
        <v>74160</v>
      </c>
      <c r="E29" s="7">
        <v>86</v>
      </c>
      <c r="F29" s="7">
        <v>3</v>
      </c>
      <c r="G29" s="7">
        <v>1</v>
      </c>
      <c r="H29" s="12">
        <v>1128</v>
      </c>
      <c r="I29" s="9">
        <f t="shared" si="0"/>
        <v>65.744680851063833</v>
      </c>
      <c r="J29" s="3" t="str">
        <f t="shared" si="1"/>
        <v>Low</v>
      </c>
    </row>
    <row r="30" spans="1:10">
      <c r="A30" s="4" t="s">
        <v>48</v>
      </c>
      <c r="B30" s="4" t="s">
        <v>14</v>
      </c>
      <c r="C30" s="4" t="s">
        <v>12</v>
      </c>
      <c r="D30" s="21">
        <v>75000</v>
      </c>
      <c r="E30" s="4">
        <v>6</v>
      </c>
      <c r="F30" s="4">
        <v>3</v>
      </c>
      <c r="G30" s="4">
        <v>1</v>
      </c>
      <c r="H30" s="4">
        <v>739</v>
      </c>
      <c r="I30" s="11">
        <f t="shared" si="0"/>
        <v>101.48849797023004</v>
      </c>
      <c r="J30" s="3" t="str">
        <f t="shared" si="1"/>
        <v>Low</v>
      </c>
    </row>
    <row r="31" spans="1:10">
      <c r="A31" s="7" t="s">
        <v>49</v>
      </c>
      <c r="B31" s="7" t="s">
        <v>14</v>
      </c>
      <c r="C31" s="7" t="s">
        <v>12</v>
      </c>
      <c r="D31" s="22">
        <v>76000</v>
      </c>
      <c r="E31" s="7">
        <v>8</v>
      </c>
      <c r="F31" s="7">
        <v>2</v>
      </c>
      <c r="G31" s="7">
        <v>1</v>
      </c>
      <c r="H31" s="7">
        <v>912</v>
      </c>
      <c r="I31" s="9">
        <f t="shared" si="0"/>
        <v>83.333333333333329</v>
      </c>
      <c r="J31" s="3" t="str">
        <f t="shared" si="1"/>
        <v>Low</v>
      </c>
    </row>
    <row r="32" spans="1:10">
      <c r="A32" s="4" t="s">
        <v>50</v>
      </c>
      <c r="B32" s="4" t="s">
        <v>36</v>
      </c>
      <c r="C32" s="4" t="s">
        <v>12</v>
      </c>
      <c r="D32" s="21">
        <v>80000</v>
      </c>
      <c r="E32" s="4">
        <v>4</v>
      </c>
      <c r="F32" s="4">
        <v>2</v>
      </c>
      <c r="G32" s="4">
        <v>1</v>
      </c>
      <c r="H32" s="4">
        <v>707</v>
      </c>
      <c r="I32" s="11">
        <f t="shared" si="0"/>
        <v>113.15417256011315</v>
      </c>
      <c r="J32" s="3" t="str">
        <f t="shared" si="1"/>
        <v>Low</v>
      </c>
    </row>
    <row r="33" spans="1:10">
      <c r="A33" s="7" t="s">
        <v>51</v>
      </c>
      <c r="B33" s="7" t="s">
        <v>14</v>
      </c>
      <c r="C33" s="7" t="s">
        <v>12</v>
      </c>
      <c r="D33" s="22">
        <v>80000</v>
      </c>
      <c r="E33" s="7">
        <v>20</v>
      </c>
      <c r="F33" s="7">
        <v>3</v>
      </c>
      <c r="G33" s="7">
        <v>1</v>
      </c>
      <c r="H33" s="12">
        <v>1003</v>
      </c>
      <c r="I33" s="9">
        <f t="shared" si="0"/>
        <v>79.760717846460622</v>
      </c>
      <c r="J33" s="3" t="str">
        <f t="shared" si="1"/>
        <v>Low</v>
      </c>
    </row>
    <row r="34" spans="1:10">
      <c r="A34" s="4" t="s">
        <v>52</v>
      </c>
      <c r="B34" s="4" t="s">
        <v>36</v>
      </c>
      <c r="C34" s="4" t="s">
        <v>12</v>
      </c>
      <c r="D34" s="21">
        <v>80000</v>
      </c>
      <c r="E34" s="4">
        <v>0</v>
      </c>
      <c r="F34" s="4">
        <v>3</v>
      </c>
      <c r="G34" s="4">
        <v>1</v>
      </c>
      <c r="H34" s="4">
        <v>964</v>
      </c>
      <c r="I34" s="11">
        <f t="shared" si="0"/>
        <v>82.987551867219921</v>
      </c>
      <c r="J34" s="3" t="str">
        <f t="shared" si="1"/>
        <v>Low</v>
      </c>
    </row>
    <row r="35" spans="1:10">
      <c r="A35" s="7" t="s">
        <v>53</v>
      </c>
      <c r="B35" s="7" t="s">
        <v>54</v>
      </c>
      <c r="C35" s="7" t="s">
        <v>12</v>
      </c>
      <c r="D35" s="22">
        <v>80000</v>
      </c>
      <c r="E35" s="7">
        <v>173</v>
      </c>
      <c r="F35" s="7">
        <v>3</v>
      </c>
      <c r="G35" s="7">
        <v>2</v>
      </c>
      <c r="H35" s="12">
        <v>1904</v>
      </c>
      <c r="I35" s="9">
        <f t="shared" si="0"/>
        <v>42.016806722689076</v>
      </c>
      <c r="J35" s="3" t="str">
        <f t="shared" si="1"/>
        <v>Low</v>
      </c>
    </row>
    <row r="36" spans="1:10">
      <c r="A36" s="4" t="s">
        <v>55</v>
      </c>
      <c r="B36" s="4" t="s">
        <v>56</v>
      </c>
      <c r="C36" s="4" t="s">
        <v>12</v>
      </c>
      <c r="D36" s="21">
        <v>80500</v>
      </c>
      <c r="E36" s="4">
        <v>26</v>
      </c>
      <c r="F36" s="4">
        <v>4</v>
      </c>
      <c r="G36" s="4">
        <v>2</v>
      </c>
      <c r="H36" s="10">
        <v>1337</v>
      </c>
      <c r="I36" s="11">
        <f t="shared" si="0"/>
        <v>60.209424083769633</v>
      </c>
      <c r="J36" s="3" t="str">
        <f t="shared" si="1"/>
        <v>Low</v>
      </c>
    </row>
    <row r="37" spans="1:10">
      <c r="A37" s="7" t="s">
        <v>57</v>
      </c>
      <c r="B37" s="7" t="s">
        <v>14</v>
      </c>
      <c r="C37" s="7" t="s">
        <v>12</v>
      </c>
      <c r="D37" s="22">
        <v>81000</v>
      </c>
      <c r="E37" s="7">
        <v>135</v>
      </c>
      <c r="F37" s="7">
        <v>2</v>
      </c>
      <c r="G37" s="7">
        <v>1</v>
      </c>
      <c r="H37" s="7">
        <v>739</v>
      </c>
      <c r="I37" s="9">
        <f t="shared" si="0"/>
        <v>109.60757780784844</v>
      </c>
      <c r="J37" s="3" t="str">
        <f t="shared" si="1"/>
        <v>Low</v>
      </c>
    </row>
    <row r="38" spans="1:10">
      <c r="A38" s="4" t="s">
        <v>58</v>
      </c>
      <c r="B38" s="4" t="s">
        <v>14</v>
      </c>
      <c r="C38" s="4" t="s">
        <v>12</v>
      </c>
      <c r="D38" s="21">
        <v>82000</v>
      </c>
      <c r="E38" s="4">
        <v>27</v>
      </c>
      <c r="F38" s="4">
        <v>4</v>
      </c>
      <c r="G38" s="4">
        <v>2</v>
      </c>
      <c r="H38" s="10">
        <v>2331</v>
      </c>
      <c r="I38" s="11">
        <f t="shared" si="0"/>
        <v>35.178035178035181</v>
      </c>
      <c r="J38" s="3" t="str">
        <f t="shared" si="1"/>
        <v>Low</v>
      </c>
    </row>
    <row r="39" spans="1:10">
      <c r="A39" s="7" t="s">
        <v>59</v>
      </c>
      <c r="B39" s="7" t="s">
        <v>14</v>
      </c>
      <c r="C39" s="7" t="s">
        <v>12</v>
      </c>
      <c r="D39" s="22">
        <v>83000</v>
      </c>
      <c r="E39" s="7">
        <v>6</v>
      </c>
      <c r="F39" s="7">
        <v>4</v>
      </c>
      <c r="G39" s="7">
        <v>1.1000000000000001</v>
      </c>
      <c r="H39" s="12">
        <v>1215</v>
      </c>
      <c r="I39" s="9">
        <f t="shared" si="0"/>
        <v>68.312757201646093</v>
      </c>
      <c r="J39" s="3" t="str">
        <f t="shared" si="1"/>
        <v>Low</v>
      </c>
    </row>
    <row r="40" spans="1:10">
      <c r="A40" s="4" t="s">
        <v>60</v>
      </c>
      <c r="B40" s="4" t="s">
        <v>36</v>
      </c>
      <c r="C40" s="4" t="s">
        <v>12</v>
      </c>
      <c r="D40" s="21">
        <v>85000</v>
      </c>
      <c r="E40" s="4">
        <v>114</v>
      </c>
      <c r="F40" s="4">
        <v>2</v>
      </c>
      <c r="G40" s="4">
        <v>1</v>
      </c>
      <c r="H40" s="4">
        <v>685</v>
      </c>
      <c r="I40" s="11">
        <f t="shared" si="0"/>
        <v>124.08759124087591</v>
      </c>
      <c r="J40" s="3" t="str">
        <f t="shared" si="1"/>
        <v>Low</v>
      </c>
    </row>
    <row r="41" spans="1:10">
      <c r="A41" s="7" t="s">
        <v>61</v>
      </c>
      <c r="B41" s="7" t="s">
        <v>14</v>
      </c>
      <c r="C41" s="7" t="s">
        <v>12</v>
      </c>
      <c r="D41" s="22">
        <v>89000</v>
      </c>
      <c r="E41" s="7">
        <v>48</v>
      </c>
      <c r="F41" s="7">
        <v>2</v>
      </c>
      <c r="G41" s="7">
        <v>1</v>
      </c>
      <c r="H41" s="12">
        <v>1085</v>
      </c>
      <c r="I41" s="9">
        <f t="shared" si="0"/>
        <v>82.027649769585253</v>
      </c>
      <c r="J41" s="3" t="str">
        <f t="shared" si="1"/>
        <v>Low</v>
      </c>
    </row>
    <row r="42" spans="1:10">
      <c r="A42" s="4" t="s">
        <v>62</v>
      </c>
      <c r="B42" s="4" t="s">
        <v>42</v>
      </c>
      <c r="C42" s="4" t="s">
        <v>12</v>
      </c>
      <c r="D42" s="21">
        <v>89300</v>
      </c>
      <c r="E42" s="4">
        <v>62</v>
      </c>
      <c r="F42" s="4">
        <v>1</v>
      </c>
      <c r="G42" s="4">
        <v>1</v>
      </c>
      <c r="H42" s="4">
        <v>792</v>
      </c>
      <c r="I42" s="11">
        <f t="shared" si="0"/>
        <v>112.75252525252525</v>
      </c>
      <c r="J42" s="3" t="str">
        <f t="shared" si="1"/>
        <v>Low</v>
      </c>
    </row>
    <row r="43" spans="1:10">
      <c r="A43" s="7" t="s">
        <v>63</v>
      </c>
      <c r="B43" s="7" t="s">
        <v>11</v>
      </c>
      <c r="C43" s="7" t="s">
        <v>12</v>
      </c>
      <c r="D43" s="22">
        <v>90000</v>
      </c>
      <c r="E43" s="7">
        <v>24</v>
      </c>
      <c r="F43" s="7">
        <v>3</v>
      </c>
      <c r="G43" s="7">
        <v>1</v>
      </c>
      <c r="H43" s="7">
        <v>880</v>
      </c>
      <c r="I43" s="9">
        <f t="shared" si="0"/>
        <v>102.27272727272727</v>
      </c>
      <c r="J43" s="3" t="str">
        <f t="shared" si="1"/>
        <v>Low</v>
      </c>
    </row>
    <row r="44" spans="1:10">
      <c r="A44" s="4" t="s">
        <v>64</v>
      </c>
      <c r="B44" s="4" t="s">
        <v>14</v>
      </c>
      <c r="C44" s="4" t="s">
        <v>12</v>
      </c>
      <c r="D44" s="21">
        <v>90000</v>
      </c>
      <c r="E44" s="4">
        <v>231</v>
      </c>
      <c r="F44" s="4">
        <v>6</v>
      </c>
      <c r="G44" s="4">
        <v>3.1</v>
      </c>
      <c r="H44" s="10">
        <v>1600</v>
      </c>
      <c r="I44" s="11">
        <f t="shared" si="0"/>
        <v>56.25</v>
      </c>
      <c r="J44" s="3" t="str">
        <f t="shared" si="1"/>
        <v>Low</v>
      </c>
    </row>
    <row r="45" spans="1:10">
      <c r="A45" s="7" t="s">
        <v>65</v>
      </c>
      <c r="B45" s="7" t="s">
        <v>14</v>
      </c>
      <c r="C45" s="7" t="s">
        <v>12</v>
      </c>
      <c r="D45" s="22">
        <v>90000</v>
      </c>
      <c r="E45" s="7">
        <v>35</v>
      </c>
      <c r="F45" s="7">
        <v>2</v>
      </c>
      <c r="G45" s="7">
        <v>1</v>
      </c>
      <c r="H45" s="7">
        <v>731</v>
      </c>
      <c r="I45" s="9">
        <f t="shared" si="0"/>
        <v>123.11901504787961</v>
      </c>
      <c r="J45" s="3" t="str">
        <f t="shared" si="1"/>
        <v>Low</v>
      </c>
    </row>
    <row r="46" spans="1:10">
      <c r="A46" s="4" t="s">
        <v>66</v>
      </c>
      <c r="B46" s="4" t="s">
        <v>14</v>
      </c>
      <c r="C46" s="4" t="s">
        <v>12</v>
      </c>
      <c r="D46" s="21">
        <v>90000</v>
      </c>
      <c r="E46" s="4">
        <v>76</v>
      </c>
      <c r="F46" s="4">
        <v>3</v>
      </c>
      <c r="G46" s="4">
        <v>1</v>
      </c>
      <c r="H46" s="10">
        <v>1009</v>
      </c>
      <c r="I46" s="11">
        <f t="shared" si="0"/>
        <v>89.197224975222994</v>
      </c>
      <c r="J46" s="3" t="str">
        <f t="shared" si="1"/>
        <v>Low</v>
      </c>
    </row>
    <row r="47" spans="1:10">
      <c r="A47" s="7" t="s">
        <v>67</v>
      </c>
      <c r="B47" s="7" t="s">
        <v>14</v>
      </c>
      <c r="C47" s="7" t="s">
        <v>12</v>
      </c>
      <c r="D47" s="22">
        <v>92000</v>
      </c>
      <c r="E47" s="7">
        <v>2</v>
      </c>
      <c r="F47" s="7">
        <v>3</v>
      </c>
      <c r="G47" s="7">
        <v>1</v>
      </c>
      <c r="H47" s="7">
        <v>948</v>
      </c>
      <c r="I47" s="9">
        <f t="shared" si="0"/>
        <v>97.046413502109701</v>
      </c>
      <c r="J47" s="3" t="str">
        <f t="shared" si="1"/>
        <v>Low</v>
      </c>
    </row>
    <row r="48" spans="1:10">
      <c r="A48" s="4" t="s">
        <v>68</v>
      </c>
      <c r="B48" s="4" t="s">
        <v>14</v>
      </c>
      <c r="C48" s="4" t="s">
        <v>12</v>
      </c>
      <c r="D48" s="21">
        <v>92790</v>
      </c>
      <c r="E48" s="4">
        <v>14</v>
      </c>
      <c r="F48" s="4">
        <v>2</v>
      </c>
      <c r="G48" s="4">
        <v>1</v>
      </c>
      <c r="H48" s="4">
        <v>988</v>
      </c>
      <c r="I48" s="11">
        <f t="shared" si="0"/>
        <v>93.917004048582996</v>
      </c>
      <c r="J48" s="3" t="str">
        <f t="shared" si="1"/>
        <v>Low</v>
      </c>
    </row>
    <row r="49" spans="1:10">
      <c r="A49" s="7" t="s">
        <v>69</v>
      </c>
      <c r="B49" s="7" t="s">
        <v>70</v>
      </c>
      <c r="C49" s="7" t="s">
        <v>12</v>
      </c>
      <c r="D49" s="22">
        <v>93000</v>
      </c>
      <c r="E49" s="7">
        <v>3</v>
      </c>
      <c r="F49" s="7">
        <v>3</v>
      </c>
      <c r="G49" s="7">
        <v>2.1</v>
      </c>
      <c r="H49" s="12">
        <v>1484</v>
      </c>
      <c r="I49" s="9">
        <f t="shared" si="0"/>
        <v>62.668463611859835</v>
      </c>
      <c r="J49" s="3" t="str">
        <f t="shared" si="1"/>
        <v>Low</v>
      </c>
    </row>
    <row r="50" spans="1:10">
      <c r="A50" s="4" t="s">
        <v>71</v>
      </c>
      <c r="B50" s="4" t="s">
        <v>14</v>
      </c>
      <c r="C50" s="4" t="s">
        <v>12</v>
      </c>
      <c r="D50" s="21">
        <v>93000</v>
      </c>
      <c r="E50" s="4">
        <v>93</v>
      </c>
      <c r="F50" s="4">
        <v>3</v>
      </c>
      <c r="G50" s="4">
        <v>2</v>
      </c>
      <c r="H50" s="4">
        <v>995</v>
      </c>
      <c r="I50" s="11">
        <f t="shared" si="0"/>
        <v>93.467336683417088</v>
      </c>
      <c r="J50" s="3" t="str">
        <f t="shared" si="1"/>
        <v>Low</v>
      </c>
    </row>
    <row r="51" spans="1:10">
      <c r="A51" s="7" t="s">
        <v>72</v>
      </c>
      <c r="B51" s="7" t="s">
        <v>73</v>
      </c>
      <c r="C51" s="7" t="s">
        <v>12</v>
      </c>
      <c r="D51" s="22">
        <v>94000</v>
      </c>
      <c r="E51" s="7">
        <v>9</v>
      </c>
      <c r="F51" s="7">
        <v>3</v>
      </c>
      <c r="G51" s="7">
        <v>1</v>
      </c>
      <c r="H51" s="7">
        <v>852</v>
      </c>
      <c r="I51" s="9">
        <f t="shared" si="0"/>
        <v>110.32863849765258</v>
      </c>
      <c r="J51" s="3" t="str">
        <f t="shared" si="1"/>
        <v>Low</v>
      </c>
    </row>
    <row r="52" spans="1:10">
      <c r="A52" s="4" t="s">
        <v>74</v>
      </c>
      <c r="B52" s="4" t="s">
        <v>14</v>
      </c>
      <c r="C52" s="4" t="s">
        <v>12</v>
      </c>
      <c r="D52" s="21">
        <v>94900</v>
      </c>
      <c r="E52" s="4">
        <v>18</v>
      </c>
      <c r="F52" s="4">
        <v>2</v>
      </c>
      <c r="G52" s="4">
        <v>1</v>
      </c>
      <c r="H52" s="10">
        <v>1057</v>
      </c>
      <c r="I52" s="11">
        <f t="shared" si="0"/>
        <v>89.782403027436146</v>
      </c>
      <c r="J52" s="3" t="str">
        <f t="shared" si="1"/>
        <v>Low</v>
      </c>
    </row>
    <row r="53" spans="1:10">
      <c r="A53" s="7" t="s">
        <v>75</v>
      </c>
      <c r="B53" s="7" t="s">
        <v>14</v>
      </c>
      <c r="C53" s="7" t="s">
        <v>12</v>
      </c>
      <c r="D53" s="22">
        <v>95000</v>
      </c>
      <c r="E53" s="7">
        <v>5</v>
      </c>
      <c r="F53" s="7">
        <v>3</v>
      </c>
      <c r="G53" s="7">
        <v>2</v>
      </c>
      <c r="H53" s="12">
        <v>1284</v>
      </c>
      <c r="I53" s="9">
        <f t="shared" si="0"/>
        <v>73.987538940809969</v>
      </c>
      <c r="J53" s="3" t="str">
        <f t="shared" si="1"/>
        <v>Low</v>
      </c>
    </row>
    <row r="54" spans="1:10">
      <c r="A54" s="4" t="s">
        <v>76</v>
      </c>
      <c r="B54" s="4" t="s">
        <v>77</v>
      </c>
      <c r="C54" s="4" t="s">
        <v>12</v>
      </c>
      <c r="D54" s="21">
        <v>95000</v>
      </c>
      <c r="E54" s="4">
        <v>4</v>
      </c>
      <c r="F54" s="4">
        <v>2</v>
      </c>
      <c r="G54" s="4">
        <v>1</v>
      </c>
      <c r="H54" s="4">
        <v>870</v>
      </c>
      <c r="I54" s="11">
        <f t="shared" si="0"/>
        <v>109.19540229885058</v>
      </c>
      <c r="J54" s="3" t="str">
        <f t="shared" si="1"/>
        <v>Low</v>
      </c>
    </row>
    <row r="55" spans="1:10">
      <c r="A55" s="7" t="s">
        <v>78</v>
      </c>
      <c r="B55" s="7" t="s">
        <v>14</v>
      </c>
      <c r="C55" s="7" t="s">
        <v>12</v>
      </c>
      <c r="D55" s="22">
        <v>95000</v>
      </c>
      <c r="E55" s="7">
        <v>34</v>
      </c>
      <c r="F55" s="7">
        <v>2</v>
      </c>
      <c r="G55" s="7">
        <v>1</v>
      </c>
      <c r="H55" s="7">
        <v>786</v>
      </c>
      <c r="I55" s="9">
        <f t="shared" si="0"/>
        <v>120.86513994910942</v>
      </c>
      <c r="J55" s="3" t="str">
        <f t="shared" si="1"/>
        <v>Low</v>
      </c>
    </row>
    <row r="56" spans="1:10">
      <c r="A56" s="4" t="s">
        <v>79</v>
      </c>
      <c r="B56" s="4" t="s">
        <v>80</v>
      </c>
      <c r="C56" s="4" t="s">
        <v>12</v>
      </c>
      <c r="D56" s="21">
        <v>95500</v>
      </c>
      <c r="E56" s="4">
        <v>49</v>
      </c>
      <c r="F56" s="4">
        <v>0</v>
      </c>
      <c r="G56" s="4">
        <v>0</v>
      </c>
      <c r="H56" s="4">
        <v>468</v>
      </c>
      <c r="I56" s="11">
        <f t="shared" si="0"/>
        <v>204.05982905982907</v>
      </c>
      <c r="J56" s="3" t="str">
        <f t="shared" si="1"/>
        <v>Medium</v>
      </c>
    </row>
    <row r="57" spans="1:10">
      <c r="A57" s="7" t="s">
        <v>81</v>
      </c>
      <c r="B57" s="7" t="s">
        <v>14</v>
      </c>
      <c r="C57" s="7" t="s">
        <v>12</v>
      </c>
      <c r="D57" s="22">
        <v>96500</v>
      </c>
      <c r="E57" s="7">
        <v>17</v>
      </c>
      <c r="F57" s="7">
        <v>3</v>
      </c>
      <c r="G57" s="7">
        <v>1</v>
      </c>
      <c r="H57" s="12">
        <v>1007</v>
      </c>
      <c r="I57" s="9">
        <f t="shared" si="0"/>
        <v>95.8291956305859</v>
      </c>
      <c r="J57" s="3" t="str">
        <f t="shared" si="1"/>
        <v>Low</v>
      </c>
    </row>
    <row r="58" spans="1:10">
      <c r="A58" s="4" t="s">
        <v>82</v>
      </c>
      <c r="B58" s="4" t="s">
        <v>83</v>
      </c>
      <c r="C58" s="4" t="s">
        <v>12</v>
      </c>
      <c r="D58" s="21">
        <v>97500</v>
      </c>
      <c r="E58" s="4">
        <v>4</v>
      </c>
      <c r="F58" s="4">
        <v>3</v>
      </c>
      <c r="G58" s="4">
        <v>1</v>
      </c>
      <c r="H58" s="10">
        <v>1109</v>
      </c>
      <c r="I58" s="11">
        <f t="shared" si="0"/>
        <v>87.917042380523</v>
      </c>
      <c r="J58" s="3" t="str">
        <f t="shared" si="1"/>
        <v>Low</v>
      </c>
    </row>
    <row r="59" spans="1:10">
      <c r="A59" s="7" t="s">
        <v>84</v>
      </c>
      <c r="B59" s="7" t="s">
        <v>83</v>
      </c>
      <c r="C59" s="7" t="s">
        <v>12</v>
      </c>
      <c r="D59" s="22">
        <v>99900</v>
      </c>
      <c r="E59" s="7">
        <v>2</v>
      </c>
      <c r="F59" s="7">
        <v>3</v>
      </c>
      <c r="G59" s="7">
        <v>1</v>
      </c>
      <c r="H59" s="7">
        <v>828</v>
      </c>
      <c r="I59" s="9">
        <f t="shared" si="0"/>
        <v>120.65217391304348</v>
      </c>
      <c r="J59" s="3" t="str">
        <f t="shared" si="1"/>
        <v>Low</v>
      </c>
    </row>
    <row r="60" spans="1:10">
      <c r="A60" s="4" t="s">
        <v>85</v>
      </c>
      <c r="B60" s="4" t="s">
        <v>14</v>
      </c>
      <c r="C60" s="4" t="s">
        <v>12</v>
      </c>
      <c r="D60" s="21">
        <v>99900</v>
      </c>
      <c r="E60" s="4">
        <v>58</v>
      </c>
      <c r="F60" s="4">
        <v>3</v>
      </c>
      <c r="G60" s="4">
        <v>1</v>
      </c>
      <c r="H60" s="4">
        <v>930</v>
      </c>
      <c r="I60" s="11">
        <f t="shared" si="0"/>
        <v>107.41935483870968</v>
      </c>
      <c r="J60" s="3" t="str">
        <f t="shared" si="1"/>
        <v>Low</v>
      </c>
    </row>
    <row r="61" spans="1:10">
      <c r="A61" s="7" t="s">
        <v>86</v>
      </c>
      <c r="B61" s="7" t="s">
        <v>14</v>
      </c>
      <c r="C61" s="7" t="s">
        <v>12</v>
      </c>
      <c r="D61" s="22">
        <v>100000</v>
      </c>
      <c r="E61" s="7">
        <v>4</v>
      </c>
      <c r="F61" s="7">
        <v>2</v>
      </c>
      <c r="G61" s="7">
        <v>1</v>
      </c>
      <c r="H61" s="7">
        <v>943</v>
      </c>
      <c r="I61" s="9">
        <f t="shared" si="0"/>
        <v>106.04453870625663</v>
      </c>
      <c r="J61" s="3" t="str">
        <f t="shared" si="1"/>
        <v>Low</v>
      </c>
    </row>
    <row r="62" spans="1:10">
      <c r="A62" s="4" t="s">
        <v>87</v>
      </c>
      <c r="B62" s="4" t="s">
        <v>11</v>
      </c>
      <c r="C62" s="4" t="s">
        <v>12</v>
      </c>
      <c r="D62" s="21">
        <v>100000</v>
      </c>
      <c r="E62" s="4">
        <v>20</v>
      </c>
      <c r="F62" s="4">
        <v>1</v>
      </c>
      <c r="G62" s="4">
        <v>1</v>
      </c>
      <c r="H62" s="4">
        <v>543</v>
      </c>
      <c r="I62" s="11">
        <f t="shared" si="0"/>
        <v>184.16206261510129</v>
      </c>
      <c r="J62" s="3" t="str">
        <f t="shared" si="1"/>
        <v>Low</v>
      </c>
    </row>
    <row r="63" spans="1:10">
      <c r="A63" s="7" t="s">
        <v>88</v>
      </c>
      <c r="B63" s="7" t="s">
        <v>14</v>
      </c>
      <c r="C63" s="7" t="s">
        <v>12</v>
      </c>
      <c r="D63" s="22">
        <v>100000</v>
      </c>
      <c r="E63" s="7">
        <v>132</v>
      </c>
      <c r="F63" s="7">
        <v>3</v>
      </c>
      <c r="G63" s="7">
        <v>1</v>
      </c>
      <c r="H63" s="7">
        <v>915</v>
      </c>
      <c r="I63" s="9">
        <f t="shared" si="0"/>
        <v>109.2896174863388</v>
      </c>
      <c r="J63" s="3" t="str">
        <f t="shared" si="1"/>
        <v>Low</v>
      </c>
    </row>
    <row r="64" spans="1:10">
      <c r="A64" s="4" t="s">
        <v>89</v>
      </c>
      <c r="B64" s="4" t="s">
        <v>14</v>
      </c>
      <c r="C64" s="4" t="s">
        <v>12</v>
      </c>
      <c r="D64" s="21">
        <v>100500</v>
      </c>
      <c r="E64" s="4">
        <v>42</v>
      </c>
      <c r="F64" s="4">
        <v>3</v>
      </c>
      <c r="G64" s="4">
        <v>1</v>
      </c>
      <c r="H64" s="10">
        <v>1477</v>
      </c>
      <c r="I64" s="11">
        <f t="shared" si="0"/>
        <v>68.043331076506433</v>
      </c>
      <c r="J64" s="3" t="str">
        <f t="shared" si="1"/>
        <v>Low</v>
      </c>
    </row>
    <row r="65" spans="1:10">
      <c r="A65" s="7" t="s">
        <v>90</v>
      </c>
      <c r="B65" s="7" t="s">
        <v>14</v>
      </c>
      <c r="C65" s="7" t="s">
        <v>12</v>
      </c>
      <c r="D65" s="22">
        <v>103000</v>
      </c>
      <c r="E65" s="7">
        <v>4</v>
      </c>
      <c r="F65" s="7">
        <v>2</v>
      </c>
      <c r="G65" s="7">
        <v>1</v>
      </c>
      <c r="H65" s="7">
        <v>723</v>
      </c>
      <c r="I65" s="9">
        <f t="shared" si="0"/>
        <v>142.46196403872753</v>
      </c>
      <c r="J65" s="3" t="str">
        <f t="shared" si="1"/>
        <v>Low</v>
      </c>
    </row>
    <row r="66" spans="1:10">
      <c r="A66" s="4" t="s">
        <v>91</v>
      </c>
      <c r="B66" s="4" t="s">
        <v>36</v>
      </c>
      <c r="C66" s="4" t="s">
        <v>12</v>
      </c>
      <c r="D66" s="21">
        <v>104900</v>
      </c>
      <c r="E66" s="4">
        <v>280</v>
      </c>
      <c r="F66" s="4">
        <v>2</v>
      </c>
      <c r="G66" s="4">
        <v>1</v>
      </c>
      <c r="H66" s="4">
        <v>700</v>
      </c>
      <c r="I66" s="11">
        <f t="shared" ref="I66:I129" si="2">D66/H66</f>
        <v>149.85714285714286</v>
      </c>
      <c r="J66" s="3" t="str">
        <f t="shared" ref="J66:J129" si="3">IF(I66 &gt; 300, "High", IF(AND(I66 &lt;= 300, I66 &gt; 200), "Medium", "Low"))</f>
        <v>Low</v>
      </c>
    </row>
    <row r="67" spans="1:10">
      <c r="A67" s="7" t="s">
        <v>92</v>
      </c>
      <c r="B67" s="7" t="s">
        <v>93</v>
      </c>
      <c r="C67" s="7" t="s">
        <v>12</v>
      </c>
      <c r="D67" s="22">
        <v>105000</v>
      </c>
      <c r="E67" s="7">
        <v>21</v>
      </c>
      <c r="F67" s="7">
        <v>4</v>
      </c>
      <c r="G67" s="7">
        <v>2</v>
      </c>
      <c r="H67" s="12">
        <v>1675</v>
      </c>
      <c r="I67" s="9">
        <f t="shared" si="2"/>
        <v>62.686567164179102</v>
      </c>
      <c r="J67" s="3" t="str">
        <f t="shared" si="3"/>
        <v>Low</v>
      </c>
    </row>
    <row r="68" spans="1:10">
      <c r="A68" s="4" t="s">
        <v>94</v>
      </c>
      <c r="B68" s="4" t="s">
        <v>36</v>
      </c>
      <c r="C68" s="4" t="s">
        <v>12</v>
      </c>
      <c r="D68" s="21">
        <v>105000</v>
      </c>
      <c r="E68" s="4">
        <v>8</v>
      </c>
      <c r="F68" s="4">
        <v>2</v>
      </c>
      <c r="G68" s="4">
        <v>1</v>
      </c>
      <c r="H68" s="4">
        <v>786</v>
      </c>
      <c r="I68" s="11">
        <f t="shared" si="2"/>
        <v>133.58778625954199</v>
      </c>
      <c r="J68" s="3" t="str">
        <f t="shared" si="3"/>
        <v>Low</v>
      </c>
    </row>
    <row r="69" spans="1:10">
      <c r="A69" s="7" t="s">
        <v>95</v>
      </c>
      <c r="B69" s="7" t="s">
        <v>73</v>
      </c>
      <c r="C69" s="7" t="s">
        <v>12</v>
      </c>
      <c r="D69" s="22">
        <v>105000</v>
      </c>
      <c r="E69" s="7">
        <v>51</v>
      </c>
      <c r="F69" s="7">
        <v>2</v>
      </c>
      <c r="G69" s="7">
        <v>1</v>
      </c>
      <c r="H69" s="7">
        <v>895</v>
      </c>
      <c r="I69" s="9">
        <f t="shared" si="2"/>
        <v>117.31843575418995</v>
      </c>
      <c r="J69" s="3" t="str">
        <f t="shared" si="3"/>
        <v>Low</v>
      </c>
    </row>
    <row r="70" spans="1:10">
      <c r="A70" s="4" t="s">
        <v>96</v>
      </c>
      <c r="B70" s="4" t="s">
        <v>14</v>
      </c>
      <c r="C70" s="4" t="s">
        <v>12</v>
      </c>
      <c r="D70" s="21">
        <v>107000</v>
      </c>
      <c r="E70" s="4">
        <v>3</v>
      </c>
      <c r="F70" s="4">
        <v>3</v>
      </c>
      <c r="G70" s="4">
        <v>2</v>
      </c>
      <c r="H70" s="10">
        <v>1310</v>
      </c>
      <c r="I70" s="11">
        <f t="shared" si="2"/>
        <v>81.679389312977094</v>
      </c>
      <c r="J70" s="3" t="str">
        <f t="shared" si="3"/>
        <v>Low</v>
      </c>
    </row>
    <row r="71" spans="1:10">
      <c r="A71" s="7" t="s">
        <v>97</v>
      </c>
      <c r="B71" s="7" t="s">
        <v>14</v>
      </c>
      <c r="C71" s="7" t="s">
        <v>12</v>
      </c>
      <c r="D71" s="22">
        <v>110000</v>
      </c>
      <c r="E71" s="7">
        <v>32</v>
      </c>
      <c r="F71" s="7">
        <v>2</v>
      </c>
      <c r="G71" s="7">
        <v>1</v>
      </c>
      <c r="H71" s="7">
        <v>791</v>
      </c>
      <c r="I71" s="9">
        <f t="shared" si="2"/>
        <v>139.06447534766119</v>
      </c>
      <c r="J71" s="3" t="str">
        <f t="shared" si="3"/>
        <v>Low</v>
      </c>
    </row>
    <row r="72" spans="1:10">
      <c r="A72" s="4" t="s">
        <v>98</v>
      </c>
      <c r="B72" s="4" t="s">
        <v>14</v>
      </c>
      <c r="C72" s="4" t="s">
        <v>12</v>
      </c>
      <c r="D72" s="21">
        <v>110000</v>
      </c>
      <c r="E72" s="4">
        <v>69</v>
      </c>
      <c r="F72" s="4">
        <v>2</v>
      </c>
      <c r="G72" s="4">
        <v>1</v>
      </c>
      <c r="H72" s="4">
        <v>727</v>
      </c>
      <c r="I72" s="11">
        <f t="shared" si="2"/>
        <v>151.30674002751033</v>
      </c>
      <c r="J72" s="3" t="str">
        <f t="shared" si="3"/>
        <v>Low</v>
      </c>
    </row>
    <row r="73" spans="1:10">
      <c r="A73" s="7" t="s">
        <v>99</v>
      </c>
      <c r="B73" s="7" t="s">
        <v>14</v>
      </c>
      <c r="C73" s="7" t="s">
        <v>12</v>
      </c>
      <c r="D73" s="22">
        <v>110000</v>
      </c>
      <c r="E73" s="7">
        <v>83</v>
      </c>
      <c r="F73" s="7">
        <v>3</v>
      </c>
      <c r="G73" s="7">
        <v>2</v>
      </c>
      <c r="H73" s="12">
        <v>1039</v>
      </c>
      <c r="I73" s="9">
        <f t="shared" si="2"/>
        <v>105.87102983638114</v>
      </c>
      <c r="J73" s="3" t="str">
        <f t="shared" si="3"/>
        <v>Low</v>
      </c>
    </row>
    <row r="74" spans="1:10">
      <c r="A74" s="4" t="s">
        <v>100</v>
      </c>
      <c r="B74" s="4" t="s">
        <v>14</v>
      </c>
      <c r="C74" s="4" t="s">
        <v>12</v>
      </c>
      <c r="D74" s="21">
        <v>110000</v>
      </c>
      <c r="E74" s="4">
        <v>20</v>
      </c>
      <c r="F74" s="4">
        <v>2</v>
      </c>
      <c r="G74" s="4">
        <v>1</v>
      </c>
      <c r="H74" s="4">
        <v>846</v>
      </c>
      <c r="I74" s="11">
        <f t="shared" si="2"/>
        <v>130.02364066193854</v>
      </c>
      <c r="J74" s="3" t="str">
        <f t="shared" si="3"/>
        <v>Low</v>
      </c>
    </row>
    <row r="75" spans="1:10">
      <c r="A75" s="7" t="s">
        <v>101</v>
      </c>
      <c r="B75" s="7" t="s">
        <v>14</v>
      </c>
      <c r="C75" s="7" t="s">
        <v>12</v>
      </c>
      <c r="D75" s="22">
        <v>110000</v>
      </c>
      <c r="E75" s="7">
        <v>139</v>
      </c>
      <c r="F75" s="7">
        <v>4</v>
      </c>
      <c r="G75" s="7">
        <v>2</v>
      </c>
      <c r="H75" s="12">
        <v>1851</v>
      </c>
      <c r="I75" s="9">
        <f t="shared" si="2"/>
        <v>59.427336574824416</v>
      </c>
      <c r="J75" s="3" t="str">
        <f t="shared" si="3"/>
        <v>Low</v>
      </c>
    </row>
    <row r="76" spans="1:10">
      <c r="A76" s="4" t="s">
        <v>102</v>
      </c>
      <c r="B76" s="4" t="s">
        <v>14</v>
      </c>
      <c r="C76" s="4" t="s">
        <v>12</v>
      </c>
      <c r="D76" s="21">
        <v>111000</v>
      </c>
      <c r="E76" s="4">
        <v>11</v>
      </c>
      <c r="F76" s="4">
        <v>3</v>
      </c>
      <c r="G76" s="4">
        <v>1</v>
      </c>
      <c r="H76" s="4">
        <v>842</v>
      </c>
      <c r="I76" s="11">
        <f t="shared" si="2"/>
        <v>131.82897862232778</v>
      </c>
      <c r="J76" s="3" t="str">
        <f t="shared" si="3"/>
        <v>Low</v>
      </c>
    </row>
    <row r="77" spans="1:10">
      <c r="A77" s="7" t="s">
        <v>103</v>
      </c>
      <c r="B77" s="7" t="s">
        <v>73</v>
      </c>
      <c r="C77" s="7" t="s">
        <v>12</v>
      </c>
      <c r="D77" s="22">
        <v>113000</v>
      </c>
      <c r="E77" s="7">
        <v>7</v>
      </c>
      <c r="F77" s="7">
        <v>3</v>
      </c>
      <c r="G77" s="7">
        <v>2</v>
      </c>
      <c r="H77" s="7">
        <v>262</v>
      </c>
      <c r="I77" s="9">
        <f t="shared" si="2"/>
        <v>431.29770992366412</v>
      </c>
      <c r="J77" s="3" t="str">
        <f t="shared" si="3"/>
        <v>High</v>
      </c>
    </row>
    <row r="78" spans="1:10">
      <c r="A78" s="4" t="s">
        <v>104</v>
      </c>
      <c r="B78" s="4" t="s">
        <v>73</v>
      </c>
      <c r="C78" s="4" t="s">
        <v>12</v>
      </c>
      <c r="D78" s="21">
        <v>115000</v>
      </c>
      <c r="E78" s="4">
        <v>12</v>
      </c>
      <c r="F78" s="4">
        <v>3</v>
      </c>
      <c r="G78" s="4">
        <v>1</v>
      </c>
      <c r="H78" s="10">
        <v>1472</v>
      </c>
      <c r="I78" s="11">
        <f t="shared" si="2"/>
        <v>78.125</v>
      </c>
      <c r="J78" s="3" t="str">
        <f t="shared" si="3"/>
        <v>Low</v>
      </c>
    </row>
    <row r="79" spans="1:10">
      <c r="A79" s="7" t="s">
        <v>105</v>
      </c>
      <c r="B79" s="7" t="s">
        <v>14</v>
      </c>
      <c r="C79" s="7" t="s">
        <v>12</v>
      </c>
      <c r="D79" s="22">
        <v>115000</v>
      </c>
      <c r="E79" s="7">
        <v>14</v>
      </c>
      <c r="F79" s="7">
        <v>4</v>
      </c>
      <c r="G79" s="7">
        <v>1</v>
      </c>
      <c r="H79" s="12">
        <v>1275</v>
      </c>
      <c r="I79" s="9">
        <f t="shared" si="2"/>
        <v>90.196078431372555</v>
      </c>
      <c r="J79" s="3" t="str">
        <f t="shared" si="3"/>
        <v>Low</v>
      </c>
    </row>
    <row r="80" spans="1:10">
      <c r="A80" s="4" t="s">
        <v>106</v>
      </c>
      <c r="B80" s="4" t="s">
        <v>36</v>
      </c>
      <c r="C80" s="4" t="s">
        <v>12</v>
      </c>
      <c r="D80" s="21">
        <v>115000</v>
      </c>
      <c r="E80" s="4">
        <v>33</v>
      </c>
      <c r="F80" s="4">
        <v>2</v>
      </c>
      <c r="G80" s="4">
        <v>1</v>
      </c>
      <c r="H80" s="4">
        <v>716</v>
      </c>
      <c r="I80" s="11">
        <f t="shared" si="2"/>
        <v>160.61452513966481</v>
      </c>
      <c r="J80" s="3" t="str">
        <f t="shared" si="3"/>
        <v>Low</v>
      </c>
    </row>
    <row r="81" spans="1:10">
      <c r="A81" s="7" t="s">
        <v>107</v>
      </c>
      <c r="B81" s="7" t="s">
        <v>18</v>
      </c>
      <c r="C81" s="7" t="s">
        <v>12</v>
      </c>
      <c r="D81" s="22">
        <v>115000</v>
      </c>
      <c r="E81" s="7">
        <v>20</v>
      </c>
      <c r="F81" s="7">
        <v>2</v>
      </c>
      <c r="G81" s="7">
        <v>1</v>
      </c>
      <c r="H81" s="7">
        <v>650</v>
      </c>
      <c r="I81" s="9">
        <f t="shared" si="2"/>
        <v>176.92307692307693</v>
      </c>
      <c r="J81" s="3" t="str">
        <f t="shared" si="3"/>
        <v>Low</v>
      </c>
    </row>
    <row r="82" spans="1:10">
      <c r="A82" s="4" t="s">
        <v>108</v>
      </c>
      <c r="B82" s="4" t="s">
        <v>14</v>
      </c>
      <c r="C82" s="4" t="s">
        <v>12</v>
      </c>
      <c r="D82" s="21">
        <v>115000</v>
      </c>
      <c r="E82" s="4">
        <v>87</v>
      </c>
      <c r="F82" s="4">
        <v>3</v>
      </c>
      <c r="G82" s="4">
        <v>1</v>
      </c>
      <c r="H82" s="10">
        <v>1120</v>
      </c>
      <c r="I82" s="11">
        <f t="shared" si="2"/>
        <v>102.67857142857143</v>
      </c>
      <c r="J82" s="3" t="str">
        <f t="shared" si="3"/>
        <v>Low</v>
      </c>
    </row>
    <row r="83" spans="1:10">
      <c r="A83" s="7" t="s">
        <v>109</v>
      </c>
      <c r="B83" s="7" t="s">
        <v>36</v>
      </c>
      <c r="C83" s="7" t="s">
        <v>12</v>
      </c>
      <c r="D83" s="22">
        <v>118000</v>
      </c>
      <c r="E83" s="7">
        <v>41</v>
      </c>
      <c r="F83" s="7">
        <v>2</v>
      </c>
      <c r="G83" s="7">
        <v>1</v>
      </c>
      <c r="H83" s="7">
        <v>900</v>
      </c>
      <c r="I83" s="9">
        <f t="shared" si="2"/>
        <v>131.11111111111111</v>
      </c>
      <c r="J83" s="3" t="str">
        <f t="shared" si="3"/>
        <v>Low</v>
      </c>
    </row>
    <row r="84" spans="1:10">
      <c r="A84" s="4" t="s">
        <v>110</v>
      </c>
      <c r="B84" s="4" t="s">
        <v>36</v>
      </c>
      <c r="C84" s="4" t="s">
        <v>12</v>
      </c>
      <c r="D84" s="21">
        <v>120000</v>
      </c>
      <c r="E84" s="4">
        <v>7</v>
      </c>
      <c r="F84" s="4">
        <v>5</v>
      </c>
      <c r="G84" s="4">
        <v>2</v>
      </c>
      <c r="H84" s="10">
        <v>1494</v>
      </c>
      <c r="I84" s="11">
        <f t="shared" si="2"/>
        <v>80.321285140562253</v>
      </c>
      <c r="J84" s="3" t="str">
        <f t="shared" si="3"/>
        <v>Low</v>
      </c>
    </row>
    <row r="85" spans="1:10">
      <c r="A85" s="7" t="s">
        <v>111</v>
      </c>
      <c r="B85" s="7" t="s">
        <v>42</v>
      </c>
      <c r="C85" s="7" t="s">
        <v>12</v>
      </c>
      <c r="D85" s="22">
        <v>120000</v>
      </c>
      <c r="E85" s="7">
        <v>13</v>
      </c>
      <c r="F85" s="7">
        <v>2</v>
      </c>
      <c r="G85" s="7">
        <v>1</v>
      </c>
      <c r="H85" s="7">
        <v>630</v>
      </c>
      <c r="I85" s="9">
        <f t="shared" si="2"/>
        <v>190.47619047619048</v>
      </c>
      <c r="J85" s="3" t="str">
        <f t="shared" si="3"/>
        <v>Low</v>
      </c>
    </row>
    <row r="86" spans="1:10">
      <c r="A86" s="4" t="s">
        <v>112</v>
      </c>
      <c r="B86" s="4" t="s">
        <v>42</v>
      </c>
      <c r="C86" s="4" t="s">
        <v>12</v>
      </c>
      <c r="D86" s="21">
        <v>120000</v>
      </c>
      <c r="E86" s="4">
        <v>67</v>
      </c>
      <c r="F86" s="4">
        <v>2</v>
      </c>
      <c r="G86" s="4">
        <v>1</v>
      </c>
      <c r="H86" s="4">
        <v>864</v>
      </c>
      <c r="I86" s="11">
        <f t="shared" si="2"/>
        <v>138.88888888888889</v>
      </c>
      <c r="J86" s="3" t="str">
        <f t="shared" si="3"/>
        <v>Low</v>
      </c>
    </row>
    <row r="87" spans="1:10">
      <c r="A87" s="7" t="s">
        <v>113</v>
      </c>
      <c r="B87" s="7" t="s">
        <v>14</v>
      </c>
      <c r="C87" s="7" t="s">
        <v>12</v>
      </c>
      <c r="D87" s="22">
        <v>120000</v>
      </c>
      <c r="E87" s="7">
        <v>77</v>
      </c>
      <c r="F87" s="7">
        <v>3</v>
      </c>
      <c r="G87" s="7">
        <v>1</v>
      </c>
      <c r="H87" s="12">
        <v>1024</v>
      </c>
      <c r="I87" s="9">
        <f t="shared" si="2"/>
        <v>117.1875</v>
      </c>
      <c r="J87" s="3" t="str">
        <f t="shared" si="3"/>
        <v>Low</v>
      </c>
    </row>
    <row r="88" spans="1:10">
      <c r="A88" s="4" t="s">
        <v>114</v>
      </c>
      <c r="B88" s="4" t="s">
        <v>83</v>
      </c>
      <c r="C88" s="4" t="s">
        <v>12</v>
      </c>
      <c r="D88" s="21">
        <v>120000</v>
      </c>
      <c r="E88" s="4">
        <v>97</v>
      </c>
      <c r="F88" s="4">
        <v>2</v>
      </c>
      <c r="G88" s="4">
        <v>1</v>
      </c>
      <c r="H88" s="10">
        <v>1372</v>
      </c>
      <c r="I88" s="11">
        <f t="shared" si="2"/>
        <v>87.463556851311949</v>
      </c>
      <c r="J88" s="3" t="str">
        <f t="shared" si="3"/>
        <v>Low</v>
      </c>
    </row>
    <row r="89" spans="1:10">
      <c r="A89" s="7" t="s">
        <v>115</v>
      </c>
      <c r="B89" s="7" t="s">
        <v>14</v>
      </c>
      <c r="C89" s="7" t="s">
        <v>12</v>
      </c>
      <c r="D89" s="22">
        <v>120000</v>
      </c>
      <c r="E89" s="7">
        <v>90</v>
      </c>
      <c r="F89" s="7">
        <v>3</v>
      </c>
      <c r="G89" s="7">
        <v>1.1000000000000001</v>
      </c>
      <c r="H89" s="12">
        <v>1000</v>
      </c>
      <c r="I89" s="9">
        <f t="shared" si="2"/>
        <v>120</v>
      </c>
      <c r="J89" s="3" t="str">
        <f t="shared" si="3"/>
        <v>Low</v>
      </c>
    </row>
    <row r="90" spans="1:10">
      <c r="A90" s="4" t="s">
        <v>116</v>
      </c>
      <c r="B90" s="4" t="s">
        <v>117</v>
      </c>
      <c r="C90" s="4" t="s">
        <v>12</v>
      </c>
      <c r="D90" s="21">
        <v>120000</v>
      </c>
      <c r="E90" s="4">
        <v>103</v>
      </c>
      <c r="F90" s="4">
        <v>5</v>
      </c>
      <c r="G90" s="4">
        <v>2</v>
      </c>
      <c r="H90" s="10">
        <v>2026</v>
      </c>
      <c r="I90" s="11">
        <f t="shared" si="2"/>
        <v>59.230009871668315</v>
      </c>
      <c r="J90" s="3" t="str">
        <f t="shared" si="3"/>
        <v>Low</v>
      </c>
    </row>
    <row r="91" spans="1:10">
      <c r="A91" s="7" t="s">
        <v>118</v>
      </c>
      <c r="B91" s="7" t="s">
        <v>73</v>
      </c>
      <c r="C91" s="7" t="s">
        <v>12</v>
      </c>
      <c r="D91" s="22">
        <v>122500</v>
      </c>
      <c r="E91" s="7">
        <v>23</v>
      </c>
      <c r="F91" s="7">
        <v>0</v>
      </c>
      <c r="G91" s="7">
        <v>0</v>
      </c>
      <c r="H91" s="12">
        <v>1200</v>
      </c>
      <c r="I91" s="9">
        <f t="shared" si="2"/>
        <v>102.08333333333333</v>
      </c>
      <c r="J91" s="3" t="str">
        <f t="shared" si="3"/>
        <v>Low</v>
      </c>
    </row>
    <row r="92" spans="1:10">
      <c r="A92" s="4" t="s">
        <v>119</v>
      </c>
      <c r="B92" s="4" t="s">
        <v>14</v>
      </c>
      <c r="C92" s="4" t="s">
        <v>12</v>
      </c>
      <c r="D92" s="21">
        <v>123123</v>
      </c>
      <c r="E92" s="4">
        <v>16</v>
      </c>
      <c r="F92" s="4">
        <v>3</v>
      </c>
      <c r="G92" s="4">
        <v>2</v>
      </c>
      <c r="H92" s="10">
        <v>1438</v>
      </c>
      <c r="I92" s="11">
        <f t="shared" si="2"/>
        <v>85.621001390820581</v>
      </c>
      <c r="J92" s="3" t="str">
        <f t="shared" si="3"/>
        <v>Low</v>
      </c>
    </row>
    <row r="93" spans="1:10">
      <c r="A93" s="7" t="s">
        <v>120</v>
      </c>
      <c r="B93" s="7" t="s">
        <v>14</v>
      </c>
      <c r="C93" s="7" t="s">
        <v>12</v>
      </c>
      <c r="D93" s="22">
        <v>124900</v>
      </c>
      <c r="E93" s="7">
        <v>28</v>
      </c>
      <c r="F93" s="7">
        <v>3</v>
      </c>
      <c r="G93" s="7">
        <v>1</v>
      </c>
      <c r="H93" s="7">
        <v>924</v>
      </c>
      <c r="I93" s="9">
        <f t="shared" si="2"/>
        <v>135.17316017316017</v>
      </c>
      <c r="J93" s="3" t="str">
        <f t="shared" si="3"/>
        <v>Low</v>
      </c>
    </row>
    <row r="94" spans="1:10">
      <c r="A94" s="4" t="s">
        <v>121</v>
      </c>
      <c r="B94" s="4" t="s">
        <v>14</v>
      </c>
      <c r="C94" s="4" t="s">
        <v>12</v>
      </c>
      <c r="D94" s="21">
        <v>125000</v>
      </c>
      <c r="E94" s="4">
        <v>8</v>
      </c>
      <c r="F94" s="4">
        <v>2</v>
      </c>
      <c r="G94" s="4">
        <v>1.1000000000000001</v>
      </c>
      <c r="H94" s="10">
        <v>1200</v>
      </c>
      <c r="I94" s="11">
        <f t="shared" si="2"/>
        <v>104.16666666666667</v>
      </c>
      <c r="J94" s="3" t="str">
        <f t="shared" si="3"/>
        <v>Low</v>
      </c>
    </row>
    <row r="95" spans="1:10">
      <c r="A95" s="7" t="s">
        <v>122</v>
      </c>
      <c r="B95" s="7" t="s">
        <v>73</v>
      </c>
      <c r="C95" s="7" t="s">
        <v>12</v>
      </c>
      <c r="D95" s="22">
        <v>125000</v>
      </c>
      <c r="E95" s="7">
        <v>82</v>
      </c>
      <c r="F95" s="7">
        <v>2</v>
      </c>
      <c r="G95" s="7">
        <v>1</v>
      </c>
      <c r="H95" s="12">
        <v>1224</v>
      </c>
      <c r="I95" s="9">
        <f t="shared" si="2"/>
        <v>102.12418300653594</v>
      </c>
      <c r="J95" s="3" t="str">
        <f t="shared" si="3"/>
        <v>Low</v>
      </c>
    </row>
    <row r="96" spans="1:10">
      <c r="A96" s="4" t="s">
        <v>123</v>
      </c>
      <c r="B96" s="4" t="s">
        <v>14</v>
      </c>
      <c r="C96" s="4" t="s">
        <v>12</v>
      </c>
      <c r="D96" s="21">
        <v>125000</v>
      </c>
      <c r="E96" s="4">
        <v>44</v>
      </c>
      <c r="F96" s="4">
        <v>2</v>
      </c>
      <c r="G96" s="4">
        <v>1</v>
      </c>
      <c r="H96" s="4">
        <v>845</v>
      </c>
      <c r="I96" s="11">
        <f t="shared" si="2"/>
        <v>147.92899408284023</v>
      </c>
      <c r="J96" s="3" t="str">
        <f t="shared" si="3"/>
        <v>Low</v>
      </c>
    </row>
    <row r="97" spans="1:10">
      <c r="A97" s="7" t="s">
        <v>124</v>
      </c>
      <c r="B97" s="7" t="s">
        <v>73</v>
      </c>
      <c r="C97" s="7" t="s">
        <v>12</v>
      </c>
      <c r="D97" s="22">
        <v>125000</v>
      </c>
      <c r="E97" s="7">
        <v>3</v>
      </c>
      <c r="F97" s="7">
        <v>3</v>
      </c>
      <c r="G97" s="7">
        <v>1</v>
      </c>
      <c r="H97" s="12">
        <v>1122</v>
      </c>
      <c r="I97" s="9">
        <f t="shared" si="2"/>
        <v>111.40819964349376</v>
      </c>
      <c r="J97" s="3" t="str">
        <f t="shared" si="3"/>
        <v>Low</v>
      </c>
    </row>
    <row r="98" spans="1:10">
      <c r="A98" s="4" t="s">
        <v>125</v>
      </c>
      <c r="B98" s="4" t="s">
        <v>117</v>
      </c>
      <c r="C98" s="4" t="s">
        <v>12</v>
      </c>
      <c r="D98" s="21">
        <v>125000</v>
      </c>
      <c r="E98" s="4">
        <v>50</v>
      </c>
      <c r="F98" s="4">
        <v>2</v>
      </c>
      <c r="G98" s="4">
        <v>1</v>
      </c>
      <c r="H98" s="10">
        <v>1018</v>
      </c>
      <c r="I98" s="11">
        <f t="shared" si="2"/>
        <v>122.78978388998036</v>
      </c>
      <c r="J98" s="3" t="str">
        <f t="shared" si="3"/>
        <v>Low</v>
      </c>
    </row>
    <row r="99" spans="1:10">
      <c r="A99" s="7" t="s">
        <v>126</v>
      </c>
      <c r="B99" s="7" t="s">
        <v>14</v>
      </c>
      <c r="C99" s="7" t="s">
        <v>12</v>
      </c>
      <c r="D99" s="22">
        <v>125000</v>
      </c>
      <c r="E99" s="7">
        <v>210</v>
      </c>
      <c r="F99" s="7">
        <v>4</v>
      </c>
      <c r="G99" s="7">
        <v>2</v>
      </c>
      <c r="H99" s="12">
        <v>2078</v>
      </c>
      <c r="I99" s="9">
        <f t="shared" si="2"/>
        <v>60.153994225216557</v>
      </c>
      <c r="J99" s="3" t="str">
        <f t="shared" si="3"/>
        <v>Low</v>
      </c>
    </row>
    <row r="100" spans="1:10">
      <c r="A100" s="4" t="s">
        <v>127</v>
      </c>
      <c r="B100" s="4" t="s">
        <v>14</v>
      </c>
      <c r="C100" s="4" t="s">
        <v>12</v>
      </c>
      <c r="D100" s="21">
        <v>126000</v>
      </c>
      <c r="E100" s="4">
        <v>9</v>
      </c>
      <c r="F100" s="4">
        <v>3</v>
      </c>
      <c r="G100" s="4">
        <v>1</v>
      </c>
      <c r="H100" s="10">
        <v>1004</v>
      </c>
      <c r="I100" s="11">
        <f t="shared" si="2"/>
        <v>125.4980079681275</v>
      </c>
      <c r="J100" s="3" t="str">
        <f t="shared" si="3"/>
        <v>Low</v>
      </c>
    </row>
    <row r="101" spans="1:10">
      <c r="A101" s="7" t="s">
        <v>128</v>
      </c>
      <c r="B101" s="7" t="s">
        <v>36</v>
      </c>
      <c r="C101" s="7" t="s">
        <v>12</v>
      </c>
      <c r="D101" s="22">
        <v>126000</v>
      </c>
      <c r="E101" s="7">
        <v>10</v>
      </c>
      <c r="F101" s="7">
        <v>3</v>
      </c>
      <c r="G101" s="7">
        <v>1</v>
      </c>
      <c r="H101" s="7">
        <v>952</v>
      </c>
      <c r="I101" s="9">
        <f t="shared" si="2"/>
        <v>132.35294117647058</v>
      </c>
      <c r="J101" s="3" t="str">
        <f t="shared" si="3"/>
        <v>Low</v>
      </c>
    </row>
    <row r="102" spans="1:10">
      <c r="A102" s="4" t="s">
        <v>129</v>
      </c>
      <c r="B102" s="4" t="s">
        <v>14</v>
      </c>
      <c r="C102" s="4" t="s">
        <v>12</v>
      </c>
      <c r="D102" s="21">
        <v>127500</v>
      </c>
      <c r="E102" s="4">
        <v>3</v>
      </c>
      <c r="F102" s="4">
        <v>2</v>
      </c>
      <c r="G102" s="4">
        <v>2</v>
      </c>
      <c r="H102" s="4">
        <v>874</v>
      </c>
      <c r="I102" s="11">
        <f t="shared" si="2"/>
        <v>145.88100686498856</v>
      </c>
      <c r="J102" s="3" t="str">
        <f t="shared" si="3"/>
        <v>Low</v>
      </c>
    </row>
    <row r="103" spans="1:10">
      <c r="A103" s="7" t="s">
        <v>130</v>
      </c>
      <c r="B103" s="7" t="s">
        <v>131</v>
      </c>
      <c r="C103" s="7" t="s">
        <v>12</v>
      </c>
      <c r="D103" s="22">
        <v>127500</v>
      </c>
      <c r="E103" s="7">
        <v>124</v>
      </c>
      <c r="F103" s="7">
        <v>2</v>
      </c>
      <c r="G103" s="7">
        <v>1</v>
      </c>
      <c r="H103" s="7">
        <v>861</v>
      </c>
      <c r="I103" s="9">
        <f t="shared" si="2"/>
        <v>148.08362369337979</v>
      </c>
      <c r="J103" s="3" t="str">
        <f t="shared" si="3"/>
        <v>Low</v>
      </c>
    </row>
    <row r="104" spans="1:10">
      <c r="A104" s="4" t="s">
        <v>132</v>
      </c>
      <c r="B104" s="4" t="s">
        <v>42</v>
      </c>
      <c r="C104" s="4" t="s">
        <v>12</v>
      </c>
      <c r="D104" s="21">
        <v>128000</v>
      </c>
      <c r="E104" s="4">
        <v>104</v>
      </c>
      <c r="F104" s="4">
        <v>2</v>
      </c>
      <c r="G104" s="4">
        <v>1</v>
      </c>
      <c r="H104" s="4">
        <v>725</v>
      </c>
      <c r="I104" s="11">
        <f t="shared" si="2"/>
        <v>176.55172413793105</v>
      </c>
      <c r="J104" s="3" t="str">
        <f t="shared" si="3"/>
        <v>Low</v>
      </c>
    </row>
    <row r="105" spans="1:10">
      <c r="A105" s="7" t="s">
        <v>133</v>
      </c>
      <c r="B105" s="7" t="s">
        <v>14</v>
      </c>
      <c r="C105" s="7" t="s">
        <v>12</v>
      </c>
      <c r="D105" s="22">
        <v>129000</v>
      </c>
      <c r="E105" s="7">
        <v>15</v>
      </c>
      <c r="F105" s="7">
        <v>2</v>
      </c>
      <c r="G105" s="7">
        <v>1</v>
      </c>
      <c r="H105" s="12">
        <v>1100</v>
      </c>
      <c r="I105" s="9">
        <f t="shared" si="2"/>
        <v>117.27272727272727</v>
      </c>
      <c r="J105" s="3" t="str">
        <f t="shared" si="3"/>
        <v>Low</v>
      </c>
    </row>
    <row r="106" spans="1:10">
      <c r="A106" s="4" t="s">
        <v>134</v>
      </c>
      <c r="B106" s="4" t="s">
        <v>11</v>
      </c>
      <c r="C106" s="4" t="s">
        <v>12</v>
      </c>
      <c r="D106" s="21">
        <v>129900</v>
      </c>
      <c r="E106" s="4">
        <v>4</v>
      </c>
      <c r="F106" s="4">
        <v>2</v>
      </c>
      <c r="G106" s="4">
        <v>1.1000000000000001</v>
      </c>
      <c r="H106" s="10">
        <v>1100</v>
      </c>
      <c r="I106" s="11">
        <f t="shared" si="2"/>
        <v>118.09090909090909</v>
      </c>
      <c r="J106" s="3" t="str">
        <f t="shared" si="3"/>
        <v>Low</v>
      </c>
    </row>
    <row r="107" spans="1:10">
      <c r="A107" s="7" t="s">
        <v>135</v>
      </c>
      <c r="B107" s="7" t="s">
        <v>14</v>
      </c>
      <c r="C107" s="7" t="s">
        <v>12</v>
      </c>
      <c r="D107" s="22">
        <v>130000</v>
      </c>
      <c r="E107" s="7">
        <v>1</v>
      </c>
      <c r="F107" s="7">
        <v>5</v>
      </c>
      <c r="G107" s="7">
        <v>2</v>
      </c>
      <c r="H107" s="12">
        <v>2730</v>
      </c>
      <c r="I107" s="9">
        <f t="shared" si="2"/>
        <v>47.61904761904762</v>
      </c>
      <c r="J107" s="3" t="str">
        <f t="shared" si="3"/>
        <v>Low</v>
      </c>
    </row>
    <row r="108" spans="1:10">
      <c r="A108" s="4" t="s">
        <v>136</v>
      </c>
      <c r="B108" s="4" t="s">
        <v>83</v>
      </c>
      <c r="C108" s="4" t="s">
        <v>12</v>
      </c>
      <c r="D108" s="21">
        <v>130000</v>
      </c>
      <c r="E108" s="4">
        <v>59</v>
      </c>
      <c r="F108" s="4">
        <v>3</v>
      </c>
      <c r="G108" s="4">
        <v>1</v>
      </c>
      <c r="H108" s="4">
        <v>960</v>
      </c>
      <c r="I108" s="11">
        <f t="shared" si="2"/>
        <v>135.41666666666666</v>
      </c>
      <c r="J108" s="3" t="str">
        <f t="shared" si="3"/>
        <v>Low</v>
      </c>
    </row>
    <row r="109" spans="1:10">
      <c r="A109" s="7" t="s">
        <v>137</v>
      </c>
      <c r="B109" s="7" t="s">
        <v>25</v>
      </c>
      <c r="C109" s="7" t="s">
        <v>12</v>
      </c>
      <c r="D109" s="22">
        <v>130000</v>
      </c>
      <c r="E109" s="7">
        <v>5</v>
      </c>
      <c r="F109" s="7">
        <v>2</v>
      </c>
      <c r="G109" s="7">
        <v>1</v>
      </c>
      <c r="H109" s="7">
        <v>836</v>
      </c>
      <c r="I109" s="9">
        <f t="shared" si="2"/>
        <v>155.50239234449759</v>
      </c>
      <c r="J109" s="3" t="str">
        <f t="shared" si="3"/>
        <v>Low</v>
      </c>
    </row>
    <row r="110" spans="1:10">
      <c r="A110" s="4" t="s">
        <v>138</v>
      </c>
      <c r="B110" s="4" t="s">
        <v>131</v>
      </c>
      <c r="C110" s="4" t="s">
        <v>12</v>
      </c>
      <c r="D110" s="21">
        <v>130000</v>
      </c>
      <c r="E110" s="4">
        <v>3</v>
      </c>
      <c r="F110" s="4">
        <v>2</v>
      </c>
      <c r="G110" s="4">
        <v>1</v>
      </c>
      <c r="H110" s="4">
        <v>798</v>
      </c>
      <c r="I110" s="11">
        <f t="shared" si="2"/>
        <v>162.90726817042608</v>
      </c>
      <c r="J110" s="3" t="str">
        <f t="shared" si="3"/>
        <v>Low</v>
      </c>
    </row>
    <row r="111" spans="1:10">
      <c r="A111" s="7" t="s">
        <v>139</v>
      </c>
      <c r="B111" s="7" t="s">
        <v>73</v>
      </c>
      <c r="C111" s="7" t="s">
        <v>12</v>
      </c>
      <c r="D111" s="22">
        <v>130000</v>
      </c>
      <c r="E111" s="7">
        <v>4</v>
      </c>
      <c r="F111" s="7">
        <v>3</v>
      </c>
      <c r="G111" s="7">
        <v>1</v>
      </c>
      <c r="H111" s="7">
        <v>896</v>
      </c>
      <c r="I111" s="9">
        <f t="shared" si="2"/>
        <v>145.08928571428572</v>
      </c>
      <c r="J111" s="3" t="str">
        <f t="shared" si="3"/>
        <v>Low</v>
      </c>
    </row>
    <row r="112" spans="1:10">
      <c r="A112" s="4" t="s">
        <v>140</v>
      </c>
      <c r="B112" s="4" t="s">
        <v>42</v>
      </c>
      <c r="C112" s="4" t="s">
        <v>12</v>
      </c>
      <c r="D112" s="21">
        <v>130000</v>
      </c>
      <c r="E112" s="4">
        <v>45</v>
      </c>
      <c r="F112" s="4">
        <v>2</v>
      </c>
      <c r="G112" s="4">
        <v>1</v>
      </c>
      <c r="H112" s="4">
        <v>840</v>
      </c>
      <c r="I112" s="11">
        <f t="shared" si="2"/>
        <v>154.76190476190476</v>
      </c>
      <c r="J112" s="3" t="str">
        <f t="shared" si="3"/>
        <v>Low</v>
      </c>
    </row>
    <row r="113" spans="1:10">
      <c r="A113" s="7" t="s">
        <v>141</v>
      </c>
      <c r="B113" s="7" t="s">
        <v>83</v>
      </c>
      <c r="C113" s="7" t="s">
        <v>12</v>
      </c>
      <c r="D113" s="22">
        <v>130000</v>
      </c>
      <c r="E113" s="7">
        <v>45</v>
      </c>
      <c r="F113" s="7">
        <v>2</v>
      </c>
      <c r="G113" s="7">
        <v>1</v>
      </c>
      <c r="H113" s="7">
        <v>828</v>
      </c>
      <c r="I113" s="9">
        <f t="shared" si="2"/>
        <v>157.00483091787439</v>
      </c>
      <c r="J113" s="3" t="str">
        <f t="shared" si="3"/>
        <v>Low</v>
      </c>
    </row>
    <row r="114" spans="1:10">
      <c r="A114" s="4" t="s">
        <v>142</v>
      </c>
      <c r="B114" s="4" t="s">
        <v>11</v>
      </c>
      <c r="C114" s="4" t="s">
        <v>12</v>
      </c>
      <c r="D114" s="21">
        <v>130000</v>
      </c>
      <c r="E114" s="4">
        <v>57</v>
      </c>
      <c r="F114" s="4">
        <v>2</v>
      </c>
      <c r="G114" s="4">
        <v>1</v>
      </c>
      <c r="H114" s="10">
        <v>1097</v>
      </c>
      <c r="I114" s="11">
        <f t="shared" si="2"/>
        <v>118.50501367365543</v>
      </c>
      <c r="J114" s="3" t="str">
        <f t="shared" si="3"/>
        <v>Low</v>
      </c>
    </row>
    <row r="115" spans="1:10">
      <c r="A115" s="7" t="s">
        <v>143</v>
      </c>
      <c r="B115" s="7" t="s">
        <v>36</v>
      </c>
      <c r="C115" s="7" t="s">
        <v>12</v>
      </c>
      <c r="D115" s="22">
        <v>130000</v>
      </c>
      <c r="E115" s="7">
        <v>249</v>
      </c>
      <c r="F115" s="7">
        <v>3</v>
      </c>
      <c r="G115" s="7">
        <v>1</v>
      </c>
      <c r="H115" s="12">
        <v>1010</v>
      </c>
      <c r="I115" s="9">
        <f t="shared" si="2"/>
        <v>128.71287128712871</v>
      </c>
      <c r="J115" s="3" t="str">
        <f t="shared" si="3"/>
        <v>Low</v>
      </c>
    </row>
    <row r="116" spans="1:10">
      <c r="A116" s="4" t="s">
        <v>144</v>
      </c>
      <c r="B116" s="4" t="s">
        <v>29</v>
      </c>
      <c r="C116" s="4" t="s">
        <v>12</v>
      </c>
      <c r="D116" s="21">
        <v>130000</v>
      </c>
      <c r="E116" s="4">
        <v>82</v>
      </c>
      <c r="F116" s="4">
        <v>3</v>
      </c>
      <c r="G116" s="4">
        <v>1</v>
      </c>
      <c r="H116" s="4">
        <v>889</v>
      </c>
      <c r="I116" s="11">
        <f t="shared" si="2"/>
        <v>146.23172103487065</v>
      </c>
      <c r="J116" s="3" t="str">
        <f t="shared" si="3"/>
        <v>Low</v>
      </c>
    </row>
    <row r="117" spans="1:10">
      <c r="A117" s="7" t="s">
        <v>145</v>
      </c>
      <c r="B117" s="7" t="s">
        <v>14</v>
      </c>
      <c r="C117" s="7" t="s">
        <v>12</v>
      </c>
      <c r="D117" s="22">
        <v>130000</v>
      </c>
      <c r="E117" s="7">
        <v>4</v>
      </c>
      <c r="F117" s="7">
        <v>3</v>
      </c>
      <c r="G117" s="7">
        <v>1.1000000000000001</v>
      </c>
      <c r="H117" s="12">
        <v>1220</v>
      </c>
      <c r="I117" s="9">
        <f t="shared" si="2"/>
        <v>106.55737704918033</v>
      </c>
      <c r="J117" s="3" t="str">
        <f t="shared" si="3"/>
        <v>Low</v>
      </c>
    </row>
    <row r="118" spans="1:10">
      <c r="A118" s="4" t="s">
        <v>146</v>
      </c>
      <c r="B118" s="4" t="s">
        <v>29</v>
      </c>
      <c r="C118" s="4" t="s">
        <v>12</v>
      </c>
      <c r="D118" s="21">
        <v>132500</v>
      </c>
      <c r="E118" s="4">
        <v>18</v>
      </c>
      <c r="F118" s="4">
        <v>2</v>
      </c>
      <c r="G118" s="4">
        <v>1</v>
      </c>
      <c r="H118" s="10">
        <v>1049</v>
      </c>
      <c r="I118" s="11">
        <f t="shared" si="2"/>
        <v>126.31077216396568</v>
      </c>
      <c r="J118" s="3" t="str">
        <f t="shared" si="3"/>
        <v>Low</v>
      </c>
    </row>
    <row r="119" spans="1:10">
      <c r="A119" s="7" t="s">
        <v>147</v>
      </c>
      <c r="B119" s="7" t="s">
        <v>11</v>
      </c>
      <c r="C119" s="7" t="s">
        <v>12</v>
      </c>
      <c r="D119" s="22">
        <v>134999</v>
      </c>
      <c r="E119" s="7">
        <v>24</v>
      </c>
      <c r="F119" s="7">
        <v>2</v>
      </c>
      <c r="G119" s="7">
        <v>1</v>
      </c>
      <c r="H119" s="7">
        <v>802</v>
      </c>
      <c r="I119" s="9">
        <f t="shared" si="2"/>
        <v>168.32793017456359</v>
      </c>
      <c r="J119" s="3" t="str">
        <f t="shared" si="3"/>
        <v>Low</v>
      </c>
    </row>
    <row r="120" spans="1:10">
      <c r="A120" s="4" t="s">
        <v>148</v>
      </c>
      <c r="B120" s="4" t="s">
        <v>14</v>
      </c>
      <c r="C120" s="4" t="s">
        <v>12</v>
      </c>
      <c r="D120" s="21">
        <v>135000</v>
      </c>
      <c r="E120" s="4">
        <v>3</v>
      </c>
      <c r="F120" s="4">
        <v>3</v>
      </c>
      <c r="G120" s="4">
        <v>1</v>
      </c>
      <c r="H120" s="10">
        <v>1418</v>
      </c>
      <c r="I120" s="11">
        <f t="shared" si="2"/>
        <v>95.20451339915374</v>
      </c>
      <c r="J120" s="3" t="str">
        <f t="shared" si="3"/>
        <v>Low</v>
      </c>
    </row>
    <row r="121" spans="1:10">
      <c r="A121" s="7" t="s">
        <v>149</v>
      </c>
      <c r="B121" s="7" t="s">
        <v>36</v>
      </c>
      <c r="C121" s="7" t="s">
        <v>12</v>
      </c>
      <c r="D121" s="22">
        <v>135000</v>
      </c>
      <c r="E121" s="7">
        <v>1</v>
      </c>
      <c r="F121" s="7">
        <v>2</v>
      </c>
      <c r="G121" s="7">
        <v>1</v>
      </c>
      <c r="H121" s="7">
        <v>780</v>
      </c>
      <c r="I121" s="9">
        <f t="shared" si="2"/>
        <v>173.07692307692307</v>
      </c>
      <c r="J121" s="3" t="str">
        <f t="shared" si="3"/>
        <v>Low</v>
      </c>
    </row>
    <row r="122" spans="1:10">
      <c r="A122" s="4" t="s">
        <v>150</v>
      </c>
      <c r="B122" s="4" t="s">
        <v>14</v>
      </c>
      <c r="C122" s="4" t="s">
        <v>12</v>
      </c>
      <c r="D122" s="21">
        <v>135000</v>
      </c>
      <c r="E122" s="4">
        <v>20</v>
      </c>
      <c r="F122" s="4">
        <v>3</v>
      </c>
      <c r="G122" s="4">
        <v>1</v>
      </c>
      <c r="H122" s="4">
        <v>845</v>
      </c>
      <c r="I122" s="11">
        <f t="shared" si="2"/>
        <v>159.76331360946745</v>
      </c>
      <c r="J122" s="3" t="str">
        <f t="shared" si="3"/>
        <v>Low</v>
      </c>
    </row>
    <row r="123" spans="1:10">
      <c r="A123" s="7" t="s">
        <v>151</v>
      </c>
      <c r="B123" s="7" t="s">
        <v>36</v>
      </c>
      <c r="C123" s="7" t="s">
        <v>12</v>
      </c>
      <c r="D123" s="22">
        <v>135000</v>
      </c>
      <c r="E123" s="7">
        <v>33</v>
      </c>
      <c r="F123" s="7">
        <v>3</v>
      </c>
      <c r="G123" s="7">
        <v>1</v>
      </c>
      <c r="H123" s="7">
        <v>890</v>
      </c>
      <c r="I123" s="9">
        <f t="shared" si="2"/>
        <v>151.68539325842696</v>
      </c>
      <c r="J123" s="3" t="str">
        <f t="shared" si="3"/>
        <v>Low</v>
      </c>
    </row>
    <row r="124" spans="1:10">
      <c r="A124" s="4" t="s">
        <v>152</v>
      </c>
      <c r="B124" s="4" t="s">
        <v>153</v>
      </c>
      <c r="C124" s="4" t="s">
        <v>12</v>
      </c>
      <c r="D124" s="21">
        <v>135000</v>
      </c>
      <c r="E124" s="4">
        <v>21</v>
      </c>
      <c r="F124" s="4">
        <v>3</v>
      </c>
      <c r="G124" s="4">
        <v>1</v>
      </c>
      <c r="H124" s="4">
        <v>951</v>
      </c>
      <c r="I124" s="11">
        <f t="shared" si="2"/>
        <v>141.9558359621451</v>
      </c>
      <c r="J124" s="3" t="str">
        <f t="shared" si="3"/>
        <v>Low</v>
      </c>
    </row>
    <row r="125" spans="1:10">
      <c r="A125" s="7" t="s">
        <v>154</v>
      </c>
      <c r="B125" s="7" t="s">
        <v>155</v>
      </c>
      <c r="C125" s="7" t="s">
        <v>12</v>
      </c>
      <c r="D125" s="22">
        <v>135000</v>
      </c>
      <c r="E125" s="7">
        <v>91</v>
      </c>
      <c r="F125" s="7">
        <v>1</v>
      </c>
      <c r="G125" s="7">
        <v>1</v>
      </c>
      <c r="H125" s="7">
        <v>940</v>
      </c>
      <c r="I125" s="9">
        <f t="shared" si="2"/>
        <v>143.61702127659575</v>
      </c>
      <c r="J125" s="3" t="str">
        <f t="shared" si="3"/>
        <v>Low</v>
      </c>
    </row>
    <row r="126" spans="1:10">
      <c r="A126" s="4" t="s">
        <v>156</v>
      </c>
      <c r="B126" s="4" t="s">
        <v>14</v>
      </c>
      <c r="C126" s="4" t="s">
        <v>12</v>
      </c>
      <c r="D126" s="21">
        <v>137000</v>
      </c>
      <c r="E126" s="4">
        <v>47</v>
      </c>
      <c r="F126" s="4">
        <v>3</v>
      </c>
      <c r="G126" s="4">
        <v>1</v>
      </c>
      <c r="H126" s="10">
        <v>1062</v>
      </c>
      <c r="I126" s="11">
        <f t="shared" si="2"/>
        <v>129.00188323917138</v>
      </c>
      <c r="J126" s="3" t="str">
        <f t="shared" si="3"/>
        <v>Low</v>
      </c>
    </row>
    <row r="127" spans="1:10">
      <c r="A127" s="7" t="s">
        <v>157</v>
      </c>
      <c r="B127" s="7" t="s">
        <v>36</v>
      </c>
      <c r="C127" s="7" t="s">
        <v>12</v>
      </c>
      <c r="D127" s="22">
        <v>137500</v>
      </c>
      <c r="E127" s="7">
        <v>19</v>
      </c>
      <c r="F127" s="7">
        <v>3</v>
      </c>
      <c r="G127" s="7">
        <v>1</v>
      </c>
      <c r="H127" s="7">
        <v>983</v>
      </c>
      <c r="I127" s="9">
        <f t="shared" si="2"/>
        <v>139.87792472024415</v>
      </c>
      <c r="J127" s="3" t="str">
        <f t="shared" si="3"/>
        <v>Low</v>
      </c>
    </row>
    <row r="128" spans="1:10">
      <c r="A128" s="4" t="s">
        <v>158</v>
      </c>
      <c r="B128" s="4" t="s">
        <v>42</v>
      </c>
      <c r="C128" s="4" t="s">
        <v>12</v>
      </c>
      <c r="D128" s="21">
        <v>137500</v>
      </c>
      <c r="E128" s="4">
        <v>8</v>
      </c>
      <c r="F128" s="4">
        <v>2</v>
      </c>
      <c r="G128" s="4">
        <v>1</v>
      </c>
      <c r="H128" s="4">
        <v>574</v>
      </c>
      <c r="I128" s="11">
        <f t="shared" si="2"/>
        <v>239.54703832752614</v>
      </c>
      <c r="J128" s="3" t="str">
        <f t="shared" si="3"/>
        <v>Medium</v>
      </c>
    </row>
    <row r="129" spans="1:10">
      <c r="A129" s="7" t="s">
        <v>159</v>
      </c>
      <c r="B129" s="7" t="s">
        <v>11</v>
      </c>
      <c r="C129" s="7" t="s">
        <v>12</v>
      </c>
      <c r="D129" s="22">
        <v>138000</v>
      </c>
      <c r="E129" s="7">
        <v>5</v>
      </c>
      <c r="F129" s="7">
        <v>2</v>
      </c>
      <c r="G129" s="7">
        <v>1</v>
      </c>
      <c r="H129" s="12">
        <v>1125</v>
      </c>
      <c r="I129" s="9">
        <f t="shared" si="2"/>
        <v>122.66666666666667</v>
      </c>
      <c r="J129" s="3" t="str">
        <f t="shared" si="3"/>
        <v>Low</v>
      </c>
    </row>
    <row r="130" spans="1:10">
      <c r="A130" s="4" t="s">
        <v>160</v>
      </c>
      <c r="B130" s="4" t="s">
        <v>29</v>
      </c>
      <c r="C130" s="4" t="s">
        <v>12</v>
      </c>
      <c r="D130" s="21">
        <v>138000</v>
      </c>
      <c r="E130" s="4">
        <v>8</v>
      </c>
      <c r="F130" s="4">
        <v>2</v>
      </c>
      <c r="G130" s="4">
        <v>1</v>
      </c>
      <c r="H130" s="4">
        <v>585</v>
      </c>
      <c r="I130" s="11">
        <f t="shared" ref="I130:I193" si="4">D130/H130</f>
        <v>235.89743589743588</v>
      </c>
      <c r="J130" s="3" t="str">
        <f t="shared" ref="J130:J193" si="5">IF(I130 &gt; 300, "High", IF(AND(I130 &lt;= 300, I130 &gt; 200), "Medium", "Low"))</f>
        <v>Medium</v>
      </c>
    </row>
    <row r="131" spans="1:10">
      <c r="A131" s="7" t="s">
        <v>161</v>
      </c>
      <c r="B131" s="7" t="s">
        <v>36</v>
      </c>
      <c r="C131" s="7" t="s">
        <v>12</v>
      </c>
      <c r="D131" s="22">
        <v>138000</v>
      </c>
      <c r="E131" s="7">
        <v>8</v>
      </c>
      <c r="F131" s="7">
        <v>2</v>
      </c>
      <c r="G131" s="7">
        <v>1</v>
      </c>
      <c r="H131" s="7">
        <v>701</v>
      </c>
      <c r="I131" s="9">
        <f t="shared" si="4"/>
        <v>196.86162624821682</v>
      </c>
      <c r="J131" s="3" t="str">
        <f t="shared" si="5"/>
        <v>Low</v>
      </c>
    </row>
    <row r="132" spans="1:10">
      <c r="A132" s="4" t="s">
        <v>162</v>
      </c>
      <c r="B132" s="4" t="s">
        <v>36</v>
      </c>
      <c r="C132" s="4" t="s">
        <v>12</v>
      </c>
      <c r="D132" s="21">
        <v>138500</v>
      </c>
      <c r="E132" s="4">
        <v>7</v>
      </c>
      <c r="F132" s="4">
        <v>3</v>
      </c>
      <c r="G132" s="4">
        <v>1.1000000000000001</v>
      </c>
      <c r="H132" s="10">
        <v>1232</v>
      </c>
      <c r="I132" s="11">
        <f t="shared" si="4"/>
        <v>112.41883116883118</v>
      </c>
      <c r="J132" s="3" t="str">
        <f t="shared" si="5"/>
        <v>Low</v>
      </c>
    </row>
    <row r="133" spans="1:10">
      <c r="A133" s="7" t="s">
        <v>163</v>
      </c>
      <c r="B133" s="7" t="s">
        <v>73</v>
      </c>
      <c r="C133" s="7" t="s">
        <v>12</v>
      </c>
      <c r="D133" s="22">
        <v>140000</v>
      </c>
      <c r="E133" s="7">
        <v>5</v>
      </c>
      <c r="F133" s="7">
        <v>3</v>
      </c>
      <c r="G133" s="7">
        <v>1</v>
      </c>
      <c r="H133" s="12">
        <v>1116</v>
      </c>
      <c r="I133" s="9">
        <f t="shared" si="4"/>
        <v>125.44802867383513</v>
      </c>
      <c r="J133" s="3" t="str">
        <f t="shared" si="5"/>
        <v>Low</v>
      </c>
    </row>
    <row r="134" spans="1:10">
      <c r="A134" s="4" t="s">
        <v>164</v>
      </c>
      <c r="B134" s="4" t="s">
        <v>93</v>
      </c>
      <c r="C134" s="4" t="s">
        <v>12</v>
      </c>
      <c r="D134" s="21">
        <v>140000</v>
      </c>
      <c r="E134" s="4">
        <v>0</v>
      </c>
      <c r="F134" s="4">
        <v>3</v>
      </c>
      <c r="G134" s="4">
        <v>2</v>
      </c>
      <c r="H134" s="4">
        <v>992</v>
      </c>
      <c r="I134" s="11">
        <f t="shared" si="4"/>
        <v>141.12903225806451</v>
      </c>
      <c r="J134" s="3" t="str">
        <f t="shared" si="5"/>
        <v>Low</v>
      </c>
    </row>
    <row r="135" spans="1:10">
      <c r="A135" s="7" t="s">
        <v>165</v>
      </c>
      <c r="B135" s="7" t="s">
        <v>42</v>
      </c>
      <c r="C135" s="7" t="s">
        <v>12</v>
      </c>
      <c r="D135" s="22">
        <v>140000</v>
      </c>
      <c r="E135" s="7">
        <v>13</v>
      </c>
      <c r="F135" s="7">
        <v>2</v>
      </c>
      <c r="G135" s="7">
        <v>1</v>
      </c>
      <c r="H135" s="12">
        <v>1019</v>
      </c>
      <c r="I135" s="9">
        <f t="shared" si="4"/>
        <v>137.38959764474976</v>
      </c>
      <c r="J135" s="3" t="str">
        <f t="shared" si="5"/>
        <v>Low</v>
      </c>
    </row>
    <row r="136" spans="1:10">
      <c r="A136" s="4" t="s">
        <v>166</v>
      </c>
      <c r="B136" s="4" t="s">
        <v>83</v>
      </c>
      <c r="C136" s="4" t="s">
        <v>12</v>
      </c>
      <c r="D136" s="21">
        <v>140000</v>
      </c>
      <c r="E136" s="4">
        <v>0</v>
      </c>
      <c r="F136" s="4">
        <v>3</v>
      </c>
      <c r="G136" s="4">
        <v>1</v>
      </c>
      <c r="H136" s="10">
        <v>1089</v>
      </c>
      <c r="I136" s="11">
        <f t="shared" si="4"/>
        <v>128.55831037649219</v>
      </c>
      <c r="J136" s="3" t="str">
        <f t="shared" si="5"/>
        <v>Low</v>
      </c>
    </row>
    <row r="137" spans="1:10">
      <c r="A137" s="7" t="s">
        <v>167</v>
      </c>
      <c r="B137" s="7" t="s">
        <v>14</v>
      </c>
      <c r="C137" s="7" t="s">
        <v>12</v>
      </c>
      <c r="D137" s="22">
        <v>140000</v>
      </c>
      <c r="E137" s="7">
        <v>6</v>
      </c>
      <c r="F137" s="7">
        <v>2</v>
      </c>
      <c r="G137" s="7">
        <v>1.1000000000000001</v>
      </c>
      <c r="H137" s="7">
        <v>936</v>
      </c>
      <c r="I137" s="9">
        <f t="shared" si="4"/>
        <v>149.57264957264957</v>
      </c>
      <c r="J137" s="3" t="str">
        <f t="shared" si="5"/>
        <v>Low</v>
      </c>
    </row>
    <row r="138" spans="1:10">
      <c r="A138" s="4" t="s">
        <v>168</v>
      </c>
      <c r="B138" s="4" t="s">
        <v>14</v>
      </c>
      <c r="C138" s="4" t="s">
        <v>12</v>
      </c>
      <c r="D138" s="21">
        <v>140000</v>
      </c>
      <c r="E138" s="4">
        <v>74</v>
      </c>
      <c r="F138" s="4">
        <v>3</v>
      </c>
      <c r="G138" s="4">
        <v>1</v>
      </c>
      <c r="H138" s="4">
        <v>994</v>
      </c>
      <c r="I138" s="11">
        <f t="shared" si="4"/>
        <v>140.8450704225352</v>
      </c>
      <c r="J138" s="3" t="str">
        <f t="shared" si="5"/>
        <v>Low</v>
      </c>
    </row>
    <row r="139" spans="1:10">
      <c r="A139" s="7" t="s">
        <v>169</v>
      </c>
      <c r="B139" s="7" t="s">
        <v>14</v>
      </c>
      <c r="C139" s="7" t="s">
        <v>12</v>
      </c>
      <c r="D139" s="22">
        <v>140000</v>
      </c>
      <c r="E139" s="7">
        <v>10</v>
      </c>
      <c r="F139" s="7">
        <v>0</v>
      </c>
      <c r="G139" s="7">
        <v>0.3</v>
      </c>
      <c r="H139" s="12">
        <v>1362</v>
      </c>
      <c r="I139" s="9">
        <f t="shared" si="4"/>
        <v>102.79001468428781</v>
      </c>
      <c r="J139" s="3" t="str">
        <f t="shared" si="5"/>
        <v>Low</v>
      </c>
    </row>
    <row r="140" spans="1:10">
      <c r="A140" s="4" t="s">
        <v>170</v>
      </c>
      <c r="B140" s="4" t="s">
        <v>14</v>
      </c>
      <c r="C140" s="4" t="s">
        <v>12</v>
      </c>
      <c r="D140" s="21">
        <v>140000</v>
      </c>
      <c r="E140" s="4">
        <v>109</v>
      </c>
      <c r="F140" s="4">
        <v>3</v>
      </c>
      <c r="G140" s="4">
        <v>2</v>
      </c>
      <c r="H140" s="10">
        <v>1969</v>
      </c>
      <c r="I140" s="11">
        <f t="shared" si="4"/>
        <v>71.102082275266639</v>
      </c>
      <c r="J140" s="3" t="str">
        <f t="shared" si="5"/>
        <v>Low</v>
      </c>
    </row>
    <row r="141" spans="1:10">
      <c r="A141" s="7" t="s">
        <v>171</v>
      </c>
      <c r="B141" s="7" t="s">
        <v>73</v>
      </c>
      <c r="C141" s="7" t="s">
        <v>12</v>
      </c>
      <c r="D141" s="22">
        <v>140000</v>
      </c>
      <c r="E141" s="7">
        <v>33</v>
      </c>
      <c r="F141" s="7">
        <v>3</v>
      </c>
      <c r="G141" s="7">
        <v>1.1000000000000001</v>
      </c>
      <c r="H141" s="12">
        <v>1848</v>
      </c>
      <c r="I141" s="9">
        <f t="shared" si="4"/>
        <v>75.757575757575751</v>
      </c>
      <c r="J141" s="3" t="str">
        <f t="shared" si="5"/>
        <v>Low</v>
      </c>
    </row>
    <row r="142" spans="1:10">
      <c r="A142" s="4" t="s">
        <v>172</v>
      </c>
      <c r="B142" s="4" t="s">
        <v>14</v>
      </c>
      <c r="C142" s="4" t="s">
        <v>12</v>
      </c>
      <c r="D142" s="21">
        <v>140000</v>
      </c>
      <c r="E142" s="4">
        <v>48</v>
      </c>
      <c r="F142" s="4">
        <v>4</v>
      </c>
      <c r="G142" s="4">
        <v>1</v>
      </c>
      <c r="H142" s="10">
        <v>1503</v>
      </c>
      <c r="I142" s="11">
        <f t="shared" si="4"/>
        <v>93.147039254823682</v>
      </c>
      <c r="J142" s="3" t="str">
        <f t="shared" si="5"/>
        <v>Low</v>
      </c>
    </row>
    <row r="143" spans="1:10">
      <c r="A143" s="7" t="s">
        <v>173</v>
      </c>
      <c r="B143" s="7" t="s">
        <v>36</v>
      </c>
      <c r="C143" s="7" t="s">
        <v>12</v>
      </c>
      <c r="D143" s="22">
        <v>140000</v>
      </c>
      <c r="E143" s="7">
        <v>108</v>
      </c>
      <c r="F143" s="7">
        <v>3</v>
      </c>
      <c r="G143" s="7">
        <v>1</v>
      </c>
      <c r="H143" s="7">
        <v>924</v>
      </c>
      <c r="I143" s="9">
        <f t="shared" si="4"/>
        <v>151.5151515151515</v>
      </c>
      <c r="J143" s="3" t="str">
        <f t="shared" si="5"/>
        <v>Low</v>
      </c>
    </row>
    <row r="144" spans="1:10">
      <c r="A144" s="4" t="s">
        <v>174</v>
      </c>
      <c r="B144" s="4" t="s">
        <v>42</v>
      </c>
      <c r="C144" s="4" t="s">
        <v>12</v>
      </c>
      <c r="D144" s="21">
        <v>141000</v>
      </c>
      <c r="E144" s="4">
        <v>27</v>
      </c>
      <c r="F144" s="4">
        <v>4</v>
      </c>
      <c r="G144" s="4">
        <v>1</v>
      </c>
      <c r="H144" s="10">
        <v>1175</v>
      </c>
      <c r="I144" s="11">
        <f t="shared" si="4"/>
        <v>120</v>
      </c>
      <c r="J144" s="3" t="str">
        <f t="shared" si="5"/>
        <v>Low</v>
      </c>
    </row>
    <row r="145" spans="1:10">
      <c r="A145" s="7" t="s">
        <v>175</v>
      </c>
      <c r="B145" s="7" t="s">
        <v>83</v>
      </c>
      <c r="C145" s="7" t="s">
        <v>12</v>
      </c>
      <c r="D145" s="22">
        <v>141000</v>
      </c>
      <c r="E145" s="7">
        <v>23</v>
      </c>
      <c r="F145" s="7">
        <v>3</v>
      </c>
      <c r="G145" s="7">
        <v>2</v>
      </c>
      <c r="H145" s="12">
        <v>1362</v>
      </c>
      <c r="I145" s="9">
        <f t="shared" si="4"/>
        <v>103.52422907488987</v>
      </c>
      <c r="J145" s="3" t="str">
        <f t="shared" si="5"/>
        <v>Low</v>
      </c>
    </row>
    <row r="146" spans="1:10">
      <c r="A146" s="4" t="s">
        <v>176</v>
      </c>
      <c r="B146" s="4" t="s">
        <v>83</v>
      </c>
      <c r="C146" s="4" t="s">
        <v>12</v>
      </c>
      <c r="D146" s="21">
        <v>142000</v>
      </c>
      <c r="E146" s="4">
        <v>8</v>
      </c>
      <c r="F146" s="4">
        <v>2</v>
      </c>
      <c r="G146" s="4">
        <v>1</v>
      </c>
      <c r="H146" s="4">
        <v>828</v>
      </c>
      <c r="I146" s="11">
        <f t="shared" si="4"/>
        <v>171.49758454106279</v>
      </c>
      <c r="J146" s="3" t="str">
        <f t="shared" si="5"/>
        <v>Low</v>
      </c>
    </row>
    <row r="147" spans="1:10">
      <c r="A147" s="7" t="s">
        <v>177</v>
      </c>
      <c r="B147" s="7" t="s">
        <v>42</v>
      </c>
      <c r="C147" s="7" t="s">
        <v>12</v>
      </c>
      <c r="D147" s="22">
        <v>143900</v>
      </c>
      <c r="E147" s="7">
        <v>8</v>
      </c>
      <c r="F147" s="7">
        <v>2</v>
      </c>
      <c r="G147" s="7">
        <v>1</v>
      </c>
      <c r="H147" s="7">
        <v>750</v>
      </c>
      <c r="I147" s="9">
        <f t="shared" si="4"/>
        <v>191.86666666666667</v>
      </c>
      <c r="J147" s="3" t="str">
        <f t="shared" si="5"/>
        <v>Low</v>
      </c>
    </row>
    <row r="148" spans="1:10">
      <c r="A148" s="4" t="s">
        <v>178</v>
      </c>
      <c r="B148" s="4" t="s">
        <v>11</v>
      </c>
      <c r="C148" s="4" t="s">
        <v>12</v>
      </c>
      <c r="D148" s="21">
        <v>144000</v>
      </c>
      <c r="E148" s="4">
        <v>2</v>
      </c>
      <c r="F148" s="4">
        <v>2</v>
      </c>
      <c r="G148" s="4">
        <v>2</v>
      </c>
      <c r="H148" s="10">
        <v>1179</v>
      </c>
      <c r="I148" s="11">
        <f t="shared" si="4"/>
        <v>122.13740458015268</v>
      </c>
      <c r="J148" s="3" t="str">
        <f t="shared" si="5"/>
        <v>Low</v>
      </c>
    </row>
    <row r="149" spans="1:10">
      <c r="A149" s="7" t="s">
        <v>179</v>
      </c>
      <c r="B149" s="7" t="s">
        <v>42</v>
      </c>
      <c r="C149" s="7" t="s">
        <v>12</v>
      </c>
      <c r="D149" s="22">
        <v>144500</v>
      </c>
      <c r="E149" s="7">
        <v>6</v>
      </c>
      <c r="F149" s="7">
        <v>2</v>
      </c>
      <c r="G149" s="7">
        <v>1</v>
      </c>
      <c r="H149" s="7">
        <v>707</v>
      </c>
      <c r="I149" s="9">
        <f t="shared" si="4"/>
        <v>204.38472418670437</v>
      </c>
      <c r="J149" s="3" t="str">
        <f t="shared" si="5"/>
        <v>Medium</v>
      </c>
    </row>
    <row r="150" spans="1:10">
      <c r="A150" s="4" t="s">
        <v>180</v>
      </c>
      <c r="B150" s="4" t="s">
        <v>11</v>
      </c>
      <c r="C150" s="4" t="s">
        <v>12</v>
      </c>
      <c r="D150" s="21">
        <v>145000</v>
      </c>
      <c r="E150" s="4">
        <v>7</v>
      </c>
      <c r="F150" s="4">
        <v>2</v>
      </c>
      <c r="G150" s="4">
        <v>1</v>
      </c>
      <c r="H150" s="4">
        <v>795</v>
      </c>
      <c r="I150" s="11">
        <f t="shared" si="4"/>
        <v>182.38993710691824</v>
      </c>
      <c r="J150" s="3" t="str">
        <f t="shared" si="5"/>
        <v>Low</v>
      </c>
    </row>
    <row r="151" spans="1:10">
      <c r="A151" s="7" t="s">
        <v>181</v>
      </c>
      <c r="B151" s="7" t="s">
        <v>36</v>
      </c>
      <c r="C151" s="7" t="s">
        <v>12</v>
      </c>
      <c r="D151" s="22">
        <v>145000</v>
      </c>
      <c r="E151" s="7">
        <v>25</v>
      </c>
      <c r="F151" s="7">
        <v>4</v>
      </c>
      <c r="G151" s="7">
        <v>1</v>
      </c>
      <c r="H151" s="12">
        <v>1085</v>
      </c>
      <c r="I151" s="9">
        <f t="shared" si="4"/>
        <v>133.64055299539172</v>
      </c>
      <c r="J151" s="3" t="str">
        <f t="shared" si="5"/>
        <v>Low</v>
      </c>
    </row>
    <row r="152" spans="1:10">
      <c r="A152" s="4" t="s">
        <v>182</v>
      </c>
      <c r="B152" s="4" t="s">
        <v>73</v>
      </c>
      <c r="C152" s="4" t="s">
        <v>12</v>
      </c>
      <c r="D152" s="21">
        <v>145000</v>
      </c>
      <c r="E152" s="4">
        <v>24</v>
      </c>
      <c r="F152" s="4">
        <v>3</v>
      </c>
      <c r="G152" s="4">
        <v>1</v>
      </c>
      <c r="H152" s="10">
        <v>1008</v>
      </c>
      <c r="I152" s="11">
        <f t="shared" si="4"/>
        <v>143.84920634920636</v>
      </c>
      <c r="J152" s="3" t="str">
        <f t="shared" si="5"/>
        <v>Low</v>
      </c>
    </row>
    <row r="153" spans="1:10">
      <c r="A153" s="7" t="s">
        <v>183</v>
      </c>
      <c r="B153" s="7" t="s">
        <v>36</v>
      </c>
      <c r="C153" s="7" t="s">
        <v>12</v>
      </c>
      <c r="D153" s="22">
        <v>145000</v>
      </c>
      <c r="E153" s="7">
        <v>18</v>
      </c>
      <c r="F153" s="7">
        <v>3</v>
      </c>
      <c r="G153" s="7">
        <v>1</v>
      </c>
      <c r="H153" s="7">
        <v>977</v>
      </c>
      <c r="I153" s="9">
        <f t="shared" si="4"/>
        <v>148.41351074718526</v>
      </c>
      <c r="J153" s="3" t="str">
        <f t="shared" si="5"/>
        <v>Low</v>
      </c>
    </row>
    <row r="154" spans="1:10">
      <c r="A154" s="4" t="s">
        <v>184</v>
      </c>
      <c r="B154" s="4" t="s">
        <v>14</v>
      </c>
      <c r="C154" s="4" t="s">
        <v>12</v>
      </c>
      <c r="D154" s="21">
        <v>145000</v>
      </c>
      <c r="E154" s="4">
        <v>17</v>
      </c>
      <c r="F154" s="4">
        <v>3</v>
      </c>
      <c r="G154" s="4">
        <v>2</v>
      </c>
      <c r="H154" s="10">
        <v>1430</v>
      </c>
      <c r="I154" s="11">
        <f t="shared" si="4"/>
        <v>101.3986013986014</v>
      </c>
      <c r="J154" s="3" t="str">
        <f t="shared" si="5"/>
        <v>Low</v>
      </c>
    </row>
    <row r="155" spans="1:10">
      <c r="A155" s="7" t="s">
        <v>185</v>
      </c>
      <c r="B155" s="7" t="s">
        <v>42</v>
      </c>
      <c r="C155" s="7" t="s">
        <v>12</v>
      </c>
      <c r="D155" s="22">
        <v>146000</v>
      </c>
      <c r="E155" s="7">
        <v>12</v>
      </c>
      <c r="F155" s="7">
        <v>3</v>
      </c>
      <c r="G155" s="7">
        <v>1</v>
      </c>
      <c r="H155" s="12">
        <v>1258</v>
      </c>
      <c r="I155" s="9">
        <f t="shared" si="4"/>
        <v>116.05723370429253</v>
      </c>
      <c r="J155" s="3" t="str">
        <f t="shared" si="5"/>
        <v>Low</v>
      </c>
    </row>
    <row r="156" spans="1:10">
      <c r="A156" s="4" t="s">
        <v>186</v>
      </c>
      <c r="B156" s="4" t="s">
        <v>14</v>
      </c>
      <c r="C156" s="4" t="s">
        <v>12</v>
      </c>
      <c r="D156" s="21">
        <v>147000</v>
      </c>
      <c r="E156" s="4">
        <v>131</v>
      </c>
      <c r="F156" s="4">
        <v>2</v>
      </c>
      <c r="G156" s="4">
        <v>1</v>
      </c>
      <c r="H156" s="4">
        <v>860</v>
      </c>
      <c r="I156" s="11">
        <f t="shared" si="4"/>
        <v>170.93023255813952</v>
      </c>
      <c r="J156" s="3" t="str">
        <f t="shared" si="5"/>
        <v>Low</v>
      </c>
    </row>
    <row r="157" spans="1:10">
      <c r="A157" s="7" t="s">
        <v>187</v>
      </c>
      <c r="B157" s="7" t="s">
        <v>36</v>
      </c>
      <c r="C157" s="7" t="s">
        <v>12</v>
      </c>
      <c r="D157" s="22">
        <v>147000</v>
      </c>
      <c r="E157" s="7">
        <v>15</v>
      </c>
      <c r="F157" s="7">
        <v>2</v>
      </c>
      <c r="G157" s="7">
        <v>1</v>
      </c>
      <c r="H157" s="12">
        <v>1039</v>
      </c>
      <c r="I157" s="9">
        <f t="shared" si="4"/>
        <v>141.48219441770934</v>
      </c>
      <c r="J157" s="3" t="str">
        <f t="shared" si="5"/>
        <v>Low</v>
      </c>
    </row>
    <row r="158" spans="1:10">
      <c r="A158" s="4" t="s">
        <v>188</v>
      </c>
      <c r="B158" s="4" t="s">
        <v>14</v>
      </c>
      <c r="C158" s="4" t="s">
        <v>12</v>
      </c>
      <c r="D158" s="21">
        <v>148000</v>
      </c>
      <c r="E158" s="4">
        <v>3</v>
      </c>
      <c r="F158" s="4">
        <v>3</v>
      </c>
      <c r="G158" s="4">
        <v>1.1000000000000001</v>
      </c>
      <c r="H158" s="10">
        <v>1022</v>
      </c>
      <c r="I158" s="11">
        <f t="shared" si="4"/>
        <v>144.81409001956948</v>
      </c>
      <c r="J158" s="3" t="str">
        <f t="shared" si="5"/>
        <v>Low</v>
      </c>
    </row>
    <row r="159" spans="1:10">
      <c r="A159" s="7" t="s">
        <v>189</v>
      </c>
      <c r="B159" s="7" t="s">
        <v>36</v>
      </c>
      <c r="C159" s="7" t="s">
        <v>12</v>
      </c>
      <c r="D159" s="22">
        <v>148000</v>
      </c>
      <c r="E159" s="7">
        <v>27</v>
      </c>
      <c r="F159" s="7">
        <v>3</v>
      </c>
      <c r="G159" s="7">
        <v>1</v>
      </c>
      <c r="H159" s="7">
        <v>965</v>
      </c>
      <c r="I159" s="9">
        <f t="shared" si="4"/>
        <v>153.3678756476684</v>
      </c>
      <c r="J159" s="3" t="str">
        <f t="shared" si="5"/>
        <v>Low</v>
      </c>
    </row>
    <row r="160" spans="1:10">
      <c r="A160" s="4" t="s">
        <v>190</v>
      </c>
      <c r="B160" s="4" t="s">
        <v>191</v>
      </c>
      <c r="C160" s="4" t="s">
        <v>12</v>
      </c>
      <c r="D160" s="21">
        <v>148250</v>
      </c>
      <c r="E160" s="4">
        <v>16</v>
      </c>
      <c r="F160" s="4">
        <v>2</v>
      </c>
      <c r="G160" s="4">
        <v>1</v>
      </c>
      <c r="H160" s="4">
        <v>627</v>
      </c>
      <c r="I160" s="11">
        <f t="shared" si="4"/>
        <v>236.4433811802233</v>
      </c>
      <c r="J160" s="3" t="str">
        <f t="shared" si="5"/>
        <v>Medium</v>
      </c>
    </row>
    <row r="161" spans="1:10">
      <c r="A161" s="7" t="s">
        <v>192</v>
      </c>
      <c r="B161" s="7" t="s">
        <v>29</v>
      </c>
      <c r="C161" s="7" t="s">
        <v>12</v>
      </c>
      <c r="D161" s="22">
        <v>149000</v>
      </c>
      <c r="E161" s="7">
        <v>2</v>
      </c>
      <c r="F161" s="7">
        <v>2</v>
      </c>
      <c r="G161" s="7">
        <v>2</v>
      </c>
      <c r="H161" s="7">
        <v>802</v>
      </c>
      <c r="I161" s="9">
        <f t="shared" si="4"/>
        <v>185.78553615960101</v>
      </c>
      <c r="J161" s="3" t="str">
        <f t="shared" si="5"/>
        <v>Low</v>
      </c>
    </row>
    <row r="162" spans="1:10">
      <c r="A162" s="4" t="s">
        <v>193</v>
      </c>
      <c r="B162" s="4" t="s">
        <v>14</v>
      </c>
      <c r="C162" s="4" t="s">
        <v>12</v>
      </c>
      <c r="D162" s="21">
        <v>149900</v>
      </c>
      <c r="E162" s="4">
        <v>19</v>
      </c>
      <c r="F162" s="4">
        <v>3</v>
      </c>
      <c r="G162" s="4">
        <v>1</v>
      </c>
      <c r="H162" s="10">
        <v>1252</v>
      </c>
      <c r="I162" s="11">
        <f t="shared" si="4"/>
        <v>119.72843450479233</v>
      </c>
      <c r="J162" s="3" t="str">
        <f t="shared" si="5"/>
        <v>Low</v>
      </c>
    </row>
    <row r="163" spans="1:10">
      <c r="A163" s="7" t="s">
        <v>194</v>
      </c>
      <c r="B163" s="7" t="s">
        <v>131</v>
      </c>
      <c r="C163" s="7" t="s">
        <v>12</v>
      </c>
      <c r="D163" s="22">
        <v>150000</v>
      </c>
      <c r="E163" s="7">
        <v>4</v>
      </c>
      <c r="F163" s="7">
        <v>2</v>
      </c>
      <c r="G163" s="7">
        <v>1</v>
      </c>
      <c r="H163" s="7">
        <v>905</v>
      </c>
      <c r="I163" s="9">
        <f t="shared" si="4"/>
        <v>165.74585635359117</v>
      </c>
      <c r="J163" s="3" t="str">
        <f t="shared" si="5"/>
        <v>Low</v>
      </c>
    </row>
    <row r="164" spans="1:10">
      <c r="A164" s="4" t="s">
        <v>195</v>
      </c>
      <c r="B164" s="4" t="s">
        <v>36</v>
      </c>
      <c r="C164" s="4" t="s">
        <v>12</v>
      </c>
      <c r="D164" s="21">
        <v>150000</v>
      </c>
      <c r="E164" s="4">
        <v>13</v>
      </c>
      <c r="F164" s="4">
        <v>2</v>
      </c>
      <c r="G164" s="4">
        <v>1</v>
      </c>
      <c r="H164" s="4">
        <v>800</v>
      </c>
      <c r="I164" s="11">
        <f t="shared" si="4"/>
        <v>187.5</v>
      </c>
      <c r="J164" s="3" t="str">
        <f t="shared" si="5"/>
        <v>Low</v>
      </c>
    </row>
    <row r="165" spans="1:10">
      <c r="A165" s="7" t="s">
        <v>196</v>
      </c>
      <c r="B165" s="7" t="s">
        <v>36</v>
      </c>
      <c r="C165" s="7" t="s">
        <v>12</v>
      </c>
      <c r="D165" s="22">
        <v>150000</v>
      </c>
      <c r="E165" s="7">
        <v>65</v>
      </c>
      <c r="F165" s="7">
        <v>3</v>
      </c>
      <c r="G165" s="7">
        <v>2</v>
      </c>
      <c r="H165" s="12">
        <v>1400</v>
      </c>
      <c r="I165" s="9">
        <f t="shared" si="4"/>
        <v>107.14285714285714</v>
      </c>
      <c r="J165" s="3" t="str">
        <f t="shared" si="5"/>
        <v>Low</v>
      </c>
    </row>
    <row r="166" spans="1:10">
      <c r="A166" s="4" t="s">
        <v>197</v>
      </c>
      <c r="B166" s="4" t="s">
        <v>36</v>
      </c>
      <c r="C166" s="4" t="s">
        <v>12</v>
      </c>
      <c r="D166" s="21">
        <v>150000</v>
      </c>
      <c r="E166" s="4">
        <v>134</v>
      </c>
      <c r="F166" s="4">
        <v>3</v>
      </c>
      <c r="G166" s="4">
        <v>1</v>
      </c>
      <c r="H166" s="10">
        <v>1001</v>
      </c>
      <c r="I166" s="11">
        <f t="shared" si="4"/>
        <v>149.85014985014985</v>
      </c>
      <c r="J166" s="3" t="str">
        <f t="shared" si="5"/>
        <v>Low</v>
      </c>
    </row>
    <row r="167" spans="1:10">
      <c r="A167" s="7" t="s">
        <v>198</v>
      </c>
      <c r="B167" s="7" t="s">
        <v>117</v>
      </c>
      <c r="C167" s="7" t="s">
        <v>12</v>
      </c>
      <c r="D167" s="22">
        <v>150000</v>
      </c>
      <c r="E167" s="7">
        <v>7</v>
      </c>
      <c r="F167" s="7">
        <v>2</v>
      </c>
      <c r="G167" s="7">
        <v>1</v>
      </c>
      <c r="H167" s="7">
        <v>966</v>
      </c>
      <c r="I167" s="9">
        <f t="shared" si="4"/>
        <v>155.27950310559007</v>
      </c>
      <c r="J167" s="3" t="str">
        <f t="shared" si="5"/>
        <v>Low</v>
      </c>
    </row>
    <row r="168" spans="1:10">
      <c r="A168" s="4" t="s">
        <v>199</v>
      </c>
      <c r="B168" s="4" t="s">
        <v>14</v>
      </c>
      <c r="C168" s="4" t="s">
        <v>12</v>
      </c>
      <c r="D168" s="21">
        <v>150000</v>
      </c>
      <c r="E168" s="4">
        <v>7</v>
      </c>
      <c r="F168" s="4">
        <v>4</v>
      </c>
      <c r="G168" s="4">
        <v>2</v>
      </c>
      <c r="H168" s="10">
        <v>1505</v>
      </c>
      <c r="I168" s="11">
        <f t="shared" si="4"/>
        <v>99.667774086378742</v>
      </c>
      <c r="J168" s="3" t="str">
        <f t="shared" si="5"/>
        <v>Low</v>
      </c>
    </row>
    <row r="169" spans="1:10">
      <c r="A169" s="7" t="s">
        <v>200</v>
      </c>
      <c r="B169" s="7" t="s">
        <v>77</v>
      </c>
      <c r="C169" s="7" t="s">
        <v>12</v>
      </c>
      <c r="D169" s="22">
        <v>150000</v>
      </c>
      <c r="E169" s="7">
        <v>45</v>
      </c>
      <c r="F169" s="7">
        <v>3</v>
      </c>
      <c r="G169" s="7">
        <v>1</v>
      </c>
      <c r="H169" s="7">
        <v>942</v>
      </c>
      <c r="I169" s="9">
        <f t="shared" si="4"/>
        <v>159.23566878980893</v>
      </c>
      <c r="J169" s="3" t="str">
        <f t="shared" si="5"/>
        <v>Low</v>
      </c>
    </row>
    <row r="170" spans="1:10">
      <c r="A170" s="4" t="s">
        <v>201</v>
      </c>
      <c r="B170" s="4" t="s">
        <v>54</v>
      </c>
      <c r="C170" s="4" t="s">
        <v>12</v>
      </c>
      <c r="D170" s="21">
        <v>150000</v>
      </c>
      <c r="E170" s="4">
        <v>8</v>
      </c>
      <c r="F170" s="4">
        <v>5</v>
      </c>
      <c r="G170" s="4">
        <v>2</v>
      </c>
      <c r="H170" s="10">
        <v>2213</v>
      </c>
      <c r="I170" s="11">
        <f t="shared" si="4"/>
        <v>67.781292363307728</v>
      </c>
      <c r="J170" s="3" t="str">
        <f t="shared" si="5"/>
        <v>Low</v>
      </c>
    </row>
    <row r="171" spans="1:10">
      <c r="A171" s="7" t="s">
        <v>202</v>
      </c>
      <c r="B171" s="7" t="s">
        <v>14</v>
      </c>
      <c r="C171" s="7" t="s">
        <v>12</v>
      </c>
      <c r="D171" s="22">
        <v>151000</v>
      </c>
      <c r="E171" s="7">
        <v>6</v>
      </c>
      <c r="F171" s="7">
        <v>3</v>
      </c>
      <c r="G171" s="7">
        <v>1</v>
      </c>
      <c r="H171" s="12">
        <v>1172</v>
      </c>
      <c r="I171" s="9">
        <f t="shared" si="4"/>
        <v>128.83959044368601</v>
      </c>
      <c r="J171" s="3" t="str">
        <f t="shared" si="5"/>
        <v>Low</v>
      </c>
    </row>
    <row r="172" spans="1:10">
      <c r="A172" s="4" t="s">
        <v>203</v>
      </c>
      <c r="B172" s="4" t="s">
        <v>11</v>
      </c>
      <c r="C172" s="4" t="s">
        <v>12</v>
      </c>
      <c r="D172" s="21">
        <v>152000</v>
      </c>
      <c r="E172" s="4">
        <v>23</v>
      </c>
      <c r="F172" s="4">
        <v>3</v>
      </c>
      <c r="G172" s="4">
        <v>2</v>
      </c>
      <c r="H172" s="10">
        <v>1839</v>
      </c>
      <c r="I172" s="11">
        <f t="shared" si="4"/>
        <v>82.65361609570418</v>
      </c>
      <c r="J172" s="3" t="str">
        <f t="shared" si="5"/>
        <v>Low</v>
      </c>
    </row>
    <row r="173" spans="1:10">
      <c r="A173" s="7" t="s">
        <v>204</v>
      </c>
      <c r="B173" s="7" t="s">
        <v>11</v>
      </c>
      <c r="C173" s="7" t="s">
        <v>12</v>
      </c>
      <c r="D173" s="22">
        <v>152500</v>
      </c>
      <c r="E173" s="7">
        <v>10</v>
      </c>
      <c r="F173" s="7">
        <v>3</v>
      </c>
      <c r="G173" s="7">
        <v>1</v>
      </c>
      <c r="H173" s="12">
        <v>1200</v>
      </c>
      <c r="I173" s="9">
        <f t="shared" si="4"/>
        <v>127.08333333333333</v>
      </c>
      <c r="J173" s="3" t="str">
        <f t="shared" si="5"/>
        <v>Low</v>
      </c>
    </row>
    <row r="174" spans="1:10">
      <c r="A174" s="4" t="s">
        <v>205</v>
      </c>
      <c r="B174" s="4" t="s">
        <v>42</v>
      </c>
      <c r="C174" s="4" t="s">
        <v>12</v>
      </c>
      <c r="D174" s="21">
        <v>153000</v>
      </c>
      <c r="E174" s="4">
        <v>83</v>
      </c>
      <c r="F174" s="4">
        <v>2</v>
      </c>
      <c r="G174" s="4">
        <v>1</v>
      </c>
      <c r="H174" s="4">
        <v>724</v>
      </c>
      <c r="I174" s="11">
        <f t="shared" si="4"/>
        <v>211.32596685082873</v>
      </c>
      <c r="J174" s="3" t="str">
        <f t="shared" si="5"/>
        <v>Medium</v>
      </c>
    </row>
    <row r="175" spans="1:10">
      <c r="A175" s="7" t="s">
        <v>206</v>
      </c>
      <c r="B175" s="7" t="s">
        <v>36</v>
      </c>
      <c r="C175" s="7" t="s">
        <v>12</v>
      </c>
      <c r="D175" s="22">
        <v>154000</v>
      </c>
      <c r="E175" s="7">
        <v>25</v>
      </c>
      <c r="F175" s="7">
        <v>2</v>
      </c>
      <c r="G175" s="7">
        <v>1</v>
      </c>
      <c r="H175" s="7">
        <v>647</v>
      </c>
      <c r="I175" s="9">
        <f t="shared" si="4"/>
        <v>238.02163833075736</v>
      </c>
      <c r="J175" s="3" t="str">
        <f t="shared" si="5"/>
        <v>Medium</v>
      </c>
    </row>
    <row r="176" spans="1:10">
      <c r="A176" s="4" t="s">
        <v>207</v>
      </c>
      <c r="B176" s="4" t="s">
        <v>42</v>
      </c>
      <c r="C176" s="4" t="s">
        <v>12</v>
      </c>
      <c r="D176" s="21">
        <v>154500</v>
      </c>
      <c r="E176" s="4">
        <v>5</v>
      </c>
      <c r="F176" s="4">
        <v>2</v>
      </c>
      <c r="G176" s="4">
        <v>1</v>
      </c>
      <c r="H176" s="4">
        <v>696</v>
      </c>
      <c r="I176" s="11">
        <f t="shared" si="4"/>
        <v>221.98275862068965</v>
      </c>
      <c r="J176" s="3" t="str">
        <f t="shared" si="5"/>
        <v>Medium</v>
      </c>
    </row>
    <row r="177" spans="1:10">
      <c r="A177" s="7" t="s">
        <v>208</v>
      </c>
      <c r="B177" s="7" t="s">
        <v>25</v>
      </c>
      <c r="C177" s="7" t="s">
        <v>12</v>
      </c>
      <c r="D177" s="22">
        <v>154900</v>
      </c>
      <c r="E177" s="7">
        <v>2</v>
      </c>
      <c r="F177" s="7">
        <v>2</v>
      </c>
      <c r="G177" s="7">
        <v>1</v>
      </c>
      <c r="H177" s="7">
        <v>844</v>
      </c>
      <c r="I177" s="9">
        <f t="shared" si="4"/>
        <v>183.53080568720378</v>
      </c>
      <c r="J177" s="3" t="str">
        <f t="shared" si="5"/>
        <v>Low</v>
      </c>
    </row>
    <row r="178" spans="1:10">
      <c r="A178" s="4" t="s">
        <v>209</v>
      </c>
      <c r="B178" s="4" t="s">
        <v>14</v>
      </c>
      <c r="C178" s="4" t="s">
        <v>12</v>
      </c>
      <c r="D178" s="21">
        <v>155000</v>
      </c>
      <c r="E178" s="4">
        <v>9</v>
      </c>
      <c r="F178" s="4">
        <v>3</v>
      </c>
      <c r="G178" s="4">
        <v>1.1000000000000001</v>
      </c>
      <c r="H178" s="4">
        <v>939</v>
      </c>
      <c r="I178" s="11">
        <f t="shared" si="4"/>
        <v>165.06922257720979</v>
      </c>
      <c r="J178" s="3" t="str">
        <f t="shared" si="5"/>
        <v>Low</v>
      </c>
    </row>
    <row r="179" spans="1:10">
      <c r="A179" s="7" t="s">
        <v>210</v>
      </c>
      <c r="B179" s="7" t="s">
        <v>36</v>
      </c>
      <c r="C179" s="7" t="s">
        <v>12</v>
      </c>
      <c r="D179" s="22">
        <v>155000</v>
      </c>
      <c r="E179" s="7">
        <v>84</v>
      </c>
      <c r="F179" s="7">
        <v>2</v>
      </c>
      <c r="G179" s="7">
        <v>1</v>
      </c>
      <c r="H179" s="7">
        <v>900</v>
      </c>
      <c r="I179" s="9">
        <f t="shared" si="4"/>
        <v>172.22222222222223</v>
      </c>
      <c r="J179" s="3" t="str">
        <f t="shared" si="5"/>
        <v>Low</v>
      </c>
    </row>
    <row r="180" spans="1:10">
      <c r="A180" s="4" t="s">
        <v>211</v>
      </c>
      <c r="B180" s="4" t="s">
        <v>212</v>
      </c>
      <c r="C180" s="4" t="s">
        <v>12</v>
      </c>
      <c r="D180" s="21">
        <v>155000</v>
      </c>
      <c r="E180" s="4">
        <v>10</v>
      </c>
      <c r="F180" s="4">
        <v>1</v>
      </c>
      <c r="G180" s="4">
        <v>1</v>
      </c>
      <c r="H180" s="4">
        <v>852</v>
      </c>
      <c r="I180" s="11">
        <f t="shared" si="4"/>
        <v>181.92488262910797</v>
      </c>
      <c r="J180" s="3" t="str">
        <f t="shared" si="5"/>
        <v>Low</v>
      </c>
    </row>
    <row r="181" spans="1:10">
      <c r="A181" s="7" t="s">
        <v>213</v>
      </c>
      <c r="B181" s="7" t="s">
        <v>83</v>
      </c>
      <c r="C181" s="7" t="s">
        <v>12</v>
      </c>
      <c r="D181" s="22">
        <v>155000</v>
      </c>
      <c r="E181" s="7">
        <v>141</v>
      </c>
      <c r="F181" s="7">
        <v>3</v>
      </c>
      <c r="G181" s="7">
        <v>1</v>
      </c>
      <c r="H181" s="7">
        <v>998</v>
      </c>
      <c r="I181" s="9">
        <f t="shared" si="4"/>
        <v>155.31062124248496</v>
      </c>
      <c r="J181" s="3" t="str">
        <f t="shared" si="5"/>
        <v>Low</v>
      </c>
    </row>
    <row r="182" spans="1:10">
      <c r="A182" s="4" t="s">
        <v>214</v>
      </c>
      <c r="B182" s="4" t="s">
        <v>42</v>
      </c>
      <c r="C182" s="4" t="s">
        <v>12</v>
      </c>
      <c r="D182" s="21">
        <v>155000</v>
      </c>
      <c r="E182" s="4">
        <v>17</v>
      </c>
      <c r="F182" s="4">
        <v>2</v>
      </c>
      <c r="G182" s="4">
        <v>1</v>
      </c>
      <c r="H182" s="4">
        <v>696</v>
      </c>
      <c r="I182" s="11">
        <f t="shared" si="4"/>
        <v>222.70114942528735</v>
      </c>
      <c r="J182" s="3" t="str">
        <f t="shared" si="5"/>
        <v>Medium</v>
      </c>
    </row>
    <row r="183" spans="1:10">
      <c r="A183" s="7" t="s">
        <v>215</v>
      </c>
      <c r="B183" s="7" t="s">
        <v>25</v>
      </c>
      <c r="C183" s="7" t="s">
        <v>12</v>
      </c>
      <c r="D183" s="22">
        <v>155000</v>
      </c>
      <c r="E183" s="7">
        <v>7</v>
      </c>
      <c r="F183" s="7">
        <v>2</v>
      </c>
      <c r="G183" s="7">
        <v>1</v>
      </c>
      <c r="H183" s="7">
        <v>888</v>
      </c>
      <c r="I183" s="9">
        <f t="shared" si="4"/>
        <v>174.54954954954954</v>
      </c>
      <c r="J183" s="3" t="str">
        <f t="shared" si="5"/>
        <v>Low</v>
      </c>
    </row>
    <row r="184" spans="1:10">
      <c r="A184" s="4" t="s">
        <v>216</v>
      </c>
      <c r="B184" s="4" t="s">
        <v>42</v>
      </c>
      <c r="C184" s="4" t="s">
        <v>12</v>
      </c>
      <c r="D184" s="21">
        <v>155000</v>
      </c>
      <c r="E184" s="4">
        <v>52</v>
      </c>
      <c r="F184" s="4">
        <v>3</v>
      </c>
      <c r="G184" s="4">
        <v>2</v>
      </c>
      <c r="H184" s="10">
        <v>1052</v>
      </c>
      <c r="I184" s="11">
        <f t="shared" si="4"/>
        <v>147.3384030418251</v>
      </c>
      <c r="J184" s="3" t="str">
        <f t="shared" si="5"/>
        <v>Low</v>
      </c>
    </row>
    <row r="185" spans="1:10">
      <c r="A185" s="7" t="s">
        <v>217</v>
      </c>
      <c r="B185" s="7" t="s">
        <v>83</v>
      </c>
      <c r="C185" s="7" t="s">
        <v>12</v>
      </c>
      <c r="D185" s="22">
        <v>155000</v>
      </c>
      <c r="E185" s="7">
        <v>53</v>
      </c>
      <c r="F185" s="7">
        <v>3</v>
      </c>
      <c r="G185" s="7">
        <v>1.1000000000000001</v>
      </c>
      <c r="H185" s="12">
        <v>1650</v>
      </c>
      <c r="I185" s="9">
        <f t="shared" si="4"/>
        <v>93.939393939393938</v>
      </c>
      <c r="J185" s="3" t="str">
        <f t="shared" si="5"/>
        <v>Low</v>
      </c>
    </row>
    <row r="186" spans="1:10">
      <c r="A186" s="4" t="s">
        <v>218</v>
      </c>
      <c r="B186" s="4" t="s">
        <v>14</v>
      </c>
      <c r="C186" s="4" t="s">
        <v>12</v>
      </c>
      <c r="D186" s="21">
        <v>156000</v>
      </c>
      <c r="E186" s="4">
        <v>47</v>
      </c>
      <c r="F186" s="4">
        <v>2</v>
      </c>
      <c r="G186" s="4">
        <v>1</v>
      </c>
      <c r="H186" s="4">
        <v>886</v>
      </c>
      <c r="I186" s="11">
        <f t="shared" si="4"/>
        <v>176.07223476297969</v>
      </c>
      <c r="J186" s="3" t="str">
        <f t="shared" si="5"/>
        <v>Low</v>
      </c>
    </row>
    <row r="187" spans="1:10">
      <c r="A187" s="7" t="s">
        <v>219</v>
      </c>
      <c r="B187" s="7" t="s">
        <v>83</v>
      </c>
      <c r="C187" s="7" t="s">
        <v>12</v>
      </c>
      <c r="D187" s="22">
        <v>157500</v>
      </c>
      <c r="E187" s="7">
        <v>14</v>
      </c>
      <c r="F187" s="7">
        <v>3</v>
      </c>
      <c r="G187" s="7">
        <v>1.1000000000000001</v>
      </c>
      <c r="H187" s="12">
        <v>1386</v>
      </c>
      <c r="I187" s="9">
        <f t="shared" si="4"/>
        <v>113.63636363636364</v>
      </c>
      <c r="J187" s="3" t="str">
        <f t="shared" si="5"/>
        <v>Low</v>
      </c>
    </row>
    <row r="188" spans="1:10">
      <c r="A188" s="4" t="s">
        <v>220</v>
      </c>
      <c r="B188" s="4" t="s">
        <v>29</v>
      </c>
      <c r="C188" s="4" t="s">
        <v>12</v>
      </c>
      <c r="D188" s="21">
        <v>158000</v>
      </c>
      <c r="E188" s="4">
        <v>13</v>
      </c>
      <c r="F188" s="4">
        <v>2</v>
      </c>
      <c r="G188" s="4">
        <v>1</v>
      </c>
      <c r="H188" s="4">
        <v>896</v>
      </c>
      <c r="I188" s="11">
        <f t="shared" si="4"/>
        <v>176.33928571428572</v>
      </c>
      <c r="J188" s="3" t="str">
        <f t="shared" si="5"/>
        <v>Low</v>
      </c>
    </row>
    <row r="189" spans="1:10">
      <c r="A189" s="7" t="s">
        <v>221</v>
      </c>
      <c r="B189" s="7" t="s">
        <v>14</v>
      </c>
      <c r="C189" s="7" t="s">
        <v>12</v>
      </c>
      <c r="D189" s="22">
        <v>158000</v>
      </c>
      <c r="E189" s="7">
        <v>38</v>
      </c>
      <c r="F189" s="7">
        <v>3</v>
      </c>
      <c r="G189" s="7">
        <v>1</v>
      </c>
      <c r="H189" s="12">
        <v>1150</v>
      </c>
      <c r="I189" s="9">
        <f t="shared" si="4"/>
        <v>137.39130434782609</v>
      </c>
      <c r="J189" s="3" t="str">
        <f t="shared" si="5"/>
        <v>Low</v>
      </c>
    </row>
    <row r="190" spans="1:10">
      <c r="A190" s="4" t="s">
        <v>222</v>
      </c>
      <c r="B190" s="4" t="s">
        <v>42</v>
      </c>
      <c r="C190" s="4" t="s">
        <v>12</v>
      </c>
      <c r="D190" s="21">
        <v>159500</v>
      </c>
      <c r="E190" s="4">
        <v>38</v>
      </c>
      <c r="F190" s="4">
        <v>2</v>
      </c>
      <c r="G190" s="4">
        <v>1</v>
      </c>
      <c r="H190" s="4">
        <v>768</v>
      </c>
      <c r="I190" s="11">
        <f t="shared" si="4"/>
        <v>207.68229166666666</v>
      </c>
      <c r="J190" s="3" t="str">
        <f t="shared" si="5"/>
        <v>Medium</v>
      </c>
    </row>
    <row r="191" spans="1:10">
      <c r="A191" s="7" t="s">
        <v>223</v>
      </c>
      <c r="B191" s="7" t="s">
        <v>83</v>
      </c>
      <c r="C191" s="7" t="s">
        <v>12</v>
      </c>
      <c r="D191" s="22">
        <v>160000</v>
      </c>
      <c r="E191" s="7">
        <v>6</v>
      </c>
      <c r="F191" s="7">
        <v>2</v>
      </c>
      <c r="G191" s="7">
        <v>1</v>
      </c>
      <c r="H191" s="12">
        <v>1218</v>
      </c>
      <c r="I191" s="9">
        <f t="shared" si="4"/>
        <v>131.36288998357963</v>
      </c>
      <c r="J191" s="3" t="str">
        <f t="shared" si="5"/>
        <v>Low</v>
      </c>
    </row>
    <row r="192" spans="1:10">
      <c r="A192" s="4" t="s">
        <v>224</v>
      </c>
      <c r="B192" s="4" t="s">
        <v>36</v>
      </c>
      <c r="C192" s="4" t="s">
        <v>12</v>
      </c>
      <c r="D192" s="21">
        <v>160000</v>
      </c>
      <c r="E192" s="4">
        <v>10</v>
      </c>
      <c r="F192" s="4">
        <v>2</v>
      </c>
      <c r="G192" s="4">
        <v>1</v>
      </c>
      <c r="H192" s="4">
        <v>701</v>
      </c>
      <c r="I192" s="11">
        <f t="shared" si="4"/>
        <v>228.24536376604851</v>
      </c>
      <c r="J192" s="3" t="str">
        <f t="shared" si="5"/>
        <v>Medium</v>
      </c>
    </row>
    <row r="193" spans="1:10">
      <c r="A193" s="7" t="s">
        <v>225</v>
      </c>
      <c r="B193" s="7" t="s">
        <v>70</v>
      </c>
      <c r="C193" s="7" t="s">
        <v>12</v>
      </c>
      <c r="D193" s="22">
        <v>160000</v>
      </c>
      <c r="E193" s="7">
        <v>14</v>
      </c>
      <c r="F193" s="7">
        <v>2</v>
      </c>
      <c r="G193" s="7">
        <v>1.1000000000000001</v>
      </c>
      <c r="H193" s="7">
        <v>936</v>
      </c>
      <c r="I193" s="9">
        <f t="shared" si="4"/>
        <v>170.94017094017093</v>
      </c>
      <c r="J193" s="3" t="str">
        <f t="shared" si="5"/>
        <v>Low</v>
      </c>
    </row>
    <row r="194" spans="1:10">
      <c r="A194" s="4" t="s">
        <v>226</v>
      </c>
      <c r="B194" s="4" t="s">
        <v>14</v>
      </c>
      <c r="C194" s="4" t="s">
        <v>12</v>
      </c>
      <c r="D194" s="21">
        <v>160000</v>
      </c>
      <c r="E194" s="4">
        <v>10</v>
      </c>
      <c r="F194" s="4">
        <v>5</v>
      </c>
      <c r="G194" s="4">
        <v>2.2000000000000002</v>
      </c>
      <c r="H194" s="10">
        <v>1720</v>
      </c>
      <c r="I194" s="11">
        <f t="shared" ref="I194:I257" si="6">D194/H194</f>
        <v>93.023255813953483</v>
      </c>
      <c r="J194" s="3" t="str">
        <f t="shared" ref="J194:J257" si="7">IF(I194 &gt; 300, "High", IF(AND(I194 &lt;= 300, I194 &gt; 200), "Medium", "Low"))</f>
        <v>Low</v>
      </c>
    </row>
    <row r="195" spans="1:10">
      <c r="A195" s="7" t="s">
        <v>227</v>
      </c>
      <c r="B195" s="7" t="s">
        <v>11</v>
      </c>
      <c r="C195" s="7" t="s">
        <v>12</v>
      </c>
      <c r="D195" s="22">
        <v>160000</v>
      </c>
      <c r="E195" s="7">
        <v>29</v>
      </c>
      <c r="F195" s="7">
        <v>3</v>
      </c>
      <c r="G195" s="7">
        <v>1</v>
      </c>
      <c r="H195" s="7">
        <v>816</v>
      </c>
      <c r="I195" s="9">
        <f t="shared" si="6"/>
        <v>196.07843137254903</v>
      </c>
      <c r="J195" s="3" t="str">
        <f t="shared" si="7"/>
        <v>Low</v>
      </c>
    </row>
    <row r="196" spans="1:10">
      <c r="A196" s="4" t="s">
        <v>228</v>
      </c>
      <c r="B196" s="4" t="s">
        <v>229</v>
      </c>
      <c r="C196" s="4" t="s">
        <v>12</v>
      </c>
      <c r="D196" s="21">
        <v>160000</v>
      </c>
      <c r="E196" s="4">
        <v>58</v>
      </c>
      <c r="F196" s="4">
        <v>2</v>
      </c>
      <c r="G196" s="4">
        <v>1</v>
      </c>
      <c r="H196" s="10">
        <v>1037</v>
      </c>
      <c r="I196" s="11">
        <f t="shared" si="6"/>
        <v>154.29122468659594</v>
      </c>
      <c r="J196" s="3" t="str">
        <f t="shared" si="7"/>
        <v>Low</v>
      </c>
    </row>
    <row r="197" spans="1:10">
      <c r="A197" s="7" t="s">
        <v>230</v>
      </c>
      <c r="B197" s="7" t="s">
        <v>14</v>
      </c>
      <c r="C197" s="7" t="s">
        <v>12</v>
      </c>
      <c r="D197" s="22">
        <v>161000</v>
      </c>
      <c r="E197" s="7">
        <v>10</v>
      </c>
      <c r="F197" s="7">
        <v>3</v>
      </c>
      <c r="G197" s="7">
        <v>2</v>
      </c>
      <c r="H197" s="12">
        <v>1366</v>
      </c>
      <c r="I197" s="9">
        <f t="shared" si="6"/>
        <v>117.8623718887262</v>
      </c>
      <c r="J197" s="3" t="str">
        <f t="shared" si="7"/>
        <v>Low</v>
      </c>
    </row>
    <row r="198" spans="1:10">
      <c r="A198" s="4" t="s">
        <v>231</v>
      </c>
      <c r="B198" s="4" t="s">
        <v>14</v>
      </c>
      <c r="C198" s="4" t="s">
        <v>12</v>
      </c>
      <c r="D198" s="21">
        <v>162000</v>
      </c>
      <c r="E198" s="4">
        <v>44</v>
      </c>
      <c r="F198" s="4">
        <v>4</v>
      </c>
      <c r="G198" s="4">
        <v>2</v>
      </c>
      <c r="H198" s="10">
        <v>1748</v>
      </c>
      <c r="I198" s="11">
        <f t="shared" si="6"/>
        <v>92.677345537757432</v>
      </c>
      <c r="J198" s="3" t="str">
        <f t="shared" si="7"/>
        <v>Low</v>
      </c>
    </row>
    <row r="199" spans="1:10">
      <c r="A199" s="7" t="s">
        <v>232</v>
      </c>
      <c r="B199" s="7" t="s">
        <v>83</v>
      </c>
      <c r="C199" s="7" t="s">
        <v>12</v>
      </c>
      <c r="D199" s="22">
        <v>163000</v>
      </c>
      <c r="E199" s="7">
        <v>24</v>
      </c>
      <c r="F199" s="7">
        <v>3</v>
      </c>
      <c r="G199" s="7">
        <v>1.2</v>
      </c>
      <c r="H199" s="12">
        <v>1395</v>
      </c>
      <c r="I199" s="9">
        <f t="shared" si="6"/>
        <v>116.84587813620071</v>
      </c>
      <c r="J199" s="3" t="str">
        <f t="shared" si="7"/>
        <v>Low</v>
      </c>
    </row>
    <row r="200" spans="1:10">
      <c r="A200" s="4" t="s">
        <v>233</v>
      </c>
      <c r="B200" s="4" t="s">
        <v>36</v>
      </c>
      <c r="C200" s="4" t="s">
        <v>12</v>
      </c>
      <c r="D200" s="21">
        <v>163500</v>
      </c>
      <c r="E200" s="4">
        <v>11</v>
      </c>
      <c r="F200" s="4">
        <v>2</v>
      </c>
      <c r="G200" s="4">
        <v>1</v>
      </c>
      <c r="H200" s="4">
        <v>886</v>
      </c>
      <c r="I200" s="11">
        <f t="shared" si="6"/>
        <v>184.53724604966141</v>
      </c>
      <c r="J200" s="3" t="str">
        <f t="shared" si="7"/>
        <v>Low</v>
      </c>
    </row>
    <row r="201" spans="1:10">
      <c r="A201" s="7" t="s">
        <v>234</v>
      </c>
      <c r="B201" s="7" t="s">
        <v>11</v>
      </c>
      <c r="C201" s="7" t="s">
        <v>12</v>
      </c>
      <c r="D201" s="22">
        <v>164900</v>
      </c>
      <c r="E201" s="7">
        <v>5</v>
      </c>
      <c r="F201" s="7">
        <v>3</v>
      </c>
      <c r="G201" s="7">
        <v>2.1</v>
      </c>
      <c r="H201" s="12">
        <v>1337</v>
      </c>
      <c r="I201" s="9">
        <f t="shared" si="6"/>
        <v>123.33582647718774</v>
      </c>
      <c r="J201" s="3" t="str">
        <f t="shared" si="7"/>
        <v>Low</v>
      </c>
    </row>
    <row r="202" spans="1:10">
      <c r="A202" s="4" t="s">
        <v>235</v>
      </c>
      <c r="B202" s="4" t="s">
        <v>56</v>
      </c>
      <c r="C202" s="4" t="s">
        <v>12</v>
      </c>
      <c r="D202" s="21">
        <v>164900</v>
      </c>
      <c r="E202" s="4">
        <v>39</v>
      </c>
      <c r="F202" s="4">
        <v>3</v>
      </c>
      <c r="G202" s="4">
        <v>1</v>
      </c>
      <c r="H202" s="10">
        <v>1056</v>
      </c>
      <c r="I202" s="11">
        <f t="shared" si="6"/>
        <v>156.15530303030303</v>
      </c>
      <c r="J202" s="3" t="str">
        <f t="shared" si="7"/>
        <v>Low</v>
      </c>
    </row>
    <row r="203" spans="1:10">
      <c r="A203" s="7" t="s">
        <v>236</v>
      </c>
      <c r="B203" s="7" t="s">
        <v>11</v>
      </c>
      <c r="C203" s="7" t="s">
        <v>12</v>
      </c>
      <c r="D203" s="22">
        <v>165000</v>
      </c>
      <c r="E203" s="7">
        <v>2</v>
      </c>
      <c r="F203" s="7">
        <v>3</v>
      </c>
      <c r="G203" s="7">
        <v>1.1000000000000001</v>
      </c>
      <c r="H203" s="12">
        <v>1134</v>
      </c>
      <c r="I203" s="9">
        <f t="shared" si="6"/>
        <v>145.50264550264549</v>
      </c>
      <c r="J203" s="3" t="str">
        <f t="shared" si="7"/>
        <v>Low</v>
      </c>
    </row>
    <row r="204" spans="1:10">
      <c r="A204" s="4" t="s">
        <v>237</v>
      </c>
      <c r="B204" s="4" t="s">
        <v>117</v>
      </c>
      <c r="C204" s="4" t="s">
        <v>12</v>
      </c>
      <c r="D204" s="21">
        <v>165000</v>
      </c>
      <c r="E204" s="4">
        <v>0</v>
      </c>
      <c r="F204" s="4">
        <v>2</v>
      </c>
      <c r="G204" s="4">
        <v>1.1000000000000001</v>
      </c>
      <c r="H204" s="10">
        <v>1136</v>
      </c>
      <c r="I204" s="11">
        <f t="shared" si="6"/>
        <v>145.24647887323943</v>
      </c>
      <c r="J204" s="3" t="str">
        <f t="shared" si="7"/>
        <v>Low</v>
      </c>
    </row>
    <row r="205" spans="1:10">
      <c r="A205" s="7" t="s">
        <v>238</v>
      </c>
      <c r="B205" s="7" t="s">
        <v>14</v>
      </c>
      <c r="C205" s="7" t="s">
        <v>12</v>
      </c>
      <c r="D205" s="22">
        <v>165000</v>
      </c>
      <c r="E205" s="7">
        <v>2</v>
      </c>
      <c r="F205" s="7">
        <v>3</v>
      </c>
      <c r="G205" s="7">
        <v>1</v>
      </c>
      <c r="H205" s="12">
        <v>1390</v>
      </c>
      <c r="I205" s="9">
        <f t="shared" si="6"/>
        <v>118.70503597122303</v>
      </c>
      <c r="J205" s="3" t="str">
        <f t="shared" si="7"/>
        <v>Low</v>
      </c>
    </row>
    <row r="206" spans="1:10">
      <c r="A206" s="4" t="s">
        <v>239</v>
      </c>
      <c r="B206" s="4" t="s">
        <v>83</v>
      </c>
      <c r="C206" s="4" t="s">
        <v>12</v>
      </c>
      <c r="D206" s="21">
        <v>165000</v>
      </c>
      <c r="E206" s="4">
        <v>9</v>
      </c>
      <c r="F206" s="4">
        <v>3</v>
      </c>
      <c r="G206" s="4">
        <v>1.2</v>
      </c>
      <c r="H206" s="10">
        <v>1238</v>
      </c>
      <c r="I206" s="11">
        <f t="shared" si="6"/>
        <v>133.27948303715669</v>
      </c>
      <c r="J206" s="3" t="str">
        <f t="shared" si="7"/>
        <v>Low</v>
      </c>
    </row>
    <row r="207" spans="1:10">
      <c r="A207" s="7" t="s">
        <v>240</v>
      </c>
      <c r="B207" s="7" t="s">
        <v>36</v>
      </c>
      <c r="C207" s="7" t="s">
        <v>12</v>
      </c>
      <c r="D207" s="22">
        <v>165000</v>
      </c>
      <c r="E207" s="7">
        <v>27</v>
      </c>
      <c r="F207" s="7">
        <v>2</v>
      </c>
      <c r="G207" s="7">
        <v>1</v>
      </c>
      <c r="H207" s="7">
        <v>950</v>
      </c>
      <c r="I207" s="9">
        <f t="shared" si="6"/>
        <v>173.68421052631578</v>
      </c>
      <c r="J207" s="3" t="str">
        <f t="shared" si="7"/>
        <v>Low</v>
      </c>
    </row>
    <row r="208" spans="1:10">
      <c r="A208" s="4" t="s">
        <v>241</v>
      </c>
      <c r="B208" s="4" t="s">
        <v>36</v>
      </c>
      <c r="C208" s="4" t="s">
        <v>12</v>
      </c>
      <c r="D208" s="21">
        <v>165000</v>
      </c>
      <c r="E208" s="4">
        <v>11</v>
      </c>
      <c r="F208" s="4">
        <v>3</v>
      </c>
      <c r="G208" s="4">
        <v>2</v>
      </c>
      <c r="H208" s="4">
        <v>927</v>
      </c>
      <c r="I208" s="11">
        <f t="shared" si="6"/>
        <v>177.99352750809061</v>
      </c>
      <c r="J208" s="3" t="str">
        <f t="shared" si="7"/>
        <v>Low</v>
      </c>
    </row>
    <row r="209" spans="1:10">
      <c r="A209" s="7" t="s">
        <v>242</v>
      </c>
      <c r="B209" s="7" t="s">
        <v>25</v>
      </c>
      <c r="C209" s="7" t="s">
        <v>12</v>
      </c>
      <c r="D209" s="22">
        <v>165000</v>
      </c>
      <c r="E209" s="7">
        <v>13</v>
      </c>
      <c r="F209" s="7">
        <v>3</v>
      </c>
      <c r="G209" s="7">
        <v>2</v>
      </c>
      <c r="H209" s="12">
        <v>1274</v>
      </c>
      <c r="I209" s="9">
        <f t="shared" si="6"/>
        <v>129.51334379905808</v>
      </c>
      <c r="J209" s="3" t="str">
        <f t="shared" si="7"/>
        <v>Low</v>
      </c>
    </row>
    <row r="210" spans="1:10">
      <c r="A210" s="4" t="s">
        <v>243</v>
      </c>
      <c r="B210" s="4" t="s">
        <v>83</v>
      </c>
      <c r="C210" s="4" t="s">
        <v>12</v>
      </c>
      <c r="D210" s="21">
        <v>165000</v>
      </c>
      <c r="E210" s="4">
        <v>10</v>
      </c>
      <c r="F210" s="4">
        <v>0</v>
      </c>
      <c r="G210" s="4">
        <v>0</v>
      </c>
      <c r="H210" s="4">
        <v>900</v>
      </c>
      <c r="I210" s="11">
        <f t="shared" si="6"/>
        <v>183.33333333333334</v>
      </c>
      <c r="J210" s="3" t="str">
        <f t="shared" si="7"/>
        <v>Low</v>
      </c>
    </row>
    <row r="211" spans="1:10">
      <c r="A211" s="7" t="s">
        <v>244</v>
      </c>
      <c r="B211" s="7" t="s">
        <v>11</v>
      </c>
      <c r="C211" s="7" t="s">
        <v>12</v>
      </c>
      <c r="D211" s="22">
        <v>165000</v>
      </c>
      <c r="E211" s="7">
        <v>21</v>
      </c>
      <c r="F211" s="7">
        <v>3</v>
      </c>
      <c r="G211" s="7">
        <v>2</v>
      </c>
      <c r="H211" s="12">
        <v>1350</v>
      </c>
      <c r="I211" s="9">
        <f t="shared" si="6"/>
        <v>122.22222222222223</v>
      </c>
      <c r="J211" s="3" t="str">
        <f t="shared" si="7"/>
        <v>Low</v>
      </c>
    </row>
    <row r="212" spans="1:10">
      <c r="A212" s="4" t="s">
        <v>245</v>
      </c>
      <c r="B212" s="4" t="s">
        <v>83</v>
      </c>
      <c r="C212" s="4" t="s">
        <v>12</v>
      </c>
      <c r="D212" s="21">
        <v>165000</v>
      </c>
      <c r="E212" s="4">
        <v>28</v>
      </c>
      <c r="F212" s="4">
        <v>3</v>
      </c>
      <c r="G212" s="4">
        <v>1</v>
      </c>
      <c r="H212" s="10">
        <v>1000</v>
      </c>
      <c r="I212" s="11">
        <f t="shared" si="6"/>
        <v>165</v>
      </c>
      <c r="J212" s="3" t="str">
        <f t="shared" si="7"/>
        <v>Low</v>
      </c>
    </row>
    <row r="213" spans="1:10">
      <c r="A213" s="7" t="s">
        <v>246</v>
      </c>
      <c r="B213" s="7" t="s">
        <v>73</v>
      </c>
      <c r="C213" s="7" t="s">
        <v>12</v>
      </c>
      <c r="D213" s="22">
        <v>165000</v>
      </c>
      <c r="E213" s="7">
        <v>24</v>
      </c>
      <c r="F213" s="7">
        <v>2</v>
      </c>
      <c r="G213" s="7">
        <v>2</v>
      </c>
      <c r="H213" s="12">
        <v>1070</v>
      </c>
      <c r="I213" s="9">
        <f t="shared" si="6"/>
        <v>154.20560747663552</v>
      </c>
      <c r="J213" s="3" t="str">
        <f t="shared" si="7"/>
        <v>Low</v>
      </c>
    </row>
    <row r="214" spans="1:10">
      <c r="A214" s="4" t="s">
        <v>247</v>
      </c>
      <c r="B214" s="4" t="s">
        <v>18</v>
      </c>
      <c r="C214" s="4" t="s">
        <v>12</v>
      </c>
      <c r="D214" s="21">
        <v>165000</v>
      </c>
      <c r="E214" s="4">
        <v>67</v>
      </c>
      <c r="F214" s="4">
        <v>2</v>
      </c>
      <c r="G214" s="4">
        <v>1.1000000000000001</v>
      </c>
      <c r="H214" s="4">
        <v>910</v>
      </c>
      <c r="I214" s="11">
        <f t="shared" si="6"/>
        <v>181.31868131868131</v>
      </c>
      <c r="J214" s="3" t="str">
        <f t="shared" si="7"/>
        <v>Low</v>
      </c>
    </row>
    <row r="215" spans="1:10">
      <c r="A215" s="7" t="s">
        <v>243</v>
      </c>
      <c r="B215" s="7" t="s">
        <v>83</v>
      </c>
      <c r="C215" s="7" t="s">
        <v>12</v>
      </c>
      <c r="D215" s="22">
        <v>165000</v>
      </c>
      <c r="E215" s="7">
        <v>43</v>
      </c>
      <c r="F215" s="7">
        <v>3</v>
      </c>
      <c r="G215" s="7">
        <v>1</v>
      </c>
      <c r="H215" s="7">
        <v>960</v>
      </c>
      <c r="I215" s="9">
        <f t="shared" si="6"/>
        <v>171.875</v>
      </c>
      <c r="J215" s="3" t="str">
        <f t="shared" si="7"/>
        <v>Low</v>
      </c>
    </row>
    <row r="216" spans="1:10">
      <c r="A216" s="4" t="s">
        <v>248</v>
      </c>
      <c r="B216" s="4" t="s">
        <v>14</v>
      </c>
      <c r="C216" s="4" t="s">
        <v>12</v>
      </c>
      <c r="D216" s="21">
        <v>165000</v>
      </c>
      <c r="E216" s="4">
        <v>101</v>
      </c>
      <c r="F216" s="4">
        <v>3</v>
      </c>
      <c r="G216" s="4">
        <v>1.2</v>
      </c>
      <c r="H216" s="10">
        <v>1495</v>
      </c>
      <c r="I216" s="11">
        <f t="shared" si="6"/>
        <v>110.36789297658864</v>
      </c>
      <c r="J216" s="3" t="str">
        <f t="shared" si="7"/>
        <v>Low</v>
      </c>
    </row>
    <row r="217" spans="1:10">
      <c r="A217" s="7" t="s">
        <v>249</v>
      </c>
      <c r="B217" s="7" t="s">
        <v>14</v>
      </c>
      <c r="C217" s="7" t="s">
        <v>12</v>
      </c>
      <c r="D217" s="22">
        <v>167000</v>
      </c>
      <c r="E217" s="7">
        <v>55</v>
      </c>
      <c r="F217" s="7">
        <v>3</v>
      </c>
      <c r="G217" s="7">
        <v>1</v>
      </c>
      <c r="H217" s="12">
        <v>1053</v>
      </c>
      <c r="I217" s="9">
        <f t="shared" si="6"/>
        <v>158.59449192782526</v>
      </c>
      <c r="J217" s="3" t="str">
        <f t="shared" si="7"/>
        <v>Low</v>
      </c>
    </row>
    <row r="218" spans="1:10">
      <c r="A218" s="4" t="s">
        <v>250</v>
      </c>
      <c r="B218" s="4" t="s">
        <v>70</v>
      </c>
      <c r="C218" s="4" t="s">
        <v>12</v>
      </c>
      <c r="D218" s="21">
        <v>167000</v>
      </c>
      <c r="E218" s="4">
        <v>24</v>
      </c>
      <c r="F218" s="4">
        <v>3</v>
      </c>
      <c r="G218" s="4">
        <v>1</v>
      </c>
      <c r="H218" s="10">
        <v>1218</v>
      </c>
      <c r="I218" s="11">
        <f t="shared" si="6"/>
        <v>137.11001642036126</v>
      </c>
      <c r="J218" s="3" t="str">
        <f t="shared" si="7"/>
        <v>Low</v>
      </c>
    </row>
    <row r="219" spans="1:10">
      <c r="A219" s="7" t="s">
        <v>251</v>
      </c>
      <c r="B219" s="7" t="s">
        <v>83</v>
      </c>
      <c r="C219" s="7" t="s">
        <v>12</v>
      </c>
      <c r="D219" s="22">
        <v>167500</v>
      </c>
      <c r="E219" s="7">
        <v>46</v>
      </c>
      <c r="F219" s="7">
        <v>3</v>
      </c>
      <c r="G219" s="7">
        <v>1.1000000000000001</v>
      </c>
      <c r="H219" s="12">
        <v>1320</v>
      </c>
      <c r="I219" s="9">
        <f t="shared" si="6"/>
        <v>126.89393939393939</v>
      </c>
      <c r="J219" s="3" t="str">
        <f t="shared" si="7"/>
        <v>Low</v>
      </c>
    </row>
    <row r="220" spans="1:10">
      <c r="A220" s="4" t="s">
        <v>252</v>
      </c>
      <c r="B220" s="4" t="s">
        <v>73</v>
      </c>
      <c r="C220" s="4" t="s">
        <v>12</v>
      </c>
      <c r="D220" s="21">
        <v>169000</v>
      </c>
      <c r="E220" s="4">
        <v>5</v>
      </c>
      <c r="F220" s="4">
        <v>3</v>
      </c>
      <c r="G220" s="4">
        <v>2</v>
      </c>
      <c r="H220" s="10">
        <v>1566</v>
      </c>
      <c r="I220" s="11">
        <f t="shared" si="6"/>
        <v>107.91826309067689</v>
      </c>
      <c r="J220" s="3" t="str">
        <f t="shared" si="7"/>
        <v>Low</v>
      </c>
    </row>
    <row r="221" spans="1:10">
      <c r="A221" s="7" t="s">
        <v>253</v>
      </c>
      <c r="B221" s="7" t="s">
        <v>155</v>
      </c>
      <c r="C221" s="7" t="s">
        <v>12</v>
      </c>
      <c r="D221" s="22">
        <v>169400</v>
      </c>
      <c r="E221" s="7">
        <v>12</v>
      </c>
      <c r="F221" s="7">
        <v>2</v>
      </c>
      <c r="G221" s="7">
        <v>1</v>
      </c>
      <c r="H221" s="12">
        <v>1040</v>
      </c>
      <c r="I221" s="9">
        <f t="shared" si="6"/>
        <v>162.88461538461539</v>
      </c>
      <c r="J221" s="3" t="str">
        <f t="shared" si="7"/>
        <v>Low</v>
      </c>
    </row>
    <row r="222" spans="1:10">
      <c r="A222" s="4" t="s">
        <v>254</v>
      </c>
      <c r="B222" s="4" t="s">
        <v>11</v>
      </c>
      <c r="C222" s="4" t="s">
        <v>12</v>
      </c>
      <c r="D222" s="21">
        <v>169900</v>
      </c>
      <c r="E222" s="4">
        <v>10</v>
      </c>
      <c r="F222" s="4">
        <v>3</v>
      </c>
      <c r="G222" s="4">
        <v>1</v>
      </c>
      <c r="H222" s="4">
        <v>879</v>
      </c>
      <c r="I222" s="11">
        <f t="shared" si="6"/>
        <v>193.28782707622298</v>
      </c>
      <c r="J222" s="3" t="str">
        <f t="shared" si="7"/>
        <v>Low</v>
      </c>
    </row>
    <row r="223" spans="1:10">
      <c r="A223" s="7" t="s">
        <v>255</v>
      </c>
      <c r="B223" s="7" t="s">
        <v>11</v>
      </c>
      <c r="C223" s="7" t="s">
        <v>12</v>
      </c>
      <c r="D223" s="22">
        <v>169900</v>
      </c>
      <c r="E223" s="7">
        <v>11</v>
      </c>
      <c r="F223" s="7">
        <v>2</v>
      </c>
      <c r="G223" s="7">
        <v>1.1000000000000001</v>
      </c>
      <c r="H223" s="12">
        <v>1017</v>
      </c>
      <c r="I223" s="9">
        <f t="shared" si="6"/>
        <v>167.05998033431661</v>
      </c>
      <c r="J223" s="3" t="str">
        <f t="shared" si="7"/>
        <v>Low</v>
      </c>
    </row>
    <row r="224" spans="1:10">
      <c r="A224" s="4" t="s">
        <v>256</v>
      </c>
      <c r="B224" s="4" t="s">
        <v>42</v>
      </c>
      <c r="C224" s="4" t="s">
        <v>12</v>
      </c>
      <c r="D224" s="21">
        <v>169999</v>
      </c>
      <c r="E224" s="4">
        <v>14</v>
      </c>
      <c r="F224" s="4">
        <v>3</v>
      </c>
      <c r="G224" s="4">
        <v>1</v>
      </c>
      <c r="H224" s="10">
        <v>1144</v>
      </c>
      <c r="I224" s="11">
        <f t="shared" si="6"/>
        <v>148.60052447552448</v>
      </c>
      <c r="J224" s="3" t="str">
        <f t="shared" si="7"/>
        <v>Low</v>
      </c>
    </row>
    <row r="225" spans="1:10">
      <c r="A225" s="7" t="s">
        <v>257</v>
      </c>
      <c r="B225" s="7" t="s">
        <v>11</v>
      </c>
      <c r="C225" s="7" t="s">
        <v>12</v>
      </c>
      <c r="D225" s="22">
        <v>170000</v>
      </c>
      <c r="E225" s="7">
        <v>54</v>
      </c>
      <c r="F225" s="7">
        <v>3</v>
      </c>
      <c r="G225" s="7">
        <v>1</v>
      </c>
      <c r="H225" s="12">
        <v>1090</v>
      </c>
      <c r="I225" s="9">
        <f t="shared" si="6"/>
        <v>155.96330275229357</v>
      </c>
      <c r="J225" s="3" t="str">
        <f t="shared" si="7"/>
        <v>Low</v>
      </c>
    </row>
    <row r="226" spans="1:10">
      <c r="A226" s="4" t="s">
        <v>258</v>
      </c>
      <c r="B226" s="4" t="s">
        <v>36</v>
      </c>
      <c r="C226" s="4" t="s">
        <v>12</v>
      </c>
      <c r="D226" s="21">
        <v>170000</v>
      </c>
      <c r="E226" s="4">
        <v>7</v>
      </c>
      <c r="F226" s="4">
        <v>3</v>
      </c>
      <c r="G226" s="4">
        <v>1</v>
      </c>
      <c r="H226" s="10">
        <v>1100</v>
      </c>
      <c r="I226" s="11">
        <f t="shared" si="6"/>
        <v>154.54545454545453</v>
      </c>
      <c r="J226" s="3" t="str">
        <f t="shared" si="7"/>
        <v>Low</v>
      </c>
    </row>
    <row r="227" spans="1:10">
      <c r="A227" s="7" t="s">
        <v>259</v>
      </c>
      <c r="B227" s="7" t="s">
        <v>29</v>
      </c>
      <c r="C227" s="7" t="s">
        <v>12</v>
      </c>
      <c r="D227" s="22">
        <v>170000</v>
      </c>
      <c r="E227" s="7">
        <v>36</v>
      </c>
      <c r="F227" s="7">
        <v>2</v>
      </c>
      <c r="G227" s="7">
        <v>1</v>
      </c>
      <c r="H227" s="12">
        <v>1150</v>
      </c>
      <c r="I227" s="9">
        <f t="shared" si="6"/>
        <v>147.82608695652175</v>
      </c>
      <c r="J227" s="3" t="str">
        <f t="shared" si="7"/>
        <v>Low</v>
      </c>
    </row>
    <row r="228" spans="1:10">
      <c r="A228" s="4" t="s">
        <v>260</v>
      </c>
      <c r="B228" s="4" t="s">
        <v>29</v>
      </c>
      <c r="C228" s="4" t="s">
        <v>12</v>
      </c>
      <c r="D228" s="21">
        <v>170000</v>
      </c>
      <c r="E228" s="4">
        <v>106</v>
      </c>
      <c r="F228" s="4">
        <v>3</v>
      </c>
      <c r="G228" s="4">
        <v>2</v>
      </c>
      <c r="H228" s="10">
        <v>1201</v>
      </c>
      <c r="I228" s="11">
        <f t="shared" si="6"/>
        <v>141.54870940882597</v>
      </c>
      <c r="J228" s="3" t="str">
        <f t="shared" si="7"/>
        <v>Low</v>
      </c>
    </row>
    <row r="229" spans="1:10">
      <c r="A229" s="7" t="s">
        <v>261</v>
      </c>
      <c r="B229" s="7" t="s">
        <v>80</v>
      </c>
      <c r="C229" s="7" t="s">
        <v>12</v>
      </c>
      <c r="D229" s="22">
        <v>170000</v>
      </c>
      <c r="E229" s="7">
        <v>62</v>
      </c>
      <c r="F229" s="7">
        <v>3</v>
      </c>
      <c r="G229" s="7">
        <v>1</v>
      </c>
      <c r="H229" s="7">
        <v>764</v>
      </c>
      <c r="I229" s="9">
        <f t="shared" si="6"/>
        <v>222.5130890052356</v>
      </c>
      <c r="J229" s="3" t="str">
        <f t="shared" si="7"/>
        <v>Medium</v>
      </c>
    </row>
    <row r="230" spans="1:10">
      <c r="A230" s="4" t="s">
        <v>262</v>
      </c>
      <c r="B230" s="4" t="s">
        <v>29</v>
      </c>
      <c r="C230" s="4" t="s">
        <v>12</v>
      </c>
      <c r="D230" s="21">
        <v>170000</v>
      </c>
      <c r="E230" s="4">
        <v>52</v>
      </c>
      <c r="F230" s="4">
        <v>3</v>
      </c>
      <c r="G230" s="4">
        <v>1</v>
      </c>
      <c r="H230" s="10">
        <v>1170</v>
      </c>
      <c r="I230" s="11">
        <f t="shared" si="6"/>
        <v>145.29914529914529</v>
      </c>
      <c r="J230" s="3" t="str">
        <f t="shared" si="7"/>
        <v>Low</v>
      </c>
    </row>
    <row r="231" spans="1:10">
      <c r="A231" s="7" t="s">
        <v>263</v>
      </c>
      <c r="B231" s="7" t="s">
        <v>83</v>
      </c>
      <c r="C231" s="7" t="s">
        <v>12</v>
      </c>
      <c r="D231" s="22">
        <v>171000</v>
      </c>
      <c r="E231" s="7">
        <v>3</v>
      </c>
      <c r="F231" s="7">
        <v>3</v>
      </c>
      <c r="G231" s="7">
        <v>1.1000000000000001</v>
      </c>
      <c r="H231" s="12">
        <v>1104</v>
      </c>
      <c r="I231" s="9">
        <f t="shared" si="6"/>
        <v>154.89130434782609</v>
      </c>
      <c r="J231" s="3" t="str">
        <f t="shared" si="7"/>
        <v>Low</v>
      </c>
    </row>
    <row r="232" spans="1:10">
      <c r="A232" s="4" t="s">
        <v>264</v>
      </c>
      <c r="B232" s="4" t="s">
        <v>14</v>
      </c>
      <c r="C232" s="4" t="s">
        <v>12</v>
      </c>
      <c r="D232" s="21">
        <v>171000</v>
      </c>
      <c r="E232" s="4">
        <v>4</v>
      </c>
      <c r="F232" s="4">
        <v>4</v>
      </c>
      <c r="G232" s="4">
        <v>2</v>
      </c>
      <c r="H232" s="10">
        <v>1320</v>
      </c>
      <c r="I232" s="11">
        <f t="shared" si="6"/>
        <v>129.54545454545453</v>
      </c>
      <c r="J232" s="3" t="str">
        <f t="shared" si="7"/>
        <v>Low</v>
      </c>
    </row>
    <row r="233" spans="1:10">
      <c r="A233" s="7" t="s">
        <v>265</v>
      </c>
      <c r="B233" s="7" t="s">
        <v>42</v>
      </c>
      <c r="C233" s="7" t="s">
        <v>12</v>
      </c>
      <c r="D233" s="22">
        <v>171500</v>
      </c>
      <c r="E233" s="7">
        <v>5</v>
      </c>
      <c r="F233" s="7">
        <v>2</v>
      </c>
      <c r="G233" s="7">
        <v>1</v>
      </c>
      <c r="H233" s="7">
        <v>853</v>
      </c>
      <c r="I233" s="9">
        <f t="shared" si="6"/>
        <v>201.05509964830011</v>
      </c>
      <c r="J233" s="3" t="str">
        <f t="shared" si="7"/>
        <v>Medium</v>
      </c>
    </row>
    <row r="234" spans="1:10">
      <c r="A234" s="4" t="s">
        <v>266</v>
      </c>
      <c r="B234" s="4" t="s">
        <v>29</v>
      </c>
      <c r="C234" s="4" t="s">
        <v>12</v>
      </c>
      <c r="D234" s="21">
        <v>172000</v>
      </c>
      <c r="E234" s="4">
        <v>125</v>
      </c>
      <c r="F234" s="4">
        <v>2</v>
      </c>
      <c r="G234" s="4">
        <v>1</v>
      </c>
      <c r="H234" s="4">
        <v>751</v>
      </c>
      <c r="I234" s="11">
        <f t="shared" si="6"/>
        <v>229.02796271637817</v>
      </c>
      <c r="J234" s="3" t="str">
        <f t="shared" si="7"/>
        <v>Medium</v>
      </c>
    </row>
    <row r="235" spans="1:10">
      <c r="A235" s="7" t="s">
        <v>267</v>
      </c>
      <c r="B235" s="7" t="s">
        <v>268</v>
      </c>
      <c r="C235" s="7" t="s">
        <v>12</v>
      </c>
      <c r="D235" s="22">
        <v>172000</v>
      </c>
      <c r="E235" s="7">
        <v>4</v>
      </c>
      <c r="F235" s="7">
        <v>2</v>
      </c>
      <c r="G235" s="7">
        <v>1</v>
      </c>
      <c r="H235" s="7">
        <v>912</v>
      </c>
      <c r="I235" s="9">
        <f t="shared" si="6"/>
        <v>188.59649122807016</v>
      </c>
      <c r="J235" s="3" t="str">
        <f t="shared" si="7"/>
        <v>Low</v>
      </c>
    </row>
    <row r="236" spans="1:10">
      <c r="A236" s="4" t="s">
        <v>269</v>
      </c>
      <c r="B236" s="4" t="s">
        <v>36</v>
      </c>
      <c r="C236" s="4" t="s">
        <v>12</v>
      </c>
      <c r="D236" s="21">
        <v>172500</v>
      </c>
      <c r="E236" s="4">
        <v>9</v>
      </c>
      <c r="F236" s="4">
        <v>2</v>
      </c>
      <c r="G236" s="4">
        <v>1</v>
      </c>
      <c r="H236" s="4">
        <v>932</v>
      </c>
      <c r="I236" s="11">
        <f t="shared" si="6"/>
        <v>185.08583690987123</v>
      </c>
      <c r="J236" s="3" t="str">
        <f t="shared" si="7"/>
        <v>Low</v>
      </c>
    </row>
    <row r="237" spans="1:10">
      <c r="A237" s="7" t="s">
        <v>270</v>
      </c>
      <c r="B237" s="7" t="s">
        <v>36</v>
      </c>
      <c r="C237" s="7" t="s">
        <v>12</v>
      </c>
      <c r="D237" s="22">
        <v>174000</v>
      </c>
      <c r="E237" s="7">
        <v>27</v>
      </c>
      <c r="F237" s="7">
        <v>3</v>
      </c>
      <c r="G237" s="7">
        <v>1</v>
      </c>
      <c r="H237" s="12">
        <v>1020</v>
      </c>
      <c r="I237" s="9">
        <f t="shared" si="6"/>
        <v>170.58823529411765</v>
      </c>
      <c r="J237" s="3" t="str">
        <f t="shared" si="7"/>
        <v>Low</v>
      </c>
    </row>
    <row r="238" spans="1:10">
      <c r="A238" s="4" t="s">
        <v>271</v>
      </c>
      <c r="B238" s="4" t="s">
        <v>56</v>
      </c>
      <c r="C238" s="4" t="s">
        <v>12</v>
      </c>
      <c r="D238" s="21">
        <v>174000</v>
      </c>
      <c r="E238" s="4">
        <v>44</v>
      </c>
      <c r="F238" s="4">
        <v>1</v>
      </c>
      <c r="G238" s="4">
        <v>1</v>
      </c>
      <c r="H238" s="4">
        <v>896</v>
      </c>
      <c r="I238" s="11">
        <f t="shared" si="6"/>
        <v>194.19642857142858</v>
      </c>
      <c r="J238" s="3" t="str">
        <f t="shared" si="7"/>
        <v>Low</v>
      </c>
    </row>
    <row r="239" spans="1:10">
      <c r="A239" s="7" t="s">
        <v>272</v>
      </c>
      <c r="B239" s="7" t="s">
        <v>42</v>
      </c>
      <c r="C239" s="7" t="s">
        <v>12</v>
      </c>
      <c r="D239" s="22">
        <v>174000</v>
      </c>
      <c r="E239" s="7">
        <v>83</v>
      </c>
      <c r="F239" s="7">
        <v>3</v>
      </c>
      <c r="G239" s="7">
        <v>1</v>
      </c>
      <c r="H239" s="12">
        <v>1021</v>
      </c>
      <c r="I239" s="9">
        <f t="shared" si="6"/>
        <v>170.4211557296768</v>
      </c>
      <c r="J239" s="3" t="str">
        <f t="shared" si="7"/>
        <v>Low</v>
      </c>
    </row>
    <row r="240" spans="1:10">
      <c r="A240" s="4" t="s">
        <v>273</v>
      </c>
      <c r="B240" s="4" t="s">
        <v>42</v>
      </c>
      <c r="C240" s="4" t="s">
        <v>12</v>
      </c>
      <c r="D240" s="21">
        <v>174999</v>
      </c>
      <c r="E240" s="4">
        <v>2</v>
      </c>
      <c r="F240" s="4">
        <v>4</v>
      </c>
      <c r="G240" s="4">
        <v>2</v>
      </c>
      <c r="H240" s="10">
        <v>1068</v>
      </c>
      <c r="I240" s="11">
        <f t="shared" si="6"/>
        <v>163.8567415730337</v>
      </c>
      <c r="J240" s="3" t="str">
        <f t="shared" si="7"/>
        <v>Low</v>
      </c>
    </row>
    <row r="241" spans="1:10">
      <c r="A241" s="7" t="s">
        <v>274</v>
      </c>
      <c r="B241" s="7" t="s">
        <v>11</v>
      </c>
      <c r="C241" s="7" t="s">
        <v>12</v>
      </c>
      <c r="D241" s="22">
        <v>175000</v>
      </c>
      <c r="E241" s="7">
        <v>3</v>
      </c>
      <c r="F241" s="7">
        <v>4</v>
      </c>
      <c r="G241" s="7">
        <v>2</v>
      </c>
      <c r="H241" s="12">
        <v>1866</v>
      </c>
      <c r="I241" s="9">
        <f t="shared" si="6"/>
        <v>93.783494105037519</v>
      </c>
      <c r="J241" s="3" t="str">
        <f t="shared" si="7"/>
        <v>Low</v>
      </c>
    </row>
    <row r="242" spans="1:10">
      <c r="A242" s="4" t="s">
        <v>275</v>
      </c>
      <c r="B242" s="4" t="s">
        <v>73</v>
      </c>
      <c r="C242" s="4" t="s">
        <v>12</v>
      </c>
      <c r="D242" s="21">
        <v>175000</v>
      </c>
      <c r="E242" s="4">
        <v>0</v>
      </c>
      <c r="F242" s="4">
        <v>3</v>
      </c>
      <c r="G242" s="4">
        <v>1.1000000000000001</v>
      </c>
      <c r="H242" s="10">
        <v>1308</v>
      </c>
      <c r="I242" s="11">
        <f t="shared" si="6"/>
        <v>133.79204892966362</v>
      </c>
      <c r="J242" s="3" t="str">
        <f t="shared" si="7"/>
        <v>Low</v>
      </c>
    </row>
    <row r="243" spans="1:10">
      <c r="A243" s="7" t="s">
        <v>276</v>
      </c>
      <c r="B243" s="7" t="s">
        <v>73</v>
      </c>
      <c r="C243" s="7" t="s">
        <v>12</v>
      </c>
      <c r="D243" s="22">
        <v>175000</v>
      </c>
      <c r="E243" s="7">
        <v>13</v>
      </c>
      <c r="F243" s="7">
        <v>3</v>
      </c>
      <c r="G243" s="7">
        <v>1.1000000000000001</v>
      </c>
      <c r="H243" s="12">
        <v>1494</v>
      </c>
      <c r="I243" s="9">
        <f t="shared" si="6"/>
        <v>117.13520749665328</v>
      </c>
      <c r="J243" s="3" t="str">
        <f t="shared" si="7"/>
        <v>Low</v>
      </c>
    </row>
    <row r="244" spans="1:10">
      <c r="A244" s="4" t="s">
        <v>277</v>
      </c>
      <c r="B244" s="4" t="s">
        <v>56</v>
      </c>
      <c r="C244" s="4" t="s">
        <v>12</v>
      </c>
      <c r="D244" s="21">
        <v>175000</v>
      </c>
      <c r="E244" s="4">
        <v>5</v>
      </c>
      <c r="F244" s="4">
        <v>3</v>
      </c>
      <c r="G244" s="4">
        <v>1</v>
      </c>
      <c r="H244" s="4">
        <v>900</v>
      </c>
      <c r="I244" s="11">
        <f t="shared" si="6"/>
        <v>194.44444444444446</v>
      </c>
      <c r="J244" s="3" t="str">
        <f t="shared" si="7"/>
        <v>Low</v>
      </c>
    </row>
    <row r="245" spans="1:10">
      <c r="A245" s="7" t="s">
        <v>278</v>
      </c>
      <c r="B245" s="7" t="s">
        <v>11</v>
      </c>
      <c r="C245" s="7" t="s">
        <v>12</v>
      </c>
      <c r="D245" s="22">
        <v>175000</v>
      </c>
      <c r="E245" s="7">
        <v>8</v>
      </c>
      <c r="F245" s="7">
        <v>4</v>
      </c>
      <c r="G245" s="7">
        <v>1.1000000000000001</v>
      </c>
      <c r="H245" s="12">
        <v>1762</v>
      </c>
      <c r="I245" s="9">
        <f t="shared" si="6"/>
        <v>99.318955732122589</v>
      </c>
      <c r="J245" s="3" t="str">
        <f t="shared" si="7"/>
        <v>Low</v>
      </c>
    </row>
    <row r="246" spans="1:10">
      <c r="A246" s="4" t="s">
        <v>279</v>
      </c>
      <c r="B246" s="4" t="s">
        <v>36</v>
      </c>
      <c r="C246" s="4" t="s">
        <v>12</v>
      </c>
      <c r="D246" s="21">
        <v>175000</v>
      </c>
      <c r="E246" s="4">
        <v>7</v>
      </c>
      <c r="F246" s="4">
        <v>3</v>
      </c>
      <c r="G246" s="4">
        <v>1</v>
      </c>
      <c r="H246" s="4">
        <v>879</v>
      </c>
      <c r="I246" s="11">
        <f t="shared" si="6"/>
        <v>199.08987485779295</v>
      </c>
      <c r="J246" s="3" t="str">
        <f t="shared" si="7"/>
        <v>Low</v>
      </c>
    </row>
    <row r="247" spans="1:10">
      <c r="A247" s="7" t="s">
        <v>280</v>
      </c>
      <c r="B247" s="7" t="s">
        <v>14</v>
      </c>
      <c r="C247" s="7" t="s">
        <v>12</v>
      </c>
      <c r="D247" s="22">
        <v>175000</v>
      </c>
      <c r="E247" s="7">
        <v>17</v>
      </c>
      <c r="F247" s="7">
        <v>4</v>
      </c>
      <c r="G247" s="7">
        <v>2</v>
      </c>
      <c r="H247" s="12">
        <v>1992</v>
      </c>
      <c r="I247" s="9">
        <f t="shared" si="6"/>
        <v>87.851405622489963</v>
      </c>
      <c r="J247" s="3" t="str">
        <f t="shared" si="7"/>
        <v>Low</v>
      </c>
    </row>
    <row r="248" spans="1:10">
      <c r="A248" s="4" t="s">
        <v>281</v>
      </c>
      <c r="B248" s="4" t="s">
        <v>282</v>
      </c>
      <c r="C248" s="4" t="s">
        <v>12</v>
      </c>
      <c r="D248" s="21">
        <v>175000</v>
      </c>
      <c r="E248" s="4">
        <v>13</v>
      </c>
      <c r="F248" s="4">
        <v>2</v>
      </c>
      <c r="G248" s="4">
        <v>1</v>
      </c>
      <c r="H248" s="10">
        <v>1217</v>
      </c>
      <c r="I248" s="11">
        <f t="shared" si="6"/>
        <v>143.79622021364011</v>
      </c>
      <c r="J248" s="3" t="str">
        <f t="shared" si="7"/>
        <v>Low</v>
      </c>
    </row>
    <row r="249" spans="1:10">
      <c r="A249" s="7" t="s">
        <v>283</v>
      </c>
      <c r="B249" s="7" t="s">
        <v>11</v>
      </c>
      <c r="C249" s="7" t="s">
        <v>12</v>
      </c>
      <c r="D249" s="22">
        <v>175000</v>
      </c>
      <c r="E249" s="7">
        <v>19</v>
      </c>
      <c r="F249" s="7">
        <v>3</v>
      </c>
      <c r="G249" s="7">
        <v>1</v>
      </c>
      <c r="H249" s="7">
        <v>960</v>
      </c>
      <c r="I249" s="9">
        <f t="shared" si="6"/>
        <v>182.29166666666666</v>
      </c>
      <c r="J249" s="3" t="str">
        <f t="shared" si="7"/>
        <v>Low</v>
      </c>
    </row>
    <row r="250" spans="1:10">
      <c r="A250" s="4" t="s">
        <v>284</v>
      </c>
      <c r="B250" s="4" t="s">
        <v>11</v>
      </c>
      <c r="C250" s="4" t="s">
        <v>12</v>
      </c>
      <c r="D250" s="21">
        <v>175000</v>
      </c>
      <c r="E250" s="4">
        <v>7</v>
      </c>
      <c r="F250" s="4">
        <v>3</v>
      </c>
      <c r="G250" s="4">
        <v>1</v>
      </c>
      <c r="H250" s="4">
        <v>960</v>
      </c>
      <c r="I250" s="11">
        <f t="shared" si="6"/>
        <v>182.29166666666666</v>
      </c>
      <c r="J250" s="3" t="str">
        <f t="shared" si="7"/>
        <v>Low</v>
      </c>
    </row>
    <row r="251" spans="1:10">
      <c r="A251" s="7" t="s">
        <v>285</v>
      </c>
      <c r="B251" s="7" t="s">
        <v>42</v>
      </c>
      <c r="C251" s="7" t="s">
        <v>12</v>
      </c>
      <c r="D251" s="22">
        <v>175000</v>
      </c>
      <c r="E251" s="7">
        <v>4</v>
      </c>
      <c r="F251" s="7">
        <v>3</v>
      </c>
      <c r="G251" s="7">
        <v>1</v>
      </c>
      <c r="H251" s="12">
        <v>1056</v>
      </c>
      <c r="I251" s="9">
        <f t="shared" si="6"/>
        <v>165.71969696969697</v>
      </c>
      <c r="J251" s="3" t="str">
        <f t="shared" si="7"/>
        <v>Low</v>
      </c>
    </row>
    <row r="252" spans="1:10">
      <c r="A252" s="4" t="s">
        <v>286</v>
      </c>
      <c r="B252" s="4" t="s">
        <v>83</v>
      </c>
      <c r="C252" s="4" t="s">
        <v>12</v>
      </c>
      <c r="D252" s="21">
        <v>175000</v>
      </c>
      <c r="E252" s="4">
        <v>8</v>
      </c>
      <c r="F252" s="4">
        <v>3</v>
      </c>
      <c r="G252" s="4">
        <v>1</v>
      </c>
      <c r="H252" s="4">
        <v>912</v>
      </c>
      <c r="I252" s="11">
        <f t="shared" si="6"/>
        <v>191.88596491228071</v>
      </c>
      <c r="J252" s="3" t="str">
        <f t="shared" si="7"/>
        <v>Low</v>
      </c>
    </row>
    <row r="253" spans="1:10">
      <c r="A253" s="7" t="s">
        <v>287</v>
      </c>
      <c r="B253" s="7" t="s">
        <v>36</v>
      </c>
      <c r="C253" s="7" t="s">
        <v>12</v>
      </c>
      <c r="D253" s="22">
        <v>175000</v>
      </c>
      <c r="E253" s="7">
        <v>13</v>
      </c>
      <c r="F253" s="7">
        <v>4</v>
      </c>
      <c r="G253" s="7">
        <v>2</v>
      </c>
      <c r="H253" s="12">
        <v>1686</v>
      </c>
      <c r="I253" s="9">
        <f t="shared" si="6"/>
        <v>103.79596678529063</v>
      </c>
      <c r="J253" s="3" t="str">
        <f t="shared" si="7"/>
        <v>Low</v>
      </c>
    </row>
    <row r="254" spans="1:10">
      <c r="A254" s="4" t="s">
        <v>288</v>
      </c>
      <c r="B254" s="4" t="s">
        <v>83</v>
      </c>
      <c r="C254" s="4" t="s">
        <v>12</v>
      </c>
      <c r="D254" s="21">
        <v>175000</v>
      </c>
      <c r="E254" s="4">
        <v>54</v>
      </c>
      <c r="F254" s="4">
        <v>3</v>
      </c>
      <c r="G254" s="4">
        <v>1</v>
      </c>
      <c r="H254" s="4">
        <v>988</v>
      </c>
      <c r="I254" s="11">
        <f t="shared" si="6"/>
        <v>177.12550607287449</v>
      </c>
      <c r="J254" s="3" t="str">
        <f t="shared" si="7"/>
        <v>Low</v>
      </c>
    </row>
    <row r="255" spans="1:10">
      <c r="A255" s="7" t="s">
        <v>289</v>
      </c>
      <c r="B255" s="7" t="s">
        <v>153</v>
      </c>
      <c r="C255" s="7" t="s">
        <v>12</v>
      </c>
      <c r="D255" s="22">
        <v>175000</v>
      </c>
      <c r="E255" s="7">
        <v>106</v>
      </c>
      <c r="F255" s="7">
        <v>4</v>
      </c>
      <c r="G255" s="7">
        <v>2</v>
      </c>
      <c r="H255" s="12">
        <v>1554</v>
      </c>
      <c r="I255" s="9">
        <f t="shared" si="6"/>
        <v>112.61261261261261</v>
      </c>
      <c r="J255" s="3" t="str">
        <f t="shared" si="7"/>
        <v>Low</v>
      </c>
    </row>
    <row r="256" spans="1:10">
      <c r="A256" s="4" t="s">
        <v>290</v>
      </c>
      <c r="B256" s="4" t="s">
        <v>83</v>
      </c>
      <c r="C256" s="4" t="s">
        <v>12</v>
      </c>
      <c r="D256" s="21">
        <v>176000</v>
      </c>
      <c r="E256" s="4">
        <v>3</v>
      </c>
      <c r="F256" s="4">
        <v>2</v>
      </c>
      <c r="G256" s="4">
        <v>1</v>
      </c>
      <c r="H256" s="4">
        <v>967</v>
      </c>
      <c r="I256" s="11">
        <f t="shared" si="6"/>
        <v>182.00620475698034</v>
      </c>
      <c r="J256" s="3" t="str">
        <f t="shared" si="7"/>
        <v>Low</v>
      </c>
    </row>
    <row r="257" spans="1:10">
      <c r="A257" s="7" t="s">
        <v>291</v>
      </c>
      <c r="B257" s="7" t="s">
        <v>14</v>
      </c>
      <c r="C257" s="7" t="s">
        <v>12</v>
      </c>
      <c r="D257" s="22">
        <v>176000</v>
      </c>
      <c r="E257" s="7">
        <v>17</v>
      </c>
      <c r="F257" s="7">
        <v>3</v>
      </c>
      <c r="G257" s="7">
        <v>2</v>
      </c>
      <c r="H257" s="7">
        <v>901</v>
      </c>
      <c r="I257" s="9">
        <f t="shared" si="6"/>
        <v>195.33851276359601</v>
      </c>
      <c r="J257" s="3" t="str">
        <f t="shared" si="7"/>
        <v>Low</v>
      </c>
    </row>
    <row r="258" spans="1:10">
      <c r="A258" s="4" t="s">
        <v>292</v>
      </c>
      <c r="B258" s="4" t="s">
        <v>29</v>
      </c>
      <c r="C258" s="4" t="s">
        <v>12</v>
      </c>
      <c r="D258" s="21">
        <v>177000</v>
      </c>
      <c r="E258" s="4">
        <v>0</v>
      </c>
      <c r="F258" s="4">
        <v>3</v>
      </c>
      <c r="G258" s="4">
        <v>1</v>
      </c>
      <c r="H258" s="4">
        <v>920</v>
      </c>
      <c r="I258" s="11">
        <f t="shared" ref="I258:I321" si="8">D258/H258</f>
        <v>192.39130434782609</v>
      </c>
      <c r="J258" s="3" t="str">
        <f t="shared" ref="J258:J321" si="9">IF(I258 &gt; 300, "High", IF(AND(I258 &lt;= 300, I258 &gt; 200), "Medium", "Low"))</f>
        <v>Low</v>
      </c>
    </row>
    <row r="259" spans="1:10">
      <c r="A259" s="7" t="s">
        <v>293</v>
      </c>
      <c r="B259" s="7" t="s">
        <v>294</v>
      </c>
      <c r="C259" s="7" t="s">
        <v>12</v>
      </c>
      <c r="D259" s="22">
        <v>177000</v>
      </c>
      <c r="E259" s="7">
        <v>49</v>
      </c>
      <c r="F259" s="7">
        <v>3</v>
      </c>
      <c r="G259" s="7">
        <v>1</v>
      </c>
      <c r="H259" s="12">
        <v>1097</v>
      </c>
      <c r="I259" s="9">
        <f t="shared" si="8"/>
        <v>161.34913400182316</v>
      </c>
      <c r="J259" s="3" t="str">
        <f t="shared" si="9"/>
        <v>Low</v>
      </c>
    </row>
    <row r="260" spans="1:10">
      <c r="A260" s="4" t="s">
        <v>295</v>
      </c>
      <c r="B260" s="4" t="s">
        <v>153</v>
      </c>
      <c r="C260" s="4" t="s">
        <v>12</v>
      </c>
      <c r="D260" s="21">
        <v>177000</v>
      </c>
      <c r="E260" s="4">
        <v>86</v>
      </c>
      <c r="F260" s="4">
        <v>3</v>
      </c>
      <c r="G260" s="4">
        <v>2</v>
      </c>
      <c r="H260" s="10">
        <v>1083</v>
      </c>
      <c r="I260" s="11">
        <f t="shared" si="8"/>
        <v>163.43490304709141</v>
      </c>
      <c r="J260" s="3" t="str">
        <f t="shared" si="9"/>
        <v>Low</v>
      </c>
    </row>
    <row r="261" spans="1:10">
      <c r="A261" s="7" t="s">
        <v>296</v>
      </c>
      <c r="B261" s="7" t="s">
        <v>54</v>
      </c>
      <c r="C261" s="7" t="s">
        <v>12</v>
      </c>
      <c r="D261" s="22">
        <v>177500</v>
      </c>
      <c r="E261" s="7">
        <v>4</v>
      </c>
      <c r="F261" s="7">
        <v>3</v>
      </c>
      <c r="G261" s="7">
        <v>1.1000000000000001</v>
      </c>
      <c r="H261" s="12">
        <v>1537</v>
      </c>
      <c r="I261" s="9">
        <f t="shared" si="8"/>
        <v>115.4847104749512</v>
      </c>
      <c r="J261" s="3" t="str">
        <f t="shared" si="9"/>
        <v>Low</v>
      </c>
    </row>
    <row r="262" spans="1:10">
      <c r="A262" s="4" t="s">
        <v>297</v>
      </c>
      <c r="B262" s="4" t="s">
        <v>298</v>
      </c>
      <c r="C262" s="4" t="s">
        <v>12</v>
      </c>
      <c r="D262" s="21">
        <v>178000</v>
      </c>
      <c r="E262" s="4">
        <v>5</v>
      </c>
      <c r="F262" s="4">
        <v>4</v>
      </c>
      <c r="G262" s="4">
        <v>1.1000000000000001</v>
      </c>
      <c r="H262" s="10">
        <v>1776</v>
      </c>
      <c r="I262" s="11">
        <f t="shared" si="8"/>
        <v>100.22522522522523</v>
      </c>
      <c r="J262" s="3" t="str">
        <f t="shared" si="9"/>
        <v>Low</v>
      </c>
    </row>
    <row r="263" spans="1:10">
      <c r="A263" s="7" t="s">
        <v>299</v>
      </c>
      <c r="B263" s="7" t="s">
        <v>42</v>
      </c>
      <c r="C263" s="7" t="s">
        <v>12</v>
      </c>
      <c r="D263" s="22">
        <v>178000</v>
      </c>
      <c r="E263" s="7">
        <v>93</v>
      </c>
      <c r="F263" s="7">
        <v>2</v>
      </c>
      <c r="G263" s="7">
        <v>1</v>
      </c>
      <c r="H263" s="12">
        <v>1116</v>
      </c>
      <c r="I263" s="9">
        <f t="shared" si="8"/>
        <v>159.49820788530465</v>
      </c>
      <c r="J263" s="3" t="str">
        <f t="shared" si="9"/>
        <v>Low</v>
      </c>
    </row>
    <row r="264" spans="1:10">
      <c r="A264" s="4" t="s">
        <v>300</v>
      </c>
      <c r="B264" s="4" t="s">
        <v>70</v>
      </c>
      <c r="C264" s="4" t="s">
        <v>12</v>
      </c>
      <c r="D264" s="21">
        <v>179000</v>
      </c>
      <c r="E264" s="4">
        <v>20</v>
      </c>
      <c r="F264" s="4">
        <v>2</v>
      </c>
      <c r="G264" s="4">
        <v>1</v>
      </c>
      <c r="H264" s="4">
        <v>750</v>
      </c>
      <c r="I264" s="11">
        <f t="shared" si="8"/>
        <v>238.66666666666666</v>
      </c>
      <c r="J264" s="3" t="str">
        <f t="shared" si="9"/>
        <v>Medium</v>
      </c>
    </row>
    <row r="265" spans="1:10">
      <c r="A265" s="7" t="s">
        <v>301</v>
      </c>
      <c r="B265" s="7" t="s">
        <v>83</v>
      </c>
      <c r="C265" s="7" t="s">
        <v>12</v>
      </c>
      <c r="D265" s="22">
        <v>179900</v>
      </c>
      <c r="E265" s="7">
        <v>78</v>
      </c>
      <c r="F265" s="7">
        <v>3</v>
      </c>
      <c r="G265" s="7">
        <v>1</v>
      </c>
      <c r="H265" s="12">
        <v>1078</v>
      </c>
      <c r="I265" s="9">
        <f t="shared" si="8"/>
        <v>166.88311688311688</v>
      </c>
      <c r="J265" s="3" t="str">
        <f t="shared" si="9"/>
        <v>Low</v>
      </c>
    </row>
    <row r="266" spans="1:10">
      <c r="A266" s="4" t="s">
        <v>302</v>
      </c>
      <c r="B266" s="4" t="s">
        <v>70</v>
      </c>
      <c r="C266" s="4" t="s">
        <v>12</v>
      </c>
      <c r="D266" s="21">
        <v>180000</v>
      </c>
      <c r="E266" s="4">
        <v>4</v>
      </c>
      <c r="F266" s="4">
        <v>3</v>
      </c>
      <c r="G266" s="4">
        <v>1.1000000000000001</v>
      </c>
      <c r="H266" s="10">
        <v>1034</v>
      </c>
      <c r="I266" s="11">
        <f t="shared" si="8"/>
        <v>174.08123791102514</v>
      </c>
      <c r="J266" s="3" t="str">
        <f t="shared" si="9"/>
        <v>Low</v>
      </c>
    </row>
    <row r="267" spans="1:10">
      <c r="A267" s="7" t="s">
        <v>303</v>
      </c>
      <c r="B267" s="7" t="s">
        <v>42</v>
      </c>
      <c r="C267" s="7" t="s">
        <v>12</v>
      </c>
      <c r="D267" s="22">
        <v>180000</v>
      </c>
      <c r="E267" s="7">
        <v>2</v>
      </c>
      <c r="F267" s="7">
        <v>3</v>
      </c>
      <c r="G267" s="7">
        <v>1</v>
      </c>
      <c r="H267" s="12">
        <v>1056</v>
      </c>
      <c r="I267" s="9">
        <f t="shared" si="8"/>
        <v>170.45454545454547</v>
      </c>
      <c r="J267" s="3" t="str">
        <f t="shared" si="9"/>
        <v>Low</v>
      </c>
    </row>
    <row r="268" spans="1:10">
      <c r="A268" s="4" t="s">
        <v>304</v>
      </c>
      <c r="B268" s="4" t="s">
        <v>73</v>
      </c>
      <c r="C268" s="4" t="s">
        <v>12</v>
      </c>
      <c r="D268" s="21">
        <v>180000</v>
      </c>
      <c r="E268" s="4">
        <v>198</v>
      </c>
      <c r="F268" s="4">
        <v>3</v>
      </c>
      <c r="G268" s="4">
        <v>2</v>
      </c>
      <c r="H268" s="10">
        <v>1608</v>
      </c>
      <c r="I268" s="11">
        <f t="shared" si="8"/>
        <v>111.94029850746269</v>
      </c>
      <c r="J268" s="3" t="str">
        <f t="shared" si="9"/>
        <v>Low</v>
      </c>
    </row>
    <row r="269" spans="1:10">
      <c r="A269" s="7" t="s">
        <v>305</v>
      </c>
      <c r="B269" s="7" t="s">
        <v>56</v>
      </c>
      <c r="C269" s="7" t="s">
        <v>12</v>
      </c>
      <c r="D269" s="22">
        <v>180000</v>
      </c>
      <c r="E269" s="7">
        <v>6</v>
      </c>
      <c r="F269" s="7">
        <v>2</v>
      </c>
      <c r="G269" s="7">
        <v>1</v>
      </c>
      <c r="H269" s="7">
        <v>858</v>
      </c>
      <c r="I269" s="9">
        <f t="shared" si="8"/>
        <v>209.79020979020979</v>
      </c>
      <c r="J269" s="3" t="str">
        <f t="shared" si="9"/>
        <v>Medium</v>
      </c>
    </row>
    <row r="270" spans="1:10">
      <c r="A270" s="4" t="s">
        <v>306</v>
      </c>
      <c r="B270" s="4" t="s">
        <v>36</v>
      </c>
      <c r="C270" s="4" t="s">
        <v>12</v>
      </c>
      <c r="D270" s="21">
        <v>180000</v>
      </c>
      <c r="E270" s="4">
        <v>2</v>
      </c>
      <c r="F270" s="4">
        <v>2</v>
      </c>
      <c r="G270" s="4">
        <v>1</v>
      </c>
      <c r="H270" s="4">
        <v>725</v>
      </c>
      <c r="I270" s="11">
        <f t="shared" si="8"/>
        <v>248.27586206896552</v>
      </c>
      <c r="J270" s="3" t="str">
        <f t="shared" si="9"/>
        <v>Medium</v>
      </c>
    </row>
    <row r="271" spans="1:10">
      <c r="A271" s="7" t="s">
        <v>307</v>
      </c>
      <c r="B271" s="7" t="s">
        <v>42</v>
      </c>
      <c r="C271" s="7" t="s">
        <v>12</v>
      </c>
      <c r="D271" s="22">
        <v>180000</v>
      </c>
      <c r="E271" s="7">
        <v>27</v>
      </c>
      <c r="F271" s="7">
        <v>3</v>
      </c>
      <c r="G271" s="7">
        <v>1.1000000000000001</v>
      </c>
      <c r="H271" s="12">
        <v>1134</v>
      </c>
      <c r="I271" s="9">
        <f t="shared" si="8"/>
        <v>158.73015873015873</v>
      </c>
      <c r="J271" s="3" t="str">
        <f t="shared" si="9"/>
        <v>Low</v>
      </c>
    </row>
    <row r="272" spans="1:10">
      <c r="A272" s="4" t="s">
        <v>308</v>
      </c>
      <c r="B272" s="4" t="s">
        <v>229</v>
      </c>
      <c r="C272" s="4" t="s">
        <v>12</v>
      </c>
      <c r="D272" s="21">
        <v>180000</v>
      </c>
      <c r="E272" s="4">
        <v>16</v>
      </c>
      <c r="F272" s="4">
        <v>3</v>
      </c>
      <c r="G272" s="4">
        <v>1</v>
      </c>
      <c r="H272" s="10">
        <v>1333</v>
      </c>
      <c r="I272" s="11">
        <f t="shared" si="8"/>
        <v>135.0337584396099</v>
      </c>
      <c r="J272" s="3" t="str">
        <f t="shared" si="9"/>
        <v>Low</v>
      </c>
    </row>
    <row r="273" spans="1:10">
      <c r="A273" s="7" t="s">
        <v>309</v>
      </c>
      <c r="B273" s="7" t="s">
        <v>298</v>
      </c>
      <c r="C273" s="7" t="s">
        <v>12</v>
      </c>
      <c r="D273" s="22">
        <v>180000</v>
      </c>
      <c r="E273" s="7">
        <v>126</v>
      </c>
      <c r="F273" s="7">
        <v>3</v>
      </c>
      <c r="G273" s="7">
        <v>1</v>
      </c>
      <c r="H273" s="12">
        <v>1830</v>
      </c>
      <c r="I273" s="9">
        <f t="shared" si="8"/>
        <v>98.360655737704917</v>
      </c>
      <c r="J273" s="3" t="str">
        <f t="shared" si="9"/>
        <v>Low</v>
      </c>
    </row>
    <row r="274" spans="1:10">
      <c r="A274" s="4" t="s">
        <v>310</v>
      </c>
      <c r="B274" s="4" t="s">
        <v>73</v>
      </c>
      <c r="C274" s="4" t="s">
        <v>12</v>
      </c>
      <c r="D274" s="21">
        <v>182500</v>
      </c>
      <c r="E274" s="4">
        <v>14</v>
      </c>
      <c r="F274" s="4">
        <v>3</v>
      </c>
      <c r="G274" s="4">
        <v>1</v>
      </c>
      <c r="H274" s="10">
        <v>1120</v>
      </c>
      <c r="I274" s="11">
        <f t="shared" si="8"/>
        <v>162.94642857142858</v>
      </c>
      <c r="J274" s="3" t="str">
        <f t="shared" si="9"/>
        <v>Low</v>
      </c>
    </row>
    <row r="275" spans="1:10">
      <c r="A275" s="7" t="s">
        <v>311</v>
      </c>
      <c r="B275" s="7" t="s">
        <v>29</v>
      </c>
      <c r="C275" s="7" t="s">
        <v>12</v>
      </c>
      <c r="D275" s="22">
        <v>183000</v>
      </c>
      <c r="E275" s="7">
        <v>1</v>
      </c>
      <c r="F275" s="7">
        <v>3</v>
      </c>
      <c r="G275" s="7">
        <v>1</v>
      </c>
      <c r="H275" s="7">
        <v>881</v>
      </c>
      <c r="I275" s="9">
        <f t="shared" si="8"/>
        <v>207.71850170261067</v>
      </c>
      <c r="J275" s="3" t="str">
        <f t="shared" si="9"/>
        <v>Medium</v>
      </c>
    </row>
    <row r="276" spans="1:10">
      <c r="A276" s="4" t="s">
        <v>312</v>
      </c>
      <c r="B276" s="4" t="s">
        <v>42</v>
      </c>
      <c r="C276" s="4" t="s">
        <v>12</v>
      </c>
      <c r="D276" s="21">
        <v>183000</v>
      </c>
      <c r="E276" s="4">
        <v>11</v>
      </c>
      <c r="F276" s="4">
        <v>3</v>
      </c>
      <c r="G276" s="4">
        <v>1</v>
      </c>
      <c r="H276" s="4">
        <v>950</v>
      </c>
      <c r="I276" s="11">
        <f t="shared" si="8"/>
        <v>192.63157894736841</v>
      </c>
      <c r="J276" s="3" t="str">
        <f t="shared" si="9"/>
        <v>Low</v>
      </c>
    </row>
    <row r="277" spans="1:10">
      <c r="A277" s="7" t="s">
        <v>313</v>
      </c>
      <c r="B277" s="7" t="s">
        <v>42</v>
      </c>
      <c r="C277" s="7" t="s">
        <v>12</v>
      </c>
      <c r="D277" s="22">
        <v>183000</v>
      </c>
      <c r="E277" s="7">
        <v>9</v>
      </c>
      <c r="F277" s="7">
        <v>2</v>
      </c>
      <c r="G277" s="7">
        <v>1</v>
      </c>
      <c r="H277" s="7">
        <v>800</v>
      </c>
      <c r="I277" s="9">
        <f t="shared" si="8"/>
        <v>228.75</v>
      </c>
      <c r="J277" s="3" t="str">
        <f t="shared" si="9"/>
        <v>Medium</v>
      </c>
    </row>
    <row r="278" spans="1:10">
      <c r="A278" s="4" t="s">
        <v>314</v>
      </c>
      <c r="B278" s="4" t="s">
        <v>11</v>
      </c>
      <c r="C278" s="4" t="s">
        <v>12</v>
      </c>
      <c r="D278" s="21">
        <v>184900</v>
      </c>
      <c r="E278" s="4">
        <v>27</v>
      </c>
      <c r="F278" s="4">
        <v>2</v>
      </c>
      <c r="G278" s="4">
        <v>1</v>
      </c>
      <c r="H278" s="10">
        <v>1000</v>
      </c>
      <c r="I278" s="11">
        <f t="shared" si="8"/>
        <v>184.9</v>
      </c>
      <c r="J278" s="3" t="str">
        <f t="shared" si="9"/>
        <v>Low</v>
      </c>
    </row>
    <row r="279" spans="1:10">
      <c r="A279" s="7" t="s">
        <v>315</v>
      </c>
      <c r="B279" s="7" t="s">
        <v>117</v>
      </c>
      <c r="C279" s="7" t="s">
        <v>12</v>
      </c>
      <c r="D279" s="22">
        <v>185000</v>
      </c>
      <c r="E279" s="7">
        <v>9</v>
      </c>
      <c r="F279" s="7">
        <v>2</v>
      </c>
      <c r="G279" s="7">
        <v>1</v>
      </c>
      <c r="H279" s="7">
        <v>834</v>
      </c>
      <c r="I279" s="9">
        <f t="shared" si="8"/>
        <v>221.82254196642685</v>
      </c>
      <c r="J279" s="3" t="str">
        <f t="shared" si="9"/>
        <v>Medium</v>
      </c>
    </row>
    <row r="280" spans="1:10">
      <c r="A280" s="4" t="s">
        <v>316</v>
      </c>
      <c r="B280" s="4" t="s">
        <v>36</v>
      </c>
      <c r="C280" s="4" t="s">
        <v>12</v>
      </c>
      <c r="D280" s="21">
        <v>185000</v>
      </c>
      <c r="E280" s="4">
        <v>3</v>
      </c>
      <c r="F280" s="4">
        <v>3</v>
      </c>
      <c r="G280" s="4">
        <v>1</v>
      </c>
      <c r="H280" s="10">
        <v>1021</v>
      </c>
      <c r="I280" s="11">
        <f t="shared" si="8"/>
        <v>181.19490695396669</v>
      </c>
      <c r="J280" s="3" t="str">
        <f t="shared" si="9"/>
        <v>Low</v>
      </c>
    </row>
    <row r="281" spans="1:10">
      <c r="A281" s="7" t="s">
        <v>317</v>
      </c>
      <c r="B281" s="7" t="s">
        <v>318</v>
      </c>
      <c r="C281" s="7" t="s">
        <v>12</v>
      </c>
      <c r="D281" s="22">
        <v>185000</v>
      </c>
      <c r="E281" s="7">
        <v>10</v>
      </c>
      <c r="F281" s="7">
        <v>3</v>
      </c>
      <c r="G281" s="7">
        <v>1</v>
      </c>
      <c r="H281" s="12">
        <v>1029</v>
      </c>
      <c r="I281" s="9">
        <f t="shared" si="8"/>
        <v>179.78620019436346</v>
      </c>
      <c r="J281" s="3" t="str">
        <f t="shared" si="9"/>
        <v>Low</v>
      </c>
    </row>
    <row r="282" spans="1:10">
      <c r="A282" s="4" t="s">
        <v>319</v>
      </c>
      <c r="B282" s="4" t="s">
        <v>29</v>
      </c>
      <c r="C282" s="4" t="s">
        <v>12</v>
      </c>
      <c r="D282" s="21">
        <v>185000</v>
      </c>
      <c r="E282" s="4">
        <v>8</v>
      </c>
      <c r="F282" s="4">
        <v>2</v>
      </c>
      <c r="G282" s="4">
        <v>1</v>
      </c>
      <c r="H282" s="4">
        <v>726</v>
      </c>
      <c r="I282" s="11">
        <f t="shared" si="8"/>
        <v>254.82093663911846</v>
      </c>
      <c r="J282" s="3" t="str">
        <f t="shared" si="9"/>
        <v>Medium</v>
      </c>
    </row>
    <row r="283" spans="1:10">
      <c r="A283" s="7" t="s">
        <v>320</v>
      </c>
      <c r="B283" s="7" t="s">
        <v>229</v>
      </c>
      <c r="C283" s="7" t="s">
        <v>12</v>
      </c>
      <c r="D283" s="22">
        <v>185000</v>
      </c>
      <c r="E283" s="7">
        <v>7</v>
      </c>
      <c r="F283" s="7">
        <v>3</v>
      </c>
      <c r="G283" s="7">
        <v>1</v>
      </c>
      <c r="H283" s="12">
        <v>1008</v>
      </c>
      <c r="I283" s="9">
        <f t="shared" si="8"/>
        <v>183.53174603174602</v>
      </c>
      <c r="J283" s="3" t="str">
        <f t="shared" si="9"/>
        <v>Low</v>
      </c>
    </row>
    <row r="284" spans="1:10">
      <c r="A284" s="4" t="s">
        <v>321</v>
      </c>
      <c r="B284" s="4" t="s">
        <v>11</v>
      </c>
      <c r="C284" s="4" t="s">
        <v>12</v>
      </c>
      <c r="D284" s="21">
        <v>185000</v>
      </c>
      <c r="E284" s="4">
        <v>51</v>
      </c>
      <c r="F284" s="4">
        <v>3</v>
      </c>
      <c r="G284" s="4">
        <v>1</v>
      </c>
      <c r="H284" s="10">
        <v>1074</v>
      </c>
      <c r="I284" s="11">
        <f t="shared" si="8"/>
        <v>172.25325884543761</v>
      </c>
      <c r="J284" s="3" t="str">
        <f t="shared" si="9"/>
        <v>Low</v>
      </c>
    </row>
    <row r="285" spans="1:10">
      <c r="A285" s="7" t="s">
        <v>322</v>
      </c>
      <c r="B285" s="7" t="s">
        <v>83</v>
      </c>
      <c r="C285" s="7" t="s">
        <v>12</v>
      </c>
      <c r="D285" s="22">
        <v>185000</v>
      </c>
      <c r="E285" s="7">
        <v>166</v>
      </c>
      <c r="F285" s="7">
        <v>4</v>
      </c>
      <c r="G285" s="7">
        <v>2</v>
      </c>
      <c r="H285" s="12">
        <v>1250</v>
      </c>
      <c r="I285" s="9">
        <f t="shared" si="8"/>
        <v>148</v>
      </c>
      <c r="J285" s="3" t="str">
        <f t="shared" si="9"/>
        <v>Low</v>
      </c>
    </row>
    <row r="286" spans="1:10">
      <c r="A286" s="4" t="s">
        <v>323</v>
      </c>
      <c r="B286" s="4" t="s">
        <v>36</v>
      </c>
      <c r="C286" s="4" t="s">
        <v>12</v>
      </c>
      <c r="D286" s="21">
        <v>185000</v>
      </c>
      <c r="E286" s="4">
        <v>28</v>
      </c>
      <c r="F286" s="4">
        <v>2</v>
      </c>
      <c r="G286" s="4">
        <v>1</v>
      </c>
      <c r="H286" s="10">
        <v>1134</v>
      </c>
      <c r="I286" s="11">
        <f t="shared" si="8"/>
        <v>163.13932980599648</v>
      </c>
      <c r="J286" s="3" t="str">
        <f t="shared" si="9"/>
        <v>Low</v>
      </c>
    </row>
    <row r="287" spans="1:10">
      <c r="A287" s="7" t="s">
        <v>324</v>
      </c>
      <c r="B287" s="7" t="s">
        <v>282</v>
      </c>
      <c r="C287" s="7" t="s">
        <v>12</v>
      </c>
      <c r="D287" s="22">
        <v>186000</v>
      </c>
      <c r="E287" s="7">
        <v>10</v>
      </c>
      <c r="F287" s="7">
        <v>2</v>
      </c>
      <c r="G287" s="7">
        <v>3</v>
      </c>
      <c r="H287" s="7">
        <v>976</v>
      </c>
      <c r="I287" s="9">
        <f t="shared" si="8"/>
        <v>190.57377049180329</v>
      </c>
      <c r="J287" s="3" t="str">
        <f t="shared" si="9"/>
        <v>Low</v>
      </c>
    </row>
    <row r="288" spans="1:10">
      <c r="A288" s="4" t="s">
        <v>325</v>
      </c>
      <c r="B288" s="4" t="s">
        <v>29</v>
      </c>
      <c r="C288" s="4" t="s">
        <v>12</v>
      </c>
      <c r="D288" s="21">
        <v>186000</v>
      </c>
      <c r="E288" s="4">
        <v>64</v>
      </c>
      <c r="F288" s="4">
        <v>2</v>
      </c>
      <c r="G288" s="4">
        <v>1</v>
      </c>
      <c r="H288" s="4">
        <v>709</v>
      </c>
      <c r="I288" s="11">
        <f t="shared" si="8"/>
        <v>262.34132581100141</v>
      </c>
      <c r="J288" s="3" t="str">
        <f t="shared" si="9"/>
        <v>Medium</v>
      </c>
    </row>
    <row r="289" spans="1:10">
      <c r="A289" s="7" t="s">
        <v>326</v>
      </c>
      <c r="B289" s="7" t="s">
        <v>36</v>
      </c>
      <c r="C289" s="7" t="s">
        <v>12</v>
      </c>
      <c r="D289" s="22">
        <v>186200</v>
      </c>
      <c r="E289" s="7">
        <v>16</v>
      </c>
      <c r="F289" s="7">
        <v>3</v>
      </c>
      <c r="G289" s="7">
        <v>1</v>
      </c>
      <c r="H289" s="7">
        <v>978</v>
      </c>
      <c r="I289" s="9">
        <f t="shared" si="8"/>
        <v>190.38854805725973</v>
      </c>
      <c r="J289" s="3" t="str">
        <f t="shared" si="9"/>
        <v>Low</v>
      </c>
    </row>
    <row r="290" spans="1:10">
      <c r="A290" s="4" t="s">
        <v>327</v>
      </c>
      <c r="B290" s="4" t="s">
        <v>36</v>
      </c>
      <c r="C290" s="4" t="s">
        <v>12</v>
      </c>
      <c r="D290" s="21">
        <v>187000</v>
      </c>
      <c r="E290" s="4">
        <v>96</v>
      </c>
      <c r="F290" s="4">
        <v>3</v>
      </c>
      <c r="G290" s="4">
        <v>1</v>
      </c>
      <c r="H290" s="4">
        <v>897</v>
      </c>
      <c r="I290" s="11">
        <f t="shared" si="8"/>
        <v>208.47268673355629</v>
      </c>
      <c r="J290" s="3" t="str">
        <f t="shared" si="9"/>
        <v>Medium</v>
      </c>
    </row>
    <row r="291" spans="1:10">
      <c r="A291" s="7" t="s">
        <v>328</v>
      </c>
      <c r="B291" s="7" t="s">
        <v>83</v>
      </c>
      <c r="C291" s="7" t="s">
        <v>12</v>
      </c>
      <c r="D291" s="22">
        <v>187500</v>
      </c>
      <c r="E291" s="7">
        <v>3</v>
      </c>
      <c r="F291" s="7">
        <v>3</v>
      </c>
      <c r="G291" s="7">
        <v>1.2</v>
      </c>
      <c r="H291" s="12">
        <v>1348</v>
      </c>
      <c r="I291" s="9">
        <f t="shared" si="8"/>
        <v>139.09495548961425</v>
      </c>
      <c r="J291" s="3" t="str">
        <f t="shared" si="9"/>
        <v>Low</v>
      </c>
    </row>
    <row r="292" spans="1:10">
      <c r="A292" s="4" t="s">
        <v>329</v>
      </c>
      <c r="B292" s="4" t="s">
        <v>70</v>
      </c>
      <c r="C292" s="4" t="s">
        <v>12</v>
      </c>
      <c r="D292" s="21">
        <v>187500</v>
      </c>
      <c r="E292" s="4">
        <v>5</v>
      </c>
      <c r="F292" s="4">
        <v>2</v>
      </c>
      <c r="G292" s="4">
        <v>1</v>
      </c>
      <c r="H292" s="4">
        <v>925</v>
      </c>
      <c r="I292" s="11">
        <f t="shared" si="8"/>
        <v>202.70270270270271</v>
      </c>
      <c r="J292" s="3" t="str">
        <f t="shared" si="9"/>
        <v>Medium</v>
      </c>
    </row>
    <row r="293" spans="1:10">
      <c r="A293" s="7" t="s">
        <v>330</v>
      </c>
      <c r="B293" s="7" t="s">
        <v>331</v>
      </c>
      <c r="C293" s="7" t="s">
        <v>12</v>
      </c>
      <c r="D293" s="22">
        <v>187500</v>
      </c>
      <c r="E293" s="7">
        <v>13</v>
      </c>
      <c r="F293" s="7">
        <v>2</v>
      </c>
      <c r="G293" s="7">
        <v>1</v>
      </c>
      <c r="H293" s="7">
        <v>709</v>
      </c>
      <c r="I293" s="9">
        <f t="shared" si="8"/>
        <v>264.45698166431595</v>
      </c>
      <c r="J293" s="3" t="str">
        <f t="shared" si="9"/>
        <v>Medium</v>
      </c>
    </row>
    <row r="294" spans="1:10">
      <c r="A294" s="4" t="s">
        <v>332</v>
      </c>
      <c r="B294" s="4" t="s">
        <v>29</v>
      </c>
      <c r="C294" s="4" t="s">
        <v>12</v>
      </c>
      <c r="D294" s="21">
        <v>188500</v>
      </c>
      <c r="E294" s="4">
        <v>199</v>
      </c>
      <c r="F294" s="4">
        <v>3</v>
      </c>
      <c r="G294" s="4">
        <v>1</v>
      </c>
      <c r="H294" s="4">
        <v>918</v>
      </c>
      <c r="I294" s="11">
        <f t="shared" si="8"/>
        <v>205.33769063180827</v>
      </c>
      <c r="J294" s="3" t="str">
        <f t="shared" si="9"/>
        <v>Medium</v>
      </c>
    </row>
    <row r="295" spans="1:10">
      <c r="A295" s="7" t="s">
        <v>333</v>
      </c>
      <c r="B295" s="7" t="s">
        <v>11</v>
      </c>
      <c r="C295" s="7" t="s">
        <v>12</v>
      </c>
      <c r="D295" s="22">
        <v>188775</v>
      </c>
      <c r="E295" s="7">
        <v>52</v>
      </c>
      <c r="F295" s="7">
        <v>3</v>
      </c>
      <c r="G295" s="7">
        <v>1</v>
      </c>
      <c r="H295" s="7">
        <v>896</v>
      </c>
      <c r="I295" s="9">
        <f t="shared" si="8"/>
        <v>210.68638392857142</v>
      </c>
      <c r="J295" s="3" t="str">
        <f t="shared" si="9"/>
        <v>Medium</v>
      </c>
    </row>
    <row r="296" spans="1:10">
      <c r="A296" s="4" t="s">
        <v>334</v>
      </c>
      <c r="B296" s="4" t="s">
        <v>70</v>
      </c>
      <c r="C296" s="4" t="s">
        <v>12</v>
      </c>
      <c r="D296" s="21">
        <v>189000</v>
      </c>
      <c r="E296" s="4">
        <v>24</v>
      </c>
      <c r="F296" s="4">
        <v>2</v>
      </c>
      <c r="G296" s="4">
        <v>1</v>
      </c>
      <c r="H296" s="10">
        <v>1064</v>
      </c>
      <c r="I296" s="11">
        <f t="shared" si="8"/>
        <v>177.63157894736841</v>
      </c>
      <c r="J296" s="3" t="str">
        <f t="shared" si="9"/>
        <v>Low</v>
      </c>
    </row>
    <row r="297" spans="1:10">
      <c r="A297" s="7" t="s">
        <v>335</v>
      </c>
      <c r="B297" s="7" t="s">
        <v>11</v>
      </c>
      <c r="C297" s="7" t="s">
        <v>12</v>
      </c>
      <c r="D297" s="22">
        <v>189000</v>
      </c>
      <c r="E297" s="7">
        <v>51</v>
      </c>
      <c r="F297" s="7">
        <v>3</v>
      </c>
      <c r="G297" s="7">
        <v>1</v>
      </c>
      <c r="H297" s="12">
        <v>1053</v>
      </c>
      <c r="I297" s="9">
        <f t="shared" si="8"/>
        <v>179.48717948717947</v>
      </c>
      <c r="J297" s="3" t="str">
        <f t="shared" si="9"/>
        <v>Low</v>
      </c>
    </row>
    <row r="298" spans="1:10">
      <c r="A298" s="4" t="s">
        <v>336</v>
      </c>
      <c r="B298" s="4" t="s">
        <v>70</v>
      </c>
      <c r="C298" s="4" t="s">
        <v>12</v>
      </c>
      <c r="D298" s="21">
        <v>190000</v>
      </c>
      <c r="E298" s="4">
        <v>8</v>
      </c>
      <c r="F298" s="4">
        <v>3</v>
      </c>
      <c r="G298" s="4">
        <v>1.1000000000000001</v>
      </c>
      <c r="H298" s="10">
        <v>1263</v>
      </c>
      <c r="I298" s="11">
        <f t="shared" si="8"/>
        <v>150.43547110055422</v>
      </c>
      <c r="J298" s="3" t="str">
        <f t="shared" si="9"/>
        <v>Low</v>
      </c>
    </row>
    <row r="299" spans="1:10">
      <c r="A299" s="7" t="s">
        <v>337</v>
      </c>
      <c r="B299" s="7" t="s">
        <v>54</v>
      </c>
      <c r="C299" s="7" t="s">
        <v>12</v>
      </c>
      <c r="D299" s="22">
        <v>190000</v>
      </c>
      <c r="E299" s="7">
        <v>13</v>
      </c>
      <c r="F299" s="7">
        <v>4</v>
      </c>
      <c r="G299" s="7">
        <v>1</v>
      </c>
      <c r="H299" s="12">
        <v>1539</v>
      </c>
      <c r="I299" s="9">
        <f t="shared" si="8"/>
        <v>123.45679012345678</v>
      </c>
      <c r="J299" s="3" t="str">
        <f t="shared" si="9"/>
        <v>Low</v>
      </c>
    </row>
    <row r="300" spans="1:10">
      <c r="A300" s="4" t="s">
        <v>338</v>
      </c>
      <c r="B300" s="4" t="s">
        <v>14</v>
      </c>
      <c r="C300" s="4" t="s">
        <v>12</v>
      </c>
      <c r="D300" s="21">
        <v>190000</v>
      </c>
      <c r="E300" s="4">
        <v>20</v>
      </c>
      <c r="F300" s="4">
        <v>3</v>
      </c>
      <c r="G300" s="4">
        <v>1</v>
      </c>
      <c r="H300" s="4">
        <v>944</v>
      </c>
      <c r="I300" s="11">
        <f t="shared" si="8"/>
        <v>201.27118644067798</v>
      </c>
      <c r="J300" s="3" t="str">
        <f t="shared" si="9"/>
        <v>Medium</v>
      </c>
    </row>
    <row r="301" spans="1:10">
      <c r="A301" s="7" t="s">
        <v>339</v>
      </c>
      <c r="B301" s="7" t="s">
        <v>73</v>
      </c>
      <c r="C301" s="7" t="s">
        <v>12</v>
      </c>
      <c r="D301" s="22">
        <v>190000</v>
      </c>
      <c r="E301" s="7">
        <v>39</v>
      </c>
      <c r="F301" s="7">
        <v>2</v>
      </c>
      <c r="G301" s="7">
        <v>2</v>
      </c>
      <c r="H301" s="7">
        <v>800</v>
      </c>
      <c r="I301" s="9">
        <f t="shared" si="8"/>
        <v>237.5</v>
      </c>
      <c r="J301" s="3" t="str">
        <f t="shared" si="9"/>
        <v>Medium</v>
      </c>
    </row>
    <row r="302" spans="1:10">
      <c r="A302" s="4" t="s">
        <v>340</v>
      </c>
      <c r="B302" s="4" t="s">
        <v>36</v>
      </c>
      <c r="C302" s="4" t="s">
        <v>12</v>
      </c>
      <c r="D302" s="21">
        <v>190000</v>
      </c>
      <c r="E302" s="4">
        <v>6</v>
      </c>
      <c r="F302" s="4">
        <v>3</v>
      </c>
      <c r="G302" s="4">
        <v>1</v>
      </c>
      <c r="H302" s="10">
        <v>1037</v>
      </c>
      <c r="I302" s="11">
        <f t="shared" si="8"/>
        <v>183.22082931533268</v>
      </c>
      <c r="J302" s="3" t="str">
        <f t="shared" si="9"/>
        <v>Low</v>
      </c>
    </row>
    <row r="303" spans="1:10">
      <c r="A303" s="7" t="s">
        <v>341</v>
      </c>
      <c r="B303" s="7" t="s">
        <v>73</v>
      </c>
      <c r="C303" s="7" t="s">
        <v>12</v>
      </c>
      <c r="D303" s="22">
        <v>190000</v>
      </c>
      <c r="E303" s="7">
        <v>6</v>
      </c>
      <c r="F303" s="7">
        <v>3</v>
      </c>
      <c r="G303" s="7">
        <v>1.1000000000000001</v>
      </c>
      <c r="H303" s="12">
        <v>1649</v>
      </c>
      <c r="I303" s="9">
        <f t="shared" si="8"/>
        <v>115.22134627046695</v>
      </c>
      <c r="J303" s="3" t="str">
        <f t="shared" si="9"/>
        <v>Low</v>
      </c>
    </row>
    <row r="304" spans="1:10">
      <c r="A304" s="4" t="s">
        <v>342</v>
      </c>
      <c r="B304" s="4" t="s">
        <v>83</v>
      </c>
      <c r="C304" s="4" t="s">
        <v>12</v>
      </c>
      <c r="D304" s="21">
        <v>190000</v>
      </c>
      <c r="E304" s="4">
        <v>26</v>
      </c>
      <c r="F304" s="4">
        <v>3</v>
      </c>
      <c r="G304" s="4">
        <v>2.2000000000000002</v>
      </c>
      <c r="H304" s="10">
        <v>1150</v>
      </c>
      <c r="I304" s="11">
        <f t="shared" si="8"/>
        <v>165.21739130434781</v>
      </c>
      <c r="J304" s="3" t="str">
        <f t="shared" si="9"/>
        <v>Low</v>
      </c>
    </row>
    <row r="305" spans="1:10">
      <c r="A305" s="7" t="s">
        <v>343</v>
      </c>
      <c r="B305" s="7" t="s">
        <v>14</v>
      </c>
      <c r="C305" s="7" t="s">
        <v>12</v>
      </c>
      <c r="D305" s="22">
        <v>190000</v>
      </c>
      <c r="E305" s="7">
        <v>8</v>
      </c>
      <c r="F305" s="7">
        <v>3</v>
      </c>
      <c r="G305" s="7">
        <v>1.1000000000000001</v>
      </c>
      <c r="H305" s="7">
        <v>994</v>
      </c>
      <c r="I305" s="9">
        <f t="shared" si="8"/>
        <v>191.14688128772636</v>
      </c>
      <c r="J305" s="3" t="str">
        <f t="shared" si="9"/>
        <v>Low</v>
      </c>
    </row>
    <row r="306" spans="1:10">
      <c r="A306" s="4" t="s">
        <v>344</v>
      </c>
      <c r="B306" s="4" t="s">
        <v>77</v>
      </c>
      <c r="C306" s="4" t="s">
        <v>12</v>
      </c>
      <c r="D306" s="21">
        <v>190000</v>
      </c>
      <c r="E306" s="4">
        <v>33</v>
      </c>
      <c r="F306" s="4">
        <v>4</v>
      </c>
      <c r="G306" s="4">
        <v>3</v>
      </c>
      <c r="H306" s="10">
        <v>1886</v>
      </c>
      <c r="I306" s="11">
        <f t="shared" si="8"/>
        <v>100.7423117709438</v>
      </c>
      <c r="J306" s="3" t="str">
        <f t="shared" si="9"/>
        <v>Low</v>
      </c>
    </row>
    <row r="307" spans="1:10">
      <c r="A307" s="7" t="s">
        <v>345</v>
      </c>
      <c r="B307" s="7" t="s">
        <v>331</v>
      </c>
      <c r="C307" s="7" t="s">
        <v>12</v>
      </c>
      <c r="D307" s="22">
        <v>190000</v>
      </c>
      <c r="E307" s="7">
        <v>68</v>
      </c>
      <c r="F307" s="7">
        <v>3</v>
      </c>
      <c r="G307" s="7">
        <v>1</v>
      </c>
      <c r="H307" s="12">
        <v>1068</v>
      </c>
      <c r="I307" s="9">
        <f t="shared" si="8"/>
        <v>177.90262172284645</v>
      </c>
      <c r="J307" s="3" t="str">
        <f t="shared" si="9"/>
        <v>Low</v>
      </c>
    </row>
    <row r="308" spans="1:10">
      <c r="A308" s="4" t="s">
        <v>346</v>
      </c>
      <c r="B308" s="4" t="s">
        <v>131</v>
      </c>
      <c r="C308" s="4" t="s">
        <v>12</v>
      </c>
      <c r="D308" s="21">
        <v>190000</v>
      </c>
      <c r="E308" s="4">
        <v>51</v>
      </c>
      <c r="F308" s="4">
        <v>2</v>
      </c>
      <c r="G308" s="4">
        <v>1</v>
      </c>
      <c r="H308" s="4">
        <v>958</v>
      </c>
      <c r="I308" s="11">
        <f t="shared" si="8"/>
        <v>198.32985386221296</v>
      </c>
      <c r="J308" s="3" t="str">
        <f t="shared" si="9"/>
        <v>Low</v>
      </c>
    </row>
    <row r="309" spans="1:10">
      <c r="A309" s="7" t="s">
        <v>347</v>
      </c>
      <c r="B309" s="7" t="s">
        <v>83</v>
      </c>
      <c r="C309" s="7" t="s">
        <v>12</v>
      </c>
      <c r="D309" s="22">
        <v>190000</v>
      </c>
      <c r="E309" s="7">
        <v>14</v>
      </c>
      <c r="F309" s="7">
        <v>3</v>
      </c>
      <c r="G309" s="7">
        <v>2.1</v>
      </c>
      <c r="H309" s="12">
        <v>1533</v>
      </c>
      <c r="I309" s="9">
        <f t="shared" si="8"/>
        <v>123.93998695368559</v>
      </c>
      <c r="J309" s="3" t="str">
        <f t="shared" si="9"/>
        <v>Low</v>
      </c>
    </row>
    <row r="310" spans="1:10">
      <c r="A310" s="4" t="s">
        <v>348</v>
      </c>
      <c r="B310" s="4" t="s">
        <v>131</v>
      </c>
      <c r="C310" s="4" t="s">
        <v>12</v>
      </c>
      <c r="D310" s="21">
        <v>190725</v>
      </c>
      <c r="E310" s="4">
        <v>7</v>
      </c>
      <c r="F310" s="4">
        <v>3</v>
      </c>
      <c r="G310" s="4">
        <v>1</v>
      </c>
      <c r="H310" s="10">
        <v>1024</v>
      </c>
      <c r="I310" s="11">
        <f t="shared" si="8"/>
        <v>186.2548828125</v>
      </c>
      <c r="J310" s="3" t="str">
        <f t="shared" si="9"/>
        <v>Low</v>
      </c>
    </row>
    <row r="311" spans="1:10">
      <c r="A311" s="7" t="s">
        <v>349</v>
      </c>
      <c r="B311" s="7" t="s">
        <v>36</v>
      </c>
      <c r="C311" s="7" t="s">
        <v>12</v>
      </c>
      <c r="D311" s="22">
        <v>191000</v>
      </c>
      <c r="E311" s="7">
        <v>4</v>
      </c>
      <c r="F311" s="7">
        <v>3</v>
      </c>
      <c r="G311" s="7">
        <v>1</v>
      </c>
      <c r="H311" s="12">
        <v>1060</v>
      </c>
      <c r="I311" s="9">
        <f t="shared" si="8"/>
        <v>180.18867924528303</v>
      </c>
      <c r="J311" s="3" t="str">
        <f t="shared" si="9"/>
        <v>Low</v>
      </c>
    </row>
    <row r="312" spans="1:10">
      <c r="A312" s="4" t="s">
        <v>350</v>
      </c>
      <c r="B312" s="4" t="s">
        <v>83</v>
      </c>
      <c r="C312" s="4" t="s">
        <v>12</v>
      </c>
      <c r="D312" s="21">
        <v>191000</v>
      </c>
      <c r="E312" s="4">
        <v>28</v>
      </c>
      <c r="F312" s="4">
        <v>3</v>
      </c>
      <c r="G312" s="4">
        <v>1.1000000000000001</v>
      </c>
      <c r="H312" s="10">
        <v>1101</v>
      </c>
      <c r="I312" s="11">
        <f t="shared" si="8"/>
        <v>173.4786557674841</v>
      </c>
      <c r="J312" s="3" t="str">
        <f t="shared" si="9"/>
        <v>Low</v>
      </c>
    </row>
    <row r="313" spans="1:10">
      <c r="A313" s="7" t="s">
        <v>351</v>
      </c>
      <c r="B313" s="7" t="s">
        <v>11</v>
      </c>
      <c r="C313" s="7" t="s">
        <v>12</v>
      </c>
      <c r="D313" s="22">
        <v>191000</v>
      </c>
      <c r="E313" s="7">
        <v>60</v>
      </c>
      <c r="F313" s="7">
        <v>3</v>
      </c>
      <c r="G313" s="7">
        <v>2</v>
      </c>
      <c r="H313" s="12">
        <v>1000</v>
      </c>
      <c r="I313" s="9">
        <f t="shared" si="8"/>
        <v>191</v>
      </c>
      <c r="J313" s="3" t="str">
        <f t="shared" si="9"/>
        <v>Low</v>
      </c>
    </row>
    <row r="314" spans="1:10">
      <c r="A314" s="4" t="s">
        <v>352</v>
      </c>
      <c r="B314" s="4" t="s">
        <v>77</v>
      </c>
      <c r="C314" s="4" t="s">
        <v>12</v>
      </c>
      <c r="D314" s="21">
        <v>191500</v>
      </c>
      <c r="E314" s="4">
        <v>35</v>
      </c>
      <c r="F314" s="4">
        <v>3</v>
      </c>
      <c r="G314" s="4">
        <v>1</v>
      </c>
      <c r="H314" s="10">
        <v>1120</v>
      </c>
      <c r="I314" s="11">
        <f t="shared" si="8"/>
        <v>170.98214285714286</v>
      </c>
      <c r="J314" s="3" t="str">
        <f t="shared" si="9"/>
        <v>Low</v>
      </c>
    </row>
    <row r="315" spans="1:10">
      <c r="A315" s="7" t="s">
        <v>353</v>
      </c>
      <c r="B315" s="7" t="s">
        <v>29</v>
      </c>
      <c r="C315" s="7" t="s">
        <v>12</v>
      </c>
      <c r="D315" s="22">
        <v>192000</v>
      </c>
      <c r="E315" s="7">
        <v>15</v>
      </c>
      <c r="F315" s="7">
        <v>2</v>
      </c>
      <c r="G315" s="7">
        <v>1</v>
      </c>
      <c r="H315" s="7">
        <v>861</v>
      </c>
      <c r="I315" s="9">
        <f t="shared" si="8"/>
        <v>222.9965156794425</v>
      </c>
      <c r="J315" s="3" t="str">
        <f t="shared" si="9"/>
        <v>Medium</v>
      </c>
    </row>
    <row r="316" spans="1:10">
      <c r="A316" s="4" t="s">
        <v>354</v>
      </c>
      <c r="B316" s="4" t="s">
        <v>83</v>
      </c>
      <c r="C316" s="4" t="s">
        <v>12</v>
      </c>
      <c r="D316" s="21">
        <v>192000</v>
      </c>
      <c r="E316" s="4">
        <v>44</v>
      </c>
      <c r="F316" s="4">
        <v>3</v>
      </c>
      <c r="G316" s="4">
        <v>2.1</v>
      </c>
      <c r="H316" s="10">
        <v>1777</v>
      </c>
      <c r="I316" s="11">
        <f t="shared" si="8"/>
        <v>108.04727068092291</v>
      </c>
      <c r="J316" s="3" t="str">
        <f t="shared" si="9"/>
        <v>Low</v>
      </c>
    </row>
    <row r="317" spans="1:10">
      <c r="A317" s="7" t="s">
        <v>355</v>
      </c>
      <c r="B317" s="7" t="s">
        <v>14</v>
      </c>
      <c r="C317" s="7" t="s">
        <v>12</v>
      </c>
      <c r="D317" s="22">
        <v>192500</v>
      </c>
      <c r="E317" s="7">
        <v>18</v>
      </c>
      <c r="F317" s="7">
        <v>3</v>
      </c>
      <c r="G317" s="7">
        <v>1.2</v>
      </c>
      <c r="H317" s="12">
        <v>1225</v>
      </c>
      <c r="I317" s="9">
        <f t="shared" si="8"/>
        <v>157.14285714285714</v>
      </c>
      <c r="J317" s="3" t="str">
        <f t="shared" si="9"/>
        <v>Low</v>
      </c>
    </row>
    <row r="318" spans="1:10">
      <c r="A318" s="4" t="s">
        <v>356</v>
      </c>
      <c r="B318" s="4" t="s">
        <v>42</v>
      </c>
      <c r="C318" s="4" t="s">
        <v>12</v>
      </c>
      <c r="D318" s="21">
        <v>193000</v>
      </c>
      <c r="E318" s="4">
        <v>49</v>
      </c>
      <c r="F318" s="4">
        <v>3</v>
      </c>
      <c r="G318" s="4">
        <v>1.1000000000000001</v>
      </c>
      <c r="H318" s="10">
        <v>1382</v>
      </c>
      <c r="I318" s="11">
        <f t="shared" si="8"/>
        <v>139.65267727930535</v>
      </c>
      <c r="J318" s="3" t="str">
        <f t="shared" si="9"/>
        <v>Low</v>
      </c>
    </row>
    <row r="319" spans="1:10">
      <c r="A319" s="7" t="s">
        <v>357</v>
      </c>
      <c r="B319" s="7" t="s">
        <v>25</v>
      </c>
      <c r="C319" s="7" t="s">
        <v>12</v>
      </c>
      <c r="D319" s="22">
        <v>193000</v>
      </c>
      <c r="E319" s="7">
        <v>37</v>
      </c>
      <c r="F319" s="7">
        <v>3</v>
      </c>
      <c r="G319" s="7">
        <v>1</v>
      </c>
      <c r="H319" s="7">
        <v>903</v>
      </c>
      <c r="I319" s="9">
        <f t="shared" si="8"/>
        <v>213.73200442967885</v>
      </c>
      <c r="J319" s="3" t="str">
        <f t="shared" si="9"/>
        <v>Medium</v>
      </c>
    </row>
    <row r="320" spans="1:10">
      <c r="A320" s="4" t="s">
        <v>358</v>
      </c>
      <c r="B320" s="4" t="s">
        <v>70</v>
      </c>
      <c r="C320" s="4" t="s">
        <v>12</v>
      </c>
      <c r="D320" s="21">
        <v>194000</v>
      </c>
      <c r="E320" s="4">
        <v>7</v>
      </c>
      <c r="F320" s="4">
        <v>4</v>
      </c>
      <c r="G320" s="4">
        <v>1.1000000000000001</v>
      </c>
      <c r="H320" s="10">
        <v>1326</v>
      </c>
      <c r="I320" s="11">
        <f t="shared" si="8"/>
        <v>146.30467571644041</v>
      </c>
      <c r="J320" s="3" t="str">
        <f t="shared" si="9"/>
        <v>Low</v>
      </c>
    </row>
    <row r="321" spans="1:10">
      <c r="A321" s="7" t="s">
        <v>359</v>
      </c>
      <c r="B321" s="7" t="s">
        <v>29</v>
      </c>
      <c r="C321" s="7" t="s">
        <v>12</v>
      </c>
      <c r="D321" s="22">
        <v>195000</v>
      </c>
      <c r="E321" s="7">
        <v>19</v>
      </c>
      <c r="F321" s="7">
        <v>2</v>
      </c>
      <c r="G321" s="7">
        <v>1</v>
      </c>
      <c r="H321" s="7">
        <v>874</v>
      </c>
      <c r="I321" s="9">
        <f t="shared" si="8"/>
        <v>223.1121281464531</v>
      </c>
      <c r="J321" s="3" t="str">
        <f t="shared" si="9"/>
        <v>Medium</v>
      </c>
    </row>
    <row r="322" spans="1:10">
      <c r="A322" s="4" t="s">
        <v>360</v>
      </c>
      <c r="B322" s="4" t="s">
        <v>11</v>
      </c>
      <c r="C322" s="4" t="s">
        <v>12</v>
      </c>
      <c r="D322" s="21">
        <v>195000</v>
      </c>
      <c r="E322" s="4">
        <v>6</v>
      </c>
      <c r="F322" s="4">
        <v>2</v>
      </c>
      <c r="G322" s="4">
        <v>1</v>
      </c>
      <c r="H322" s="4">
        <v>700</v>
      </c>
      <c r="I322" s="11">
        <f t="shared" ref="I322:I385" si="10">D322/H322</f>
        <v>278.57142857142856</v>
      </c>
      <c r="J322" s="3" t="str">
        <f t="shared" ref="J322:J385" si="11">IF(I322 &gt; 300, "High", IF(AND(I322 &lt;= 300, I322 &gt; 200), "Medium", "Low"))</f>
        <v>Medium</v>
      </c>
    </row>
    <row r="323" spans="1:10">
      <c r="A323" s="7" t="s">
        <v>361</v>
      </c>
      <c r="B323" s="7" t="s">
        <v>282</v>
      </c>
      <c r="C323" s="7" t="s">
        <v>12</v>
      </c>
      <c r="D323" s="22">
        <v>195000</v>
      </c>
      <c r="E323" s="7">
        <v>45</v>
      </c>
      <c r="F323" s="7">
        <v>2</v>
      </c>
      <c r="G323" s="7">
        <v>1</v>
      </c>
      <c r="H323" s="7">
        <v>974</v>
      </c>
      <c r="I323" s="9">
        <f t="shared" si="10"/>
        <v>200.20533880903491</v>
      </c>
      <c r="J323" s="3" t="str">
        <f t="shared" si="11"/>
        <v>Medium</v>
      </c>
    </row>
    <row r="324" spans="1:10">
      <c r="A324" s="4" t="s">
        <v>362</v>
      </c>
      <c r="B324" s="4" t="s">
        <v>363</v>
      </c>
      <c r="C324" s="4" t="s">
        <v>12</v>
      </c>
      <c r="D324" s="21">
        <v>195000</v>
      </c>
      <c r="E324" s="4">
        <v>7</v>
      </c>
      <c r="F324" s="4">
        <v>2</v>
      </c>
      <c r="G324" s="4">
        <v>1</v>
      </c>
      <c r="H324" s="4">
        <v>864</v>
      </c>
      <c r="I324" s="11">
        <f t="shared" si="10"/>
        <v>225.69444444444446</v>
      </c>
      <c r="J324" s="3" t="str">
        <f t="shared" si="11"/>
        <v>Medium</v>
      </c>
    </row>
    <row r="325" spans="1:10">
      <c r="A325" s="7" t="s">
        <v>364</v>
      </c>
      <c r="B325" s="7" t="s">
        <v>29</v>
      </c>
      <c r="C325" s="7" t="s">
        <v>12</v>
      </c>
      <c r="D325" s="22">
        <v>195000</v>
      </c>
      <c r="E325" s="7">
        <v>18</v>
      </c>
      <c r="F325" s="7">
        <v>3</v>
      </c>
      <c r="G325" s="7">
        <v>1</v>
      </c>
      <c r="H325" s="7">
        <v>895</v>
      </c>
      <c r="I325" s="9">
        <f t="shared" si="10"/>
        <v>217.87709497206703</v>
      </c>
      <c r="J325" s="3" t="str">
        <f t="shared" si="11"/>
        <v>Medium</v>
      </c>
    </row>
    <row r="326" spans="1:10">
      <c r="A326" s="4" t="s">
        <v>365</v>
      </c>
      <c r="B326" s="4" t="s">
        <v>131</v>
      </c>
      <c r="C326" s="4" t="s">
        <v>12</v>
      </c>
      <c r="D326" s="21">
        <v>195000</v>
      </c>
      <c r="E326" s="4">
        <v>4</v>
      </c>
      <c r="F326" s="4">
        <v>2</v>
      </c>
      <c r="G326" s="4">
        <v>1</v>
      </c>
      <c r="H326" s="4">
        <v>808</v>
      </c>
      <c r="I326" s="11">
        <f t="shared" si="10"/>
        <v>241.33663366336634</v>
      </c>
      <c r="J326" s="3" t="str">
        <f t="shared" si="11"/>
        <v>Medium</v>
      </c>
    </row>
    <row r="327" spans="1:10">
      <c r="A327" s="7" t="s">
        <v>366</v>
      </c>
      <c r="B327" s="7" t="s">
        <v>73</v>
      </c>
      <c r="C327" s="7" t="s">
        <v>12</v>
      </c>
      <c r="D327" s="22">
        <v>195000</v>
      </c>
      <c r="E327" s="7">
        <v>7</v>
      </c>
      <c r="F327" s="7">
        <v>3</v>
      </c>
      <c r="G327" s="7">
        <v>2</v>
      </c>
      <c r="H327" s="12">
        <v>1027</v>
      </c>
      <c r="I327" s="9">
        <f t="shared" si="10"/>
        <v>189.87341772151899</v>
      </c>
      <c r="J327" s="3" t="str">
        <f t="shared" si="11"/>
        <v>Low</v>
      </c>
    </row>
    <row r="328" spans="1:10">
      <c r="A328" s="4" t="s">
        <v>367</v>
      </c>
      <c r="B328" s="4" t="s">
        <v>36</v>
      </c>
      <c r="C328" s="4" t="s">
        <v>12</v>
      </c>
      <c r="D328" s="21">
        <v>195000</v>
      </c>
      <c r="E328" s="4">
        <v>19</v>
      </c>
      <c r="F328" s="4">
        <v>3</v>
      </c>
      <c r="G328" s="4">
        <v>1</v>
      </c>
      <c r="H328" s="4">
        <v>895</v>
      </c>
      <c r="I328" s="11">
        <f t="shared" si="10"/>
        <v>217.87709497206703</v>
      </c>
      <c r="J328" s="3" t="str">
        <f t="shared" si="11"/>
        <v>Medium</v>
      </c>
    </row>
    <row r="329" spans="1:10">
      <c r="A329" s="7" t="s">
        <v>368</v>
      </c>
      <c r="B329" s="7" t="s">
        <v>11</v>
      </c>
      <c r="C329" s="7" t="s">
        <v>12</v>
      </c>
      <c r="D329" s="22">
        <v>195000</v>
      </c>
      <c r="E329" s="7">
        <v>114</v>
      </c>
      <c r="F329" s="7">
        <v>3</v>
      </c>
      <c r="G329" s="7">
        <v>1</v>
      </c>
      <c r="H329" s="12">
        <v>1014</v>
      </c>
      <c r="I329" s="9">
        <f t="shared" si="10"/>
        <v>192.30769230769232</v>
      </c>
      <c r="J329" s="3" t="str">
        <f t="shared" si="11"/>
        <v>Low</v>
      </c>
    </row>
    <row r="330" spans="1:10">
      <c r="A330" s="4" t="s">
        <v>369</v>
      </c>
      <c r="B330" s="4" t="s">
        <v>212</v>
      </c>
      <c r="C330" s="4" t="s">
        <v>12</v>
      </c>
      <c r="D330" s="21">
        <v>195000</v>
      </c>
      <c r="E330" s="4">
        <v>366</v>
      </c>
      <c r="F330" s="4">
        <v>3</v>
      </c>
      <c r="G330" s="4">
        <v>2</v>
      </c>
      <c r="H330" s="10">
        <v>1302</v>
      </c>
      <c r="I330" s="11">
        <f t="shared" si="10"/>
        <v>149.76958525345623</v>
      </c>
      <c r="J330" s="3" t="str">
        <f t="shared" si="11"/>
        <v>Low</v>
      </c>
    </row>
    <row r="331" spans="1:10">
      <c r="A331" s="7" t="s">
        <v>370</v>
      </c>
      <c r="B331" s="7" t="s">
        <v>29</v>
      </c>
      <c r="C331" s="7" t="s">
        <v>12</v>
      </c>
      <c r="D331" s="22">
        <v>195000</v>
      </c>
      <c r="E331" s="7">
        <v>114</v>
      </c>
      <c r="F331" s="7">
        <v>3</v>
      </c>
      <c r="G331" s="7">
        <v>1</v>
      </c>
      <c r="H331" s="7">
        <v>912</v>
      </c>
      <c r="I331" s="9">
        <f t="shared" si="10"/>
        <v>213.81578947368422</v>
      </c>
      <c r="J331" s="3" t="str">
        <f t="shared" si="11"/>
        <v>Medium</v>
      </c>
    </row>
    <row r="332" spans="1:10">
      <c r="A332" s="4" t="s">
        <v>371</v>
      </c>
      <c r="B332" s="4" t="s">
        <v>153</v>
      </c>
      <c r="C332" s="4" t="s">
        <v>12</v>
      </c>
      <c r="D332" s="21">
        <v>195000</v>
      </c>
      <c r="E332" s="4">
        <v>174</v>
      </c>
      <c r="F332" s="4">
        <v>3</v>
      </c>
      <c r="G332" s="4">
        <v>1.1000000000000001</v>
      </c>
      <c r="H332" s="10">
        <v>1179</v>
      </c>
      <c r="I332" s="11">
        <f t="shared" si="10"/>
        <v>165.39440203562341</v>
      </c>
      <c r="J332" s="3" t="str">
        <f t="shared" si="11"/>
        <v>Low</v>
      </c>
    </row>
    <row r="333" spans="1:10">
      <c r="A333" s="7" t="s">
        <v>372</v>
      </c>
      <c r="B333" s="7" t="s">
        <v>318</v>
      </c>
      <c r="C333" s="7" t="s">
        <v>12</v>
      </c>
      <c r="D333" s="22">
        <v>195000</v>
      </c>
      <c r="E333" s="7">
        <v>8</v>
      </c>
      <c r="F333" s="7">
        <v>3</v>
      </c>
      <c r="G333" s="7">
        <v>1.1000000000000001</v>
      </c>
      <c r="H333" s="12">
        <v>1001</v>
      </c>
      <c r="I333" s="9">
        <f t="shared" si="10"/>
        <v>194.80519480519482</v>
      </c>
      <c r="J333" s="3" t="str">
        <f t="shared" si="11"/>
        <v>Low</v>
      </c>
    </row>
    <row r="334" spans="1:10">
      <c r="A334" s="4" t="s">
        <v>373</v>
      </c>
      <c r="B334" s="4" t="s">
        <v>29</v>
      </c>
      <c r="C334" s="4" t="s">
        <v>12</v>
      </c>
      <c r="D334" s="21">
        <v>195500</v>
      </c>
      <c r="E334" s="4">
        <v>53</v>
      </c>
      <c r="F334" s="4">
        <v>2</v>
      </c>
      <c r="G334" s="4">
        <v>1</v>
      </c>
      <c r="H334" s="4">
        <v>764</v>
      </c>
      <c r="I334" s="11">
        <f t="shared" si="10"/>
        <v>255.89005235602093</v>
      </c>
      <c r="J334" s="3" t="str">
        <f t="shared" si="11"/>
        <v>Medium</v>
      </c>
    </row>
    <row r="335" spans="1:10">
      <c r="A335" s="7" t="s">
        <v>374</v>
      </c>
      <c r="B335" s="7" t="s">
        <v>131</v>
      </c>
      <c r="C335" s="7" t="s">
        <v>12</v>
      </c>
      <c r="D335" s="22">
        <v>196000</v>
      </c>
      <c r="E335" s="7">
        <v>33</v>
      </c>
      <c r="F335" s="7">
        <v>3</v>
      </c>
      <c r="G335" s="7">
        <v>2</v>
      </c>
      <c r="H335" s="12">
        <v>1068</v>
      </c>
      <c r="I335" s="9">
        <f t="shared" si="10"/>
        <v>183.52059925093633</v>
      </c>
      <c r="J335" s="3" t="str">
        <f t="shared" si="11"/>
        <v>Low</v>
      </c>
    </row>
    <row r="336" spans="1:10">
      <c r="A336" s="4" t="s">
        <v>375</v>
      </c>
      <c r="B336" s="4" t="s">
        <v>131</v>
      </c>
      <c r="C336" s="4" t="s">
        <v>12</v>
      </c>
      <c r="D336" s="21">
        <v>196000</v>
      </c>
      <c r="E336" s="4">
        <v>8</v>
      </c>
      <c r="F336" s="4">
        <v>3</v>
      </c>
      <c r="G336" s="4">
        <v>2</v>
      </c>
      <c r="H336" s="10">
        <v>1068</v>
      </c>
      <c r="I336" s="11">
        <f t="shared" si="10"/>
        <v>183.52059925093633</v>
      </c>
      <c r="J336" s="3" t="str">
        <f t="shared" si="11"/>
        <v>Low</v>
      </c>
    </row>
    <row r="337" spans="1:10">
      <c r="A337" s="7" t="s">
        <v>376</v>
      </c>
      <c r="B337" s="7" t="s">
        <v>36</v>
      </c>
      <c r="C337" s="7" t="s">
        <v>12</v>
      </c>
      <c r="D337" s="22">
        <v>196000</v>
      </c>
      <c r="E337" s="7">
        <v>14</v>
      </c>
      <c r="F337" s="7">
        <v>4</v>
      </c>
      <c r="G337" s="7">
        <v>1</v>
      </c>
      <c r="H337" s="12">
        <v>1113</v>
      </c>
      <c r="I337" s="9">
        <f t="shared" si="10"/>
        <v>176.10062893081761</v>
      </c>
      <c r="J337" s="3" t="str">
        <f t="shared" si="11"/>
        <v>Low</v>
      </c>
    </row>
    <row r="338" spans="1:10">
      <c r="A338" s="4" t="s">
        <v>377</v>
      </c>
      <c r="B338" s="4" t="s">
        <v>14</v>
      </c>
      <c r="C338" s="4" t="s">
        <v>12</v>
      </c>
      <c r="D338" s="21">
        <v>197000</v>
      </c>
      <c r="E338" s="4">
        <v>4</v>
      </c>
      <c r="F338" s="4">
        <v>3</v>
      </c>
      <c r="G338" s="4">
        <v>2.1</v>
      </c>
      <c r="H338" s="10">
        <v>1538</v>
      </c>
      <c r="I338" s="11">
        <f t="shared" si="10"/>
        <v>128.08842652795838</v>
      </c>
      <c r="J338" s="3" t="str">
        <f t="shared" si="11"/>
        <v>Low</v>
      </c>
    </row>
    <row r="339" spans="1:10">
      <c r="A339" s="7" t="s">
        <v>378</v>
      </c>
      <c r="B339" s="7" t="s">
        <v>11</v>
      </c>
      <c r="C339" s="7" t="s">
        <v>12</v>
      </c>
      <c r="D339" s="22">
        <v>197000</v>
      </c>
      <c r="E339" s="7">
        <v>44</v>
      </c>
      <c r="F339" s="7">
        <v>4</v>
      </c>
      <c r="G339" s="7">
        <v>3.1</v>
      </c>
      <c r="H339" s="12">
        <v>1050</v>
      </c>
      <c r="I339" s="9">
        <f t="shared" si="10"/>
        <v>187.61904761904762</v>
      </c>
      <c r="J339" s="3" t="str">
        <f t="shared" si="11"/>
        <v>Low</v>
      </c>
    </row>
    <row r="340" spans="1:10">
      <c r="A340" s="4" t="s">
        <v>379</v>
      </c>
      <c r="B340" s="4" t="s">
        <v>29</v>
      </c>
      <c r="C340" s="4" t="s">
        <v>12</v>
      </c>
      <c r="D340" s="21">
        <v>197000</v>
      </c>
      <c r="E340" s="4">
        <v>24</v>
      </c>
      <c r="F340" s="4">
        <v>3</v>
      </c>
      <c r="G340" s="4">
        <v>1</v>
      </c>
      <c r="H340" s="10">
        <v>1058</v>
      </c>
      <c r="I340" s="11">
        <f t="shared" si="10"/>
        <v>186.20037807183365</v>
      </c>
      <c r="J340" s="3" t="str">
        <f t="shared" si="11"/>
        <v>Low</v>
      </c>
    </row>
    <row r="341" spans="1:10">
      <c r="A341" s="7" t="s">
        <v>380</v>
      </c>
      <c r="B341" s="7" t="s">
        <v>381</v>
      </c>
      <c r="C341" s="7" t="s">
        <v>12</v>
      </c>
      <c r="D341" s="22">
        <v>197000</v>
      </c>
      <c r="E341" s="7">
        <v>101</v>
      </c>
      <c r="F341" s="7">
        <v>3</v>
      </c>
      <c r="G341" s="7">
        <v>2</v>
      </c>
      <c r="H341" s="12">
        <v>1690</v>
      </c>
      <c r="I341" s="9">
        <f t="shared" si="10"/>
        <v>116.5680473372781</v>
      </c>
      <c r="J341" s="3" t="str">
        <f t="shared" si="11"/>
        <v>Low</v>
      </c>
    </row>
    <row r="342" spans="1:10">
      <c r="A342" s="4" t="s">
        <v>382</v>
      </c>
      <c r="B342" s="4" t="s">
        <v>73</v>
      </c>
      <c r="C342" s="4" t="s">
        <v>12</v>
      </c>
      <c r="D342" s="21">
        <v>197500</v>
      </c>
      <c r="E342" s="4">
        <v>9</v>
      </c>
      <c r="F342" s="4">
        <v>3</v>
      </c>
      <c r="G342" s="4">
        <v>1.1000000000000001</v>
      </c>
      <c r="H342" s="10">
        <v>1686</v>
      </c>
      <c r="I342" s="11">
        <f t="shared" si="10"/>
        <v>117.141162514828</v>
      </c>
      <c r="J342" s="3" t="str">
        <f t="shared" si="11"/>
        <v>Low</v>
      </c>
    </row>
    <row r="343" spans="1:10">
      <c r="A343" s="7" t="s">
        <v>383</v>
      </c>
      <c r="B343" s="7" t="s">
        <v>384</v>
      </c>
      <c r="C343" s="7" t="s">
        <v>12</v>
      </c>
      <c r="D343" s="22">
        <v>198000</v>
      </c>
      <c r="E343" s="7">
        <v>7</v>
      </c>
      <c r="F343" s="7">
        <v>3</v>
      </c>
      <c r="G343" s="7">
        <v>1</v>
      </c>
      <c r="H343" s="12">
        <v>1100</v>
      </c>
      <c r="I343" s="9">
        <f t="shared" si="10"/>
        <v>180</v>
      </c>
      <c r="J343" s="3" t="str">
        <f t="shared" si="11"/>
        <v>Low</v>
      </c>
    </row>
    <row r="344" spans="1:10">
      <c r="A344" s="4" t="s">
        <v>385</v>
      </c>
      <c r="B344" s="4" t="s">
        <v>93</v>
      </c>
      <c r="C344" s="4" t="s">
        <v>12</v>
      </c>
      <c r="D344" s="21">
        <v>198500</v>
      </c>
      <c r="E344" s="4">
        <v>6</v>
      </c>
      <c r="F344" s="4">
        <v>2</v>
      </c>
      <c r="G344" s="4">
        <v>1</v>
      </c>
      <c r="H344" s="4">
        <v>794</v>
      </c>
      <c r="I344" s="11">
        <f t="shared" si="10"/>
        <v>250</v>
      </c>
      <c r="J344" s="3" t="str">
        <f t="shared" si="11"/>
        <v>Medium</v>
      </c>
    </row>
    <row r="345" spans="1:10">
      <c r="A345" s="7" t="s">
        <v>386</v>
      </c>
      <c r="B345" s="7" t="s">
        <v>11</v>
      </c>
      <c r="C345" s="7" t="s">
        <v>12</v>
      </c>
      <c r="D345" s="22">
        <v>198500</v>
      </c>
      <c r="E345" s="7">
        <v>53</v>
      </c>
      <c r="F345" s="7">
        <v>3</v>
      </c>
      <c r="G345" s="7">
        <v>2</v>
      </c>
      <c r="H345" s="12">
        <v>1124</v>
      </c>
      <c r="I345" s="9">
        <f t="shared" si="10"/>
        <v>176.60142348754448</v>
      </c>
      <c r="J345" s="3" t="str">
        <f t="shared" si="11"/>
        <v>Low</v>
      </c>
    </row>
    <row r="346" spans="1:10">
      <c r="A346" s="4" t="s">
        <v>387</v>
      </c>
      <c r="B346" s="4" t="s">
        <v>388</v>
      </c>
      <c r="C346" s="4" t="s">
        <v>12</v>
      </c>
      <c r="D346" s="21">
        <v>199000</v>
      </c>
      <c r="E346" s="4">
        <v>32</v>
      </c>
      <c r="F346" s="4">
        <v>4</v>
      </c>
      <c r="G346" s="4">
        <v>1</v>
      </c>
      <c r="H346" s="10">
        <v>1476</v>
      </c>
      <c r="I346" s="11">
        <f t="shared" si="10"/>
        <v>134.82384823848238</v>
      </c>
      <c r="J346" s="3" t="str">
        <f t="shared" si="11"/>
        <v>Low</v>
      </c>
    </row>
    <row r="347" spans="1:10">
      <c r="A347" s="7" t="s">
        <v>389</v>
      </c>
      <c r="B347" s="7" t="s">
        <v>42</v>
      </c>
      <c r="C347" s="7" t="s">
        <v>12</v>
      </c>
      <c r="D347" s="22">
        <v>199500</v>
      </c>
      <c r="E347" s="7">
        <v>9</v>
      </c>
      <c r="F347" s="7">
        <v>3</v>
      </c>
      <c r="G347" s="7">
        <v>1</v>
      </c>
      <c r="H347" s="12">
        <v>1000</v>
      </c>
      <c r="I347" s="9">
        <f t="shared" si="10"/>
        <v>199.5</v>
      </c>
      <c r="J347" s="3" t="str">
        <f t="shared" si="11"/>
        <v>Low</v>
      </c>
    </row>
    <row r="348" spans="1:10">
      <c r="A348" s="4" t="s">
        <v>390</v>
      </c>
      <c r="B348" s="4" t="s">
        <v>212</v>
      </c>
      <c r="C348" s="4" t="s">
        <v>12</v>
      </c>
      <c r="D348" s="21">
        <v>199700</v>
      </c>
      <c r="E348" s="4">
        <v>25</v>
      </c>
      <c r="F348" s="4">
        <v>3</v>
      </c>
      <c r="G348" s="4">
        <v>1</v>
      </c>
      <c r="H348" s="10">
        <v>1436</v>
      </c>
      <c r="I348" s="11">
        <f t="shared" si="10"/>
        <v>139.06685236768803</v>
      </c>
      <c r="J348" s="3" t="str">
        <f t="shared" si="11"/>
        <v>Low</v>
      </c>
    </row>
    <row r="349" spans="1:10">
      <c r="A349" s="7" t="s">
        <v>391</v>
      </c>
      <c r="B349" s="7" t="s">
        <v>83</v>
      </c>
      <c r="C349" s="7" t="s">
        <v>12</v>
      </c>
      <c r="D349" s="22">
        <v>199900</v>
      </c>
      <c r="E349" s="7">
        <v>9</v>
      </c>
      <c r="F349" s="7">
        <v>3</v>
      </c>
      <c r="G349" s="7">
        <v>2</v>
      </c>
      <c r="H349" s="12">
        <v>1398</v>
      </c>
      <c r="I349" s="9">
        <f t="shared" si="10"/>
        <v>142.98998569384835</v>
      </c>
      <c r="J349" s="3" t="str">
        <f t="shared" si="11"/>
        <v>Low</v>
      </c>
    </row>
    <row r="350" spans="1:10">
      <c r="A350" s="4" t="s">
        <v>392</v>
      </c>
      <c r="B350" s="4" t="s">
        <v>11</v>
      </c>
      <c r="C350" s="4" t="s">
        <v>12</v>
      </c>
      <c r="D350" s="21">
        <v>199900</v>
      </c>
      <c r="E350" s="4">
        <v>8</v>
      </c>
      <c r="F350" s="4">
        <v>3</v>
      </c>
      <c r="G350" s="4">
        <v>1</v>
      </c>
      <c r="H350" s="4">
        <v>953</v>
      </c>
      <c r="I350" s="11">
        <f t="shared" si="10"/>
        <v>209.75865687303252</v>
      </c>
      <c r="J350" s="3" t="str">
        <f t="shared" si="11"/>
        <v>Medium</v>
      </c>
    </row>
    <row r="351" spans="1:10">
      <c r="A351" s="7" t="s">
        <v>393</v>
      </c>
      <c r="B351" s="7" t="s">
        <v>11</v>
      </c>
      <c r="C351" s="7" t="s">
        <v>12</v>
      </c>
      <c r="D351" s="22">
        <v>200000</v>
      </c>
      <c r="E351" s="7">
        <v>2</v>
      </c>
      <c r="F351" s="7">
        <v>3</v>
      </c>
      <c r="G351" s="7">
        <v>1</v>
      </c>
      <c r="H351" s="12">
        <v>1290</v>
      </c>
      <c r="I351" s="9">
        <f t="shared" si="10"/>
        <v>155.03875968992247</v>
      </c>
      <c r="J351" s="3" t="str">
        <f t="shared" si="11"/>
        <v>Low</v>
      </c>
    </row>
    <row r="352" spans="1:10">
      <c r="A352" s="4" t="s">
        <v>394</v>
      </c>
      <c r="B352" s="4" t="s">
        <v>14</v>
      </c>
      <c r="C352" s="4" t="s">
        <v>12</v>
      </c>
      <c r="D352" s="21">
        <v>200000</v>
      </c>
      <c r="E352" s="4">
        <v>5</v>
      </c>
      <c r="F352" s="4">
        <v>3</v>
      </c>
      <c r="G352" s="4">
        <v>1.1000000000000001</v>
      </c>
      <c r="H352" s="10">
        <v>1034</v>
      </c>
      <c r="I352" s="11">
        <f t="shared" si="10"/>
        <v>193.42359767891682</v>
      </c>
      <c r="J352" s="3" t="str">
        <f t="shared" si="11"/>
        <v>Low</v>
      </c>
    </row>
    <row r="353" spans="1:10">
      <c r="A353" s="7" t="s">
        <v>395</v>
      </c>
      <c r="B353" s="7" t="s">
        <v>14</v>
      </c>
      <c r="C353" s="7" t="s">
        <v>12</v>
      </c>
      <c r="D353" s="22">
        <v>200000</v>
      </c>
      <c r="E353" s="7">
        <v>13</v>
      </c>
      <c r="F353" s="7">
        <v>4</v>
      </c>
      <c r="G353" s="7">
        <v>2</v>
      </c>
      <c r="H353" s="12">
        <v>1522</v>
      </c>
      <c r="I353" s="9">
        <f t="shared" si="10"/>
        <v>131.4060446780552</v>
      </c>
      <c r="J353" s="3" t="str">
        <f t="shared" si="11"/>
        <v>Low</v>
      </c>
    </row>
    <row r="354" spans="1:10">
      <c r="A354" s="4" t="s">
        <v>396</v>
      </c>
      <c r="B354" s="4" t="s">
        <v>363</v>
      </c>
      <c r="C354" s="4" t="s">
        <v>12</v>
      </c>
      <c r="D354" s="21">
        <v>200000</v>
      </c>
      <c r="E354" s="4">
        <v>3</v>
      </c>
      <c r="F354" s="4">
        <v>2</v>
      </c>
      <c r="G354" s="4">
        <v>2</v>
      </c>
      <c r="H354" s="4">
        <v>951</v>
      </c>
      <c r="I354" s="11">
        <f t="shared" si="10"/>
        <v>210.3049421661409</v>
      </c>
      <c r="J354" s="3" t="str">
        <f t="shared" si="11"/>
        <v>Medium</v>
      </c>
    </row>
    <row r="355" spans="1:10">
      <c r="A355" s="7" t="s">
        <v>397</v>
      </c>
      <c r="B355" s="7" t="s">
        <v>398</v>
      </c>
      <c r="C355" s="7" t="s">
        <v>12</v>
      </c>
      <c r="D355" s="22">
        <v>200000</v>
      </c>
      <c r="E355" s="7">
        <v>59</v>
      </c>
      <c r="F355" s="7">
        <v>2</v>
      </c>
      <c r="G355" s="7">
        <v>1</v>
      </c>
      <c r="H355" s="7">
        <v>869</v>
      </c>
      <c r="I355" s="9">
        <f t="shared" si="10"/>
        <v>230.14959723820482</v>
      </c>
      <c r="J355" s="3" t="str">
        <f t="shared" si="11"/>
        <v>Medium</v>
      </c>
    </row>
    <row r="356" spans="1:10">
      <c r="A356" s="4" t="s">
        <v>399</v>
      </c>
      <c r="B356" s="4" t="s">
        <v>400</v>
      </c>
      <c r="C356" s="4" t="s">
        <v>12</v>
      </c>
      <c r="D356" s="21">
        <v>200000</v>
      </c>
      <c r="E356" s="4">
        <v>43</v>
      </c>
      <c r="F356" s="4">
        <v>0</v>
      </c>
      <c r="G356" s="4">
        <v>0</v>
      </c>
      <c r="H356" s="10">
        <v>1528</v>
      </c>
      <c r="I356" s="11">
        <f t="shared" si="10"/>
        <v>130.89005235602093</v>
      </c>
      <c r="J356" s="3" t="str">
        <f t="shared" si="11"/>
        <v>Low</v>
      </c>
    </row>
    <row r="357" spans="1:10">
      <c r="A357" s="7" t="s">
        <v>401</v>
      </c>
      <c r="B357" s="7" t="s">
        <v>18</v>
      </c>
      <c r="C357" s="7" t="s">
        <v>12</v>
      </c>
      <c r="D357" s="22">
        <v>200000</v>
      </c>
      <c r="E357" s="7">
        <v>4</v>
      </c>
      <c r="F357" s="7">
        <v>2</v>
      </c>
      <c r="G357" s="7">
        <v>1</v>
      </c>
      <c r="H357" s="7">
        <v>760</v>
      </c>
      <c r="I357" s="9">
        <f t="shared" si="10"/>
        <v>263.15789473684208</v>
      </c>
      <c r="J357" s="3" t="str">
        <f t="shared" si="11"/>
        <v>Medium</v>
      </c>
    </row>
    <row r="358" spans="1:10">
      <c r="A358" s="4" t="s">
        <v>402</v>
      </c>
      <c r="B358" s="4" t="s">
        <v>331</v>
      </c>
      <c r="C358" s="4" t="s">
        <v>12</v>
      </c>
      <c r="D358" s="21">
        <v>200000</v>
      </c>
      <c r="E358" s="4">
        <v>1</v>
      </c>
      <c r="F358" s="4">
        <v>2</v>
      </c>
      <c r="G358" s="4">
        <v>1.1000000000000001</v>
      </c>
      <c r="H358" s="10">
        <v>1525</v>
      </c>
      <c r="I358" s="11">
        <f t="shared" si="10"/>
        <v>131.14754098360655</v>
      </c>
      <c r="J358" s="3" t="str">
        <f t="shared" si="11"/>
        <v>Low</v>
      </c>
    </row>
    <row r="359" spans="1:10">
      <c r="A359" s="7" t="s">
        <v>403</v>
      </c>
      <c r="B359" s="7" t="s">
        <v>42</v>
      </c>
      <c r="C359" s="7" t="s">
        <v>12</v>
      </c>
      <c r="D359" s="22">
        <v>200000</v>
      </c>
      <c r="E359" s="7">
        <v>65</v>
      </c>
      <c r="F359" s="7">
        <v>3</v>
      </c>
      <c r="G359" s="7">
        <v>1</v>
      </c>
      <c r="H359" s="12">
        <v>1120</v>
      </c>
      <c r="I359" s="9">
        <f t="shared" si="10"/>
        <v>178.57142857142858</v>
      </c>
      <c r="J359" s="3" t="str">
        <f t="shared" si="11"/>
        <v>Low</v>
      </c>
    </row>
    <row r="360" spans="1:10">
      <c r="A360" s="4" t="s">
        <v>404</v>
      </c>
      <c r="B360" s="4" t="s">
        <v>11</v>
      </c>
      <c r="C360" s="4" t="s">
        <v>12</v>
      </c>
      <c r="D360" s="21">
        <v>200000</v>
      </c>
      <c r="E360" s="4">
        <v>84</v>
      </c>
      <c r="F360" s="4">
        <v>3</v>
      </c>
      <c r="G360" s="4">
        <v>1</v>
      </c>
      <c r="H360" s="10">
        <v>1345</v>
      </c>
      <c r="I360" s="11">
        <f t="shared" si="10"/>
        <v>148.6988847583643</v>
      </c>
      <c r="J360" s="3" t="str">
        <f t="shared" si="11"/>
        <v>Low</v>
      </c>
    </row>
    <row r="361" spans="1:10">
      <c r="A361" s="7" t="s">
        <v>405</v>
      </c>
      <c r="B361" s="7" t="s">
        <v>83</v>
      </c>
      <c r="C361" s="7" t="s">
        <v>12</v>
      </c>
      <c r="D361" s="22">
        <v>200000</v>
      </c>
      <c r="E361" s="7">
        <v>101</v>
      </c>
      <c r="F361" s="7">
        <v>3</v>
      </c>
      <c r="G361" s="7">
        <v>2.1</v>
      </c>
      <c r="H361" s="12">
        <v>1528</v>
      </c>
      <c r="I361" s="9">
        <f t="shared" si="10"/>
        <v>130.89005235602093</v>
      </c>
      <c r="J361" s="3" t="str">
        <f t="shared" si="11"/>
        <v>Low</v>
      </c>
    </row>
    <row r="362" spans="1:10">
      <c r="A362" s="4" t="s">
        <v>406</v>
      </c>
      <c r="B362" s="4" t="s">
        <v>73</v>
      </c>
      <c r="C362" s="4" t="s">
        <v>12</v>
      </c>
      <c r="D362" s="21">
        <v>200000</v>
      </c>
      <c r="E362" s="4">
        <v>71</v>
      </c>
      <c r="F362" s="4">
        <v>3</v>
      </c>
      <c r="G362" s="4">
        <v>1.1000000000000001</v>
      </c>
      <c r="H362" s="10">
        <v>1409</v>
      </c>
      <c r="I362" s="11">
        <f t="shared" si="10"/>
        <v>141.94464158977999</v>
      </c>
      <c r="J362" s="3" t="str">
        <f t="shared" si="11"/>
        <v>Low</v>
      </c>
    </row>
    <row r="363" spans="1:10">
      <c r="A363" s="7" t="s">
        <v>407</v>
      </c>
      <c r="B363" s="7" t="s">
        <v>42</v>
      </c>
      <c r="C363" s="7" t="s">
        <v>12</v>
      </c>
      <c r="D363" s="22">
        <v>201000</v>
      </c>
      <c r="E363" s="7">
        <v>13</v>
      </c>
      <c r="F363" s="7">
        <v>2</v>
      </c>
      <c r="G363" s="7">
        <v>1</v>
      </c>
      <c r="H363" s="12">
        <v>1000</v>
      </c>
      <c r="I363" s="9">
        <f t="shared" si="10"/>
        <v>201</v>
      </c>
      <c r="J363" s="3" t="str">
        <f t="shared" si="11"/>
        <v>Medium</v>
      </c>
    </row>
    <row r="364" spans="1:10">
      <c r="A364" s="4" t="s">
        <v>408</v>
      </c>
      <c r="B364" s="4" t="s">
        <v>42</v>
      </c>
      <c r="C364" s="4" t="s">
        <v>12</v>
      </c>
      <c r="D364" s="21">
        <v>201000</v>
      </c>
      <c r="E364" s="4">
        <v>60</v>
      </c>
      <c r="F364" s="4">
        <v>3</v>
      </c>
      <c r="G364" s="4">
        <v>1</v>
      </c>
      <c r="H364" s="4">
        <v>980</v>
      </c>
      <c r="I364" s="11">
        <f t="shared" si="10"/>
        <v>205.10204081632654</v>
      </c>
      <c r="J364" s="3" t="str">
        <f t="shared" si="11"/>
        <v>Medium</v>
      </c>
    </row>
    <row r="365" spans="1:10">
      <c r="A365" s="7" t="s">
        <v>409</v>
      </c>
      <c r="B365" s="7" t="s">
        <v>42</v>
      </c>
      <c r="C365" s="7" t="s">
        <v>12</v>
      </c>
      <c r="D365" s="22">
        <v>202000</v>
      </c>
      <c r="E365" s="7">
        <v>7</v>
      </c>
      <c r="F365" s="7">
        <v>3</v>
      </c>
      <c r="G365" s="7">
        <v>1</v>
      </c>
      <c r="H365" s="12">
        <v>1035</v>
      </c>
      <c r="I365" s="9">
        <f t="shared" si="10"/>
        <v>195.16908212560386</v>
      </c>
      <c r="J365" s="3" t="str">
        <f t="shared" si="11"/>
        <v>Low</v>
      </c>
    </row>
    <row r="366" spans="1:10">
      <c r="A366" s="4" t="s">
        <v>410</v>
      </c>
      <c r="B366" s="4" t="s">
        <v>73</v>
      </c>
      <c r="C366" s="4" t="s">
        <v>12</v>
      </c>
      <c r="D366" s="21">
        <v>203000</v>
      </c>
      <c r="E366" s="4">
        <v>22</v>
      </c>
      <c r="F366" s="4">
        <v>3</v>
      </c>
      <c r="G366" s="4">
        <v>2</v>
      </c>
      <c r="H366" s="10">
        <v>1426</v>
      </c>
      <c r="I366" s="11">
        <f t="shared" si="10"/>
        <v>142.35624123422159</v>
      </c>
      <c r="J366" s="3" t="str">
        <f t="shared" si="11"/>
        <v>Low</v>
      </c>
    </row>
    <row r="367" spans="1:10">
      <c r="A367" s="7" t="s">
        <v>411</v>
      </c>
      <c r="B367" s="7" t="s">
        <v>36</v>
      </c>
      <c r="C367" s="7" t="s">
        <v>12</v>
      </c>
      <c r="D367" s="22">
        <v>203500</v>
      </c>
      <c r="E367" s="7">
        <v>5</v>
      </c>
      <c r="F367" s="7">
        <v>3</v>
      </c>
      <c r="G367" s="7">
        <v>1</v>
      </c>
      <c r="H367" s="12">
        <v>1009</v>
      </c>
      <c r="I367" s="9">
        <f t="shared" si="10"/>
        <v>201.68483647175421</v>
      </c>
      <c r="J367" s="3" t="str">
        <f t="shared" si="11"/>
        <v>Medium</v>
      </c>
    </row>
    <row r="368" spans="1:10">
      <c r="A368" s="4" t="s">
        <v>412</v>
      </c>
      <c r="B368" s="4" t="s">
        <v>11</v>
      </c>
      <c r="C368" s="4" t="s">
        <v>12</v>
      </c>
      <c r="D368" s="21">
        <v>203800</v>
      </c>
      <c r="E368" s="4">
        <v>61</v>
      </c>
      <c r="F368" s="4">
        <v>3</v>
      </c>
      <c r="G368" s="4">
        <v>1</v>
      </c>
      <c r="H368" s="4">
        <v>960</v>
      </c>
      <c r="I368" s="11">
        <f t="shared" si="10"/>
        <v>212.29166666666666</v>
      </c>
      <c r="J368" s="3" t="str">
        <f t="shared" si="11"/>
        <v>Medium</v>
      </c>
    </row>
    <row r="369" spans="1:10">
      <c r="A369" s="7" t="s">
        <v>413</v>
      </c>
      <c r="B369" s="7" t="s">
        <v>80</v>
      </c>
      <c r="C369" s="7" t="s">
        <v>12</v>
      </c>
      <c r="D369" s="22">
        <v>204000</v>
      </c>
      <c r="E369" s="7">
        <v>33</v>
      </c>
      <c r="F369" s="7">
        <v>2</v>
      </c>
      <c r="G369" s="7">
        <v>1.1000000000000001</v>
      </c>
      <c r="H369" s="7">
        <v>848</v>
      </c>
      <c r="I369" s="9">
        <f t="shared" si="10"/>
        <v>240.56603773584905</v>
      </c>
      <c r="J369" s="3" t="str">
        <f t="shared" si="11"/>
        <v>Medium</v>
      </c>
    </row>
    <row r="370" spans="1:10">
      <c r="A370" s="4" t="s">
        <v>414</v>
      </c>
      <c r="B370" s="4" t="s">
        <v>212</v>
      </c>
      <c r="C370" s="4" t="s">
        <v>12</v>
      </c>
      <c r="D370" s="21">
        <v>204400</v>
      </c>
      <c r="E370" s="4">
        <v>8</v>
      </c>
      <c r="F370" s="4">
        <v>2</v>
      </c>
      <c r="G370" s="4">
        <v>1</v>
      </c>
      <c r="H370" s="4">
        <v>995</v>
      </c>
      <c r="I370" s="11">
        <f t="shared" si="10"/>
        <v>205.42713567839195</v>
      </c>
      <c r="J370" s="3" t="str">
        <f t="shared" si="11"/>
        <v>Medium</v>
      </c>
    </row>
    <row r="371" spans="1:10">
      <c r="A371" s="7" t="s">
        <v>415</v>
      </c>
      <c r="B371" s="7" t="s">
        <v>80</v>
      </c>
      <c r="C371" s="7" t="s">
        <v>12</v>
      </c>
      <c r="D371" s="22">
        <v>205000</v>
      </c>
      <c r="E371" s="7">
        <v>32</v>
      </c>
      <c r="F371" s="7">
        <v>3</v>
      </c>
      <c r="G371" s="7">
        <v>1.1000000000000001</v>
      </c>
      <c r="H371" s="12">
        <v>1164</v>
      </c>
      <c r="I371" s="9">
        <f t="shared" si="10"/>
        <v>176.1168384879725</v>
      </c>
      <c r="J371" s="3" t="str">
        <f t="shared" si="11"/>
        <v>Low</v>
      </c>
    </row>
    <row r="372" spans="1:10">
      <c r="A372" s="4" t="s">
        <v>416</v>
      </c>
      <c r="B372" s="4" t="s">
        <v>83</v>
      </c>
      <c r="C372" s="4" t="s">
        <v>12</v>
      </c>
      <c r="D372" s="21">
        <v>205000</v>
      </c>
      <c r="E372" s="4">
        <v>2</v>
      </c>
      <c r="F372" s="4">
        <v>3</v>
      </c>
      <c r="G372" s="4">
        <v>1.1000000000000001</v>
      </c>
      <c r="H372" s="10">
        <v>1357</v>
      </c>
      <c r="I372" s="11">
        <f t="shared" si="10"/>
        <v>151.06853352984524</v>
      </c>
      <c r="J372" s="3" t="str">
        <f t="shared" si="11"/>
        <v>Low</v>
      </c>
    </row>
    <row r="373" spans="1:10">
      <c r="A373" s="7" t="s">
        <v>417</v>
      </c>
      <c r="B373" s="7" t="s">
        <v>42</v>
      </c>
      <c r="C373" s="7" t="s">
        <v>12</v>
      </c>
      <c r="D373" s="22">
        <v>205000</v>
      </c>
      <c r="E373" s="7">
        <v>38</v>
      </c>
      <c r="F373" s="7">
        <v>3</v>
      </c>
      <c r="G373" s="7">
        <v>1</v>
      </c>
      <c r="H373" s="12">
        <v>1008</v>
      </c>
      <c r="I373" s="9">
        <f t="shared" si="10"/>
        <v>203.37301587301587</v>
      </c>
      <c r="J373" s="3" t="str">
        <f t="shared" si="11"/>
        <v>Medium</v>
      </c>
    </row>
    <row r="374" spans="1:10">
      <c r="A374" s="4" t="s">
        <v>418</v>
      </c>
      <c r="B374" s="4" t="s">
        <v>229</v>
      </c>
      <c r="C374" s="4" t="s">
        <v>12</v>
      </c>
      <c r="D374" s="21">
        <v>205000</v>
      </c>
      <c r="E374" s="4">
        <v>16</v>
      </c>
      <c r="F374" s="4">
        <v>3</v>
      </c>
      <c r="G374" s="4">
        <v>2</v>
      </c>
      <c r="H374" s="4">
        <v>912</v>
      </c>
      <c r="I374" s="11">
        <f t="shared" si="10"/>
        <v>224.78070175438597</v>
      </c>
      <c r="J374" s="3" t="str">
        <f t="shared" si="11"/>
        <v>Medium</v>
      </c>
    </row>
    <row r="375" spans="1:10">
      <c r="A375" s="7" t="s">
        <v>419</v>
      </c>
      <c r="B375" s="7" t="s">
        <v>42</v>
      </c>
      <c r="C375" s="7" t="s">
        <v>12</v>
      </c>
      <c r="D375" s="22">
        <v>205000</v>
      </c>
      <c r="E375" s="7">
        <v>39</v>
      </c>
      <c r="F375" s="7">
        <v>3</v>
      </c>
      <c r="G375" s="7">
        <v>1</v>
      </c>
      <c r="H375" s="7">
        <v>962</v>
      </c>
      <c r="I375" s="9">
        <f t="shared" si="10"/>
        <v>213.0977130977131</v>
      </c>
      <c r="J375" s="3" t="str">
        <f t="shared" si="11"/>
        <v>Medium</v>
      </c>
    </row>
    <row r="376" spans="1:10">
      <c r="A376" s="4" t="s">
        <v>420</v>
      </c>
      <c r="B376" s="4" t="s">
        <v>381</v>
      </c>
      <c r="C376" s="4" t="s">
        <v>12</v>
      </c>
      <c r="D376" s="21">
        <v>205000</v>
      </c>
      <c r="E376" s="4">
        <v>41</v>
      </c>
      <c r="F376" s="4">
        <v>4</v>
      </c>
      <c r="G376" s="4">
        <v>1</v>
      </c>
      <c r="H376" s="10">
        <v>1469</v>
      </c>
      <c r="I376" s="11">
        <f t="shared" si="10"/>
        <v>139.55071477195372</v>
      </c>
      <c r="J376" s="3" t="str">
        <f t="shared" si="11"/>
        <v>Low</v>
      </c>
    </row>
    <row r="377" spans="1:10">
      <c r="A377" s="7" t="s">
        <v>421</v>
      </c>
      <c r="B377" s="7" t="s">
        <v>18</v>
      </c>
      <c r="C377" s="7" t="s">
        <v>12</v>
      </c>
      <c r="D377" s="22">
        <v>205000</v>
      </c>
      <c r="E377" s="7">
        <v>118</v>
      </c>
      <c r="F377" s="7">
        <v>3</v>
      </c>
      <c r="G377" s="7">
        <v>2</v>
      </c>
      <c r="H377" s="12">
        <v>1362</v>
      </c>
      <c r="I377" s="9">
        <f t="shared" si="10"/>
        <v>150.51395007342143</v>
      </c>
      <c r="J377" s="3" t="str">
        <f t="shared" si="11"/>
        <v>Low</v>
      </c>
    </row>
    <row r="378" spans="1:10">
      <c r="A378" s="4" t="s">
        <v>422</v>
      </c>
      <c r="B378" s="4" t="s">
        <v>18</v>
      </c>
      <c r="C378" s="4" t="s">
        <v>12</v>
      </c>
      <c r="D378" s="21">
        <v>206000</v>
      </c>
      <c r="E378" s="4">
        <v>5</v>
      </c>
      <c r="F378" s="4">
        <v>3</v>
      </c>
      <c r="G378" s="4">
        <v>1</v>
      </c>
      <c r="H378" s="10">
        <v>1040</v>
      </c>
      <c r="I378" s="11">
        <f t="shared" si="10"/>
        <v>198.07692307692307</v>
      </c>
      <c r="J378" s="3" t="str">
        <f t="shared" si="11"/>
        <v>Low</v>
      </c>
    </row>
    <row r="379" spans="1:10">
      <c r="A379" s="7" t="s">
        <v>423</v>
      </c>
      <c r="B379" s="7" t="s">
        <v>80</v>
      </c>
      <c r="C379" s="7" t="s">
        <v>12</v>
      </c>
      <c r="D379" s="22">
        <v>206000</v>
      </c>
      <c r="E379" s="7">
        <v>65</v>
      </c>
      <c r="F379" s="7">
        <v>4</v>
      </c>
      <c r="G379" s="7">
        <v>2</v>
      </c>
      <c r="H379" s="12">
        <v>1367</v>
      </c>
      <c r="I379" s="9">
        <f t="shared" si="10"/>
        <v>150.6949524506218</v>
      </c>
      <c r="J379" s="3" t="str">
        <f t="shared" si="11"/>
        <v>Low</v>
      </c>
    </row>
    <row r="380" spans="1:10">
      <c r="A380" s="4" t="s">
        <v>424</v>
      </c>
      <c r="B380" s="4" t="s">
        <v>11</v>
      </c>
      <c r="C380" s="4" t="s">
        <v>12</v>
      </c>
      <c r="D380" s="21">
        <v>206000</v>
      </c>
      <c r="E380" s="4">
        <v>116</v>
      </c>
      <c r="F380" s="4">
        <v>2</v>
      </c>
      <c r="G380" s="4">
        <v>1</v>
      </c>
      <c r="H380" s="10">
        <v>1270</v>
      </c>
      <c r="I380" s="11">
        <f t="shared" si="10"/>
        <v>162.20472440944883</v>
      </c>
      <c r="J380" s="3" t="str">
        <f t="shared" si="11"/>
        <v>Low</v>
      </c>
    </row>
    <row r="381" spans="1:10">
      <c r="A381" s="7" t="s">
        <v>425</v>
      </c>
      <c r="B381" s="7" t="s">
        <v>36</v>
      </c>
      <c r="C381" s="7" t="s">
        <v>12</v>
      </c>
      <c r="D381" s="22">
        <v>207000</v>
      </c>
      <c r="E381" s="7">
        <v>2</v>
      </c>
      <c r="F381" s="7">
        <v>3</v>
      </c>
      <c r="G381" s="7">
        <v>2</v>
      </c>
      <c r="H381" s="7">
        <v>929</v>
      </c>
      <c r="I381" s="9">
        <f t="shared" si="10"/>
        <v>222.82023681377825</v>
      </c>
      <c r="J381" s="3" t="str">
        <f t="shared" si="11"/>
        <v>Medium</v>
      </c>
    </row>
    <row r="382" spans="1:10">
      <c r="A382" s="4" t="s">
        <v>426</v>
      </c>
      <c r="B382" s="4" t="s">
        <v>14</v>
      </c>
      <c r="C382" s="4" t="s">
        <v>12</v>
      </c>
      <c r="D382" s="21">
        <v>207500</v>
      </c>
      <c r="E382" s="4">
        <v>52</v>
      </c>
      <c r="F382" s="4">
        <v>4</v>
      </c>
      <c r="G382" s="4">
        <v>2</v>
      </c>
      <c r="H382" s="10">
        <v>1544</v>
      </c>
      <c r="I382" s="11">
        <f t="shared" si="10"/>
        <v>134.39119170984455</v>
      </c>
      <c r="J382" s="3" t="str">
        <f t="shared" si="11"/>
        <v>Low</v>
      </c>
    </row>
    <row r="383" spans="1:10">
      <c r="A383" s="7" t="s">
        <v>427</v>
      </c>
      <c r="B383" s="7" t="s">
        <v>11</v>
      </c>
      <c r="C383" s="7" t="s">
        <v>12</v>
      </c>
      <c r="D383" s="22">
        <v>208000</v>
      </c>
      <c r="E383" s="7">
        <v>2</v>
      </c>
      <c r="F383" s="7">
        <v>3</v>
      </c>
      <c r="G383" s="7">
        <v>2</v>
      </c>
      <c r="H383" s="12">
        <v>1141</v>
      </c>
      <c r="I383" s="9">
        <f t="shared" si="10"/>
        <v>182.29623137598597</v>
      </c>
      <c r="J383" s="3" t="str">
        <f t="shared" si="11"/>
        <v>Low</v>
      </c>
    </row>
    <row r="384" spans="1:10">
      <c r="A384" s="4" t="s">
        <v>428</v>
      </c>
      <c r="B384" s="4" t="s">
        <v>131</v>
      </c>
      <c r="C384" s="4" t="s">
        <v>12</v>
      </c>
      <c r="D384" s="21">
        <v>208000</v>
      </c>
      <c r="E384" s="4">
        <v>15</v>
      </c>
      <c r="F384" s="4">
        <v>2</v>
      </c>
      <c r="G384" s="4">
        <v>1</v>
      </c>
      <c r="H384" s="4">
        <v>906</v>
      </c>
      <c r="I384" s="11">
        <f t="shared" si="10"/>
        <v>229.58057395143487</v>
      </c>
      <c r="J384" s="3" t="str">
        <f t="shared" si="11"/>
        <v>Medium</v>
      </c>
    </row>
    <row r="385" spans="1:10">
      <c r="A385" s="7" t="s">
        <v>429</v>
      </c>
      <c r="B385" s="7" t="s">
        <v>229</v>
      </c>
      <c r="C385" s="7" t="s">
        <v>12</v>
      </c>
      <c r="D385" s="22">
        <v>208000</v>
      </c>
      <c r="E385" s="7">
        <v>3</v>
      </c>
      <c r="F385" s="7">
        <v>3</v>
      </c>
      <c r="G385" s="7">
        <v>1</v>
      </c>
      <c r="H385" s="12">
        <v>1552</v>
      </c>
      <c r="I385" s="9">
        <f t="shared" si="10"/>
        <v>134.02061855670104</v>
      </c>
      <c r="J385" s="3" t="str">
        <f t="shared" si="11"/>
        <v>Low</v>
      </c>
    </row>
    <row r="386" spans="1:10">
      <c r="A386" s="4" t="s">
        <v>430</v>
      </c>
      <c r="B386" s="4" t="s">
        <v>14</v>
      </c>
      <c r="C386" s="4" t="s">
        <v>12</v>
      </c>
      <c r="D386" s="21">
        <v>208500</v>
      </c>
      <c r="E386" s="4">
        <v>6</v>
      </c>
      <c r="F386" s="4">
        <v>3</v>
      </c>
      <c r="G386" s="4">
        <v>1.1000000000000001</v>
      </c>
      <c r="H386" s="10">
        <v>1287</v>
      </c>
      <c r="I386" s="11">
        <f t="shared" ref="I386:I449" si="12">D386/H386</f>
        <v>162.00466200466201</v>
      </c>
      <c r="J386" s="3" t="str">
        <f t="shared" ref="J386:J449" si="13">IF(I386 &gt; 300, "High", IF(AND(I386 &lt;= 300, I386 &gt; 200), "Medium", "Low"))</f>
        <v>Low</v>
      </c>
    </row>
    <row r="387" spans="1:10">
      <c r="A387" s="7" t="s">
        <v>431</v>
      </c>
      <c r="B387" s="7" t="s">
        <v>11</v>
      </c>
      <c r="C387" s="7" t="s">
        <v>12</v>
      </c>
      <c r="D387" s="22">
        <v>209000</v>
      </c>
      <c r="E387" s="7">
        <v>1</v>
      </c>
      <c r="F387" s="7">
        <v>4</v>
      </c>
      <c r="G387" s="7">
        <v>3</v>
      </c>
      <c r="H387" s="12">
        <v>1920</v>
      </c>
      <c r="I387" s="9">
        <f t="shared" si="12"/>
        <v>108.85416666666667</v>
      </c>
      <c r="J387" s="3" t="str">
        <f t="shared" si="13"/>
        <v>Low</v>
      </c>
    </row>
    <row r="388" spans="1:10">
      <c r="A388" s="4" t="s">
        <v>432</v>
      </c>
      <c r="B388" s="4" t="s">
        <v>83</v>
      </c>
      <c r="C388" s="4" t="s">
        <v>12</v>
      </c>
      <c r="D388" s="21">
        <v>209500</v>
      </c>
      <c r="E388" s="4">
        <v>19</v>
      </c>
      <c r="F388" s="4">
        <v>3</v>
      </c>
      <c r="G388" s="4">
        <v>1</v>
      </c>
      <c r="H388" s="10">
        <v>1009</v>
      </c>
      <c r="I388" s="11">
        <f t="shared" si="12"/>
        <v>207.63131813676907</v>
      </c>
      <c r="J388" s="3" t="str">
        <f t="shared" si="13"/>
        <v>Medium</v>
      </c>
    </row>
    <row r="389" spans="1:10">
      <c r="A389" s="7" t="s">
        <v>433</v>
      </c>
      <c r="B389" s="7" t="s">
        <v>42</v>
      </c>
      <c r="C389" s="7" t="s">
        <v>12</v>
      </c>
      <c r="D389" s="22">
        <v>210000</v>
      </c>
      <c r="E389" s="7">
        <v>10</v>
      </c>
      <c r="F389" s="7">
        <v>2</v>
      </c>
      <c r="G389" s="7">
        <v>1</v>
      </c>
      <c r="H389" s="7">
        <v>926</v>
      </c>
      <c r="I389" s="9">
        <f t="shared" si="12"/>
        <v>226.78185745140388</v>
      </c>
      <c r="J389" s="3" t="str">
        <f t="shared" si="13"/>
        <v>Medium</v>
      </c>
    </row>
    <row r="390" spans="1:10">
      <c r="A390" s="4" t="s">
        <v>434</v>
      </c>
      <c r="B390" s="4" t="s">
        <v>229</v>
      </c>
      <c r="C390" s="4" t="s">
        <v>12</v>
      </c>
      <c r="D390" s="21">
        <v>210000</v>
      </c>
      <c r="E390" s="4">
        <v>41</v>
      </c>
      <c r="F390" s="4">
        <v>2</v>
      </c>
      <c r="G390" s="4">
        <v>1</v>
      </c>
      <c r="H390" s="10">
        <v>1343</v>
      </c>
      <c r="I390" s="11">
        <f t="shared" si="12"/>
        <v>156.36634400595682</v>
      </c>
      <c r="J390" s="3" t="str">
        <f t="shared" si="13"/>
        <v>Low</v>
      </c>
    </row>
    <row r="391" spans="1:10">
      <c r="A391" s="7" t="s">
        <v>435</v>
      </c>
      <c r="B391" s="7" t="s">
        <v>318</v>
      </c>
      <c r="C391" s="7" t="s">
        <v>12</v>
      </c>
      <c r="D391" s="22">
        <v>210000</v>
      </c>
      <c r="E391" s="7">
        <v>6</v>
      </c>
      <c r="F391" s="7">
        <v>2</v>
      </c>
      <c r="G391" s="7">
        <v>1</v>
      </c>
      <c r="H391" s="7">
        <v>951</v>
      </c>
      <c r="I391" s="9">
        <f t="shared" si="12"/>
        <v>220.82018927444796</v>
      </c>
      <c r="J391" s="3" t="str">
        <f t="shared" si="13"/>
        <v>Medium</v>
      </c>
    </row>
    <row r="392" spans="1:10">
      <c r="A392" s="4" t="s">
        <v>436</v>
      </c>
      <c r="B392" s="4" t="s">
        <v>229</v>
      </c>
      <c r="C392" s="4" t="s">
        <v>12</v>
      </c>
      <c r="D392" s="21">
        <v>210000</v>
      </c>
      <c r="E392" s="4">
        <v>7</v>
      </c>
      <c r="F392" s="4">
        <v>2</v>
      </c>
      <c r="G392" s="4">
        <v>1</v>
      </c>
      <c r="H392" s="10">
        <v>1343</v>
      </c>
      <c r="I392" s="11">
        <f t="shared" si="12"/>
        <v>156.36634400595682</v>
      </c>
      <c r="J392" s="3" t="str">
        <f t="shared" si="13"/>
        <v>Low</v>
      </c>
    </row>
    <row r="393" spans="1:10">
      <c r="A393" s="7" t="s">
        <v>437</v>
      </c>
      <c r="B393" s="7" t="s">
        <v>282</v>
      </c>
      <c r="C393" s="7" t="s">
        <v>12</v>
      </c>
      <c r="D393" s="22">
        <v>210000</v>
      </c>
      <c r="E393" s="7">
        <v>27</v>
      </c>
      <c r="F393" s="7">
        <v>4</v>
      </c>
      <c r="G393" s="7">
        <v>2</v>
      </c>
      <c r="H393" s="7">
        <v>793</v>
      </c>
      <c r="I393" s="9">
        <f t="shared" si="12"/>
        <v>264.81715006305171</v>
      </c>
      <c r="J393" s="3" t="str">
        <f t="shared" si="13"/>
        <v>Medium</v>
      </c>
    </row>
    <row r="394" spans="1:10">
      <c r="A394" s="4" t="s">
        <v>438</v>
      </c>
      <c r="B394" s="4" t="s">
        <v>212</v>
      </c>
      <c r="C394" s="4" t="s">
        <v>12</v>
      </c>
      <c r="D394" s="21">
        <v>210000</v>
      </c>
      <c r="E394" s="4">
        <v>17</v>
      </c>
      <c r="F394" s="4">
        <v>2</v>
      </c>
      <c r="G394" s="4">
        <v>1</v>
      </c>
      <c r="H394" s="4">
        <v>900</v>
      </c>
      <c r="I394" s="11">
        <f t="shared" si="12"/>
        <v>233.33333333333334</v>
      </c>
      <c r="J394" s="3" t="str">
        <f t="shared" si="13"/>
        <v>Medium</v>
      </c>
    </row>
    <row r="395" spans="1:10">
      <c r="A395" s="7" t="s">
        <v>439</v>
      </c>
      <c r="B395" s="7" t="s">
        <v>131</v>
      </c>
      <c r="C395" s="7" t="s">
        <v>12</v>
      </c>
      <c r="D395" s="22">
        <v>210000</v>
      </c>
      <c r="E395" s="7">
        <v>12</v>
      </c>
      <c r="F395" s="7">
        <v>2</v>
      </c>
      <c r="G395" s="7">
        <v>1</v>
      </c>
      <c r="H395" s="7">
        <v>800</v>
      </c>
      <c r="I395" s="9">
        <f t="shared" si="12"/>
        <v>262.5</v>
      </c>
      <c r="J395" s="3" t="str">
        <f t="shared" si="13"/>
        <v>Medium</v>
      </c>
    </row>
    <row r="396" spans="1:10">
      <c r="A396" s="4" t="s">
        <v>440</v>
      </c>
      <c r="B396" s="4" t="s">
        <v>11</v>
      </c>
      <c r="C396" s="4" t="s">
        <v>12</v>
      </c>
      <c r="D396" s="21">
        <v>210000</v>
      </c>
      <c r="E396" s="4">
        <v>46</v>
      </c>
      <c r="F396" s="4">
        <v>2</v>
      </c>
      <c r="G396" s="4">
        <v>1</v>
      </c>
      <c r="H396" s="4">
        <v>754</v>
      </c>
      <c r="I396" s="11">
        <f t="shared" si="12"/>
        <v>278.51458885941645</v>
      </c>
      <c r="J396" s="3" t="str">
        <f t="shared" si="13"/>
        <v>Medium</v>
      </c>
    </row>
    <row r="397" spans="1:10">
      <c r="A397" s="7" t="s">
        <v>441</v>
      </c>
      <c r="B397" s="7" t="s">
        <v>282</v>
      </c>
      <c r="C397" s="7" t="s">
        <v>12</v>
      </c>
      <c r="D397" s="22">
        <v>210000</v>
      </c>
      <c r="E397" s="7">
        <v>42</v>
      </c>
      <c r="F397" s="7">
        <v>2</v>
      </c>
      <c r="G397" s="7">
        <v>1</v>
      </c>
      <c r="H397" s="7">
        <v>793</v>
      </c>
      <c r="I397" s="9">
        <f t="shared" si="12"/>
        <v>264.81715006305171</v>
      </c>
      <c r="J397" s="3" t="str">
        <f t="shared" si="13"/>
        <v>Medium</v>
      </c>
    </row>
    <row r="398" spans="1:10">
      <c r="A398" s="4" t="s">
        <v>442</v>
      </c>
      <c r="B398" s="4" t="s">
        <v>42</v>
      </c>
      <c r="C398" s="4" t="s">
        <v>12</v>
      </c>
      <c r="D398" s="21">
        <v>210500</v>
      </c>
      <c r="E398" s="4">
        <v>4</v>
      </c>
      <c r="F398" s="4">
        <v>3</v>
      </c>
      <c r="G398" s="4">
        <v>1</v>
      </c>
      <c r="H398" s="10">
        <v>1056</v>
      </c>
      <c r="I398" s="11">
        <f t="shared" si="12"/>
        <v>199.33712121212122</v>
      </c>
      <c r="J398" s="3" t="str">
        <f t="shared" si="13"/>
        <v>Low</v>
      </c>
    </row>
    <row r="399" spans="1:10">
      <c r="A399" s="7" t="s">
        <v>443</v>
      </c>
      <c r="B399" s="7" t="s">
        <v>42</v>
      </c>
      <c r="C399" s="7" t="s">
        <v>12</v>
      </c>
      <c r="D399" s="22">
        <v>211000</v>
      </c>
      <c r="E399" s="7">
        <v>7</v>
      </c>
      <c r="F399" s="7">
        <v>3</v>
      </c>
      <c r="G399" s="7">
        <v>2</v>
      </c>
      <c r="H399" s="12">
        <v>1050</v>
      </c>
      <c r="I399" s="9">
        <f t="shared" si="12"/>
        <v>200.95238095238096</v>
      </c>
      <c r="J399" s="3" t="str">
        <f t="shared" si="13"/>
        <v>Medium</v>
      </c>
    </row>
    <row r="400" spans="1:10">
      <c r="A400" s="4" t="s">
        <v>444</v>
      </c>
      <c r="B400" s="4" t="s">
        <v>42</v>
      </c>
      <c r="C400" s="4" t="s">
        <v>12</v>
      </c>
      <c r="D400" s="21">
        <v>212000</v>
      </c>
      <c r="E400" s="4">
        <v>3</v>
      </c>
      <c r="F400" s="4">
        <v>4</v>
      </c>
      <c r="G400" s="4">
        <v>1</v>
      </c>
      <c r="H400" s="10">
        <v>1383</v>
      </c>
      <c r="I400" s="11">
        <f t="shared" si="12"/>
        <v>153.28994938539407</v>
      </c>
      <c r="J400" s="3" t="str">
        <f t="shared" si="13"/>
        <v>Low</v>
      </c>
    </row>
    <row r="401" spans="1:10">
      <c r="A401" s="7" t="s">
        <v>445</v>
      </c>
      <c r="B401" s="7" t="s">
        <v>11</v>
      </c>
      <c r="C401" s="7" t="s">
        <v>12</v>
      </c>
      <c r="D401" s="22">
        <v>212500</v>
      </c>
      <c r="E401" s="7">
        <v>52</v>
      </c>
      <c r="F401" s="7">
        <v>2</v>
      </c>
      <c r="G401" s="7">
        <v>1</v>
      </c>
      <c r="H401" s="7">
        <v>771</v>
      </c>
      <c r="I401" s="9">
        <f t="shared" si="12"/>
        <v>275.61608300907909</v>
      </c>
      <c r="J401" s="3" t="str">
        <f t="shared" si="13"/>
        <v>Medium</v>
      </c>
    </row>
    <row r="402" spans="1:10">
      <c r="A402" s="4" t="s">
        <v>446</v>
      </c>
      <c r="B402" s="4" t="s">
        <v>42</v>
      </c>
      <c r="C402" s="4" t="s">
        <v>12</v>
      </c>
      <c r="D402" s="21">
        <v>213000</v>
      </c>
      <c r="E402" s="4">
        <v>19</v>
      </c>
      <c r="F402" s="4">
        <v>3</v>
      </c>
      <c r="G402" s="4">
        <v>2</v>
      </c>
      <c r="H402" s="10">
        <v>1386</v>
      </c>
      <c r="I402" s="11">
        <f t="shared" si="12"/>
        <v>153.67965367965368</v>
      </c>
      <c r="J402" s="3" t="str">
        <f t="shared" si="13"/>
        <v>Low</v>
      </c>
    </row>
    <row r="403" spans="1:10">
      <c r="A403" s="7" t="s">
        <v>447</v>
      </c>
      <c r="B403" s="7" t="s">
        <v>11</v>
      </c>
      <c r="C403" s="7" t="s">
        <v>12</v>
      </c>
      <c r="D403" s="22">
        <v>213000</v>
      </c>
      <c r="E403" s="7">
        <v>5</v>
      </c>
      <c r="F403" s="7">
        <v>3</v>
      </c>
      <c r="G403" s="7">
        <v>1</v>
      </c>
      <c r="H403" s="12">
        <v>1080</v>
      </c>
      <c r="I403" s="9">
        <f t="shared" si="12"/>
        <v>197.22222222222223</v>
      </c>
      <c r="J403" s="3" t="str">
        <f t="shared" si="13"/>
        <v>Low</v>
      </c>
    </row>
    <row r="404" spans="1:10">
      <c r="A404" s="4" t="s">
        <v>448</v>
      </c>
      <c r="B404" s="4" t="s">
        <v>25</v>
      </c>
      <c r="C404" s="4" t="s">
        <v>12</v>
      </c>
      <c r="D404" s="21">
        <v>214100</v>
      </c>
      <c r="E404" s="4">
        <v>4</v>
      </c>
      <c r="F404" s="4">
        <v>4</v>
      </c>
      <c r="G404" s="4">
        <v>1</v>
      </c>
      <c r="H404" s="10">
        <v>1248</v>
      </c>
      <c r="I404" s="11">
        <f t="shared" si="12"/>
        <v>171.55448717948718</v>
      </c>
      <c r="J404" s="3" t="str">
        <f t="shared" si="13"/>
        <v>Low</v>
      </c>
    </row>
    <row r="405" spans="1:10">
      <c r="A405" s="7" t="s">
        <v>449</v>
      </c>
      <c r="B405" s="7" t="s">
        <v>73</v>
      </c>
      <c r="C405" s="7" t="s">
        <v>12</v>
      </c>
      <c r="D405" s="22">
        <v>214900</v>
      </c>
      <c r="E405" s="7">
        <v>13</v>
      </c>
      <c r="F405" s="7">
        <v>3</v>
      </c>
      <c r="G405" s="7">
        <v>1</v>
      </c>
      <c r="H405" s="12">
        <v>1442</v>
      </c>
      <c r="I405" s="9">
        <f t="shared" si="12"/>
        <v>149.02912621359224</v>
      </c>
      <c r="J405" s="3" t="str">
        <f t="shared" si="13"/>
        <v>Low</v>
      </c>
    </row>
    <row r="406" spans="1:10">
      <c r="A406" s="4" t="s">
        <v>450</v>
      </c>
      <c r="B406" s="4" t="s">
        <v>11</v>
      </c>
      <c r="C406" s="4" t="s">
        <v>12</v>
      </c>
      <c r="D406" s="21">
        <v>214900</v>
      </c>
      <c r="E406" s="4">
        <v>7</v>
      </c>
      <c r="F406" s="4">
        <v>3</v>
      </c>
      <c r="G406" s="4">
        <v>1</v>
      </c>
      <c r="H406" s="10">
        <v>1260</v>
      </c>
      <c r="I406" s="11">
        <f t="shared" si="12"/>
        <v>170.55555555555554</v>
      </c>
      <c r="J406" s="3" t="str">
        <f t="shared" si="13"/>
        <v>Low</v>
      </c>
    </row>
    <row r="407" spans="1:10">
      <c r="A407" s="7" t="s">
        <v>451</v>
      </c>
      <c r="B407" s="7" t="s">
        <v>229</v>
      </c>
      <c r="C407" s="7" t="s">
        <v>12</v>
      </c>
      <c r="D407" s="22">
        <v>215000</v>
      </c>
      <c r="E407" s="7">
        <v>6</v>
      </c>
      <c r="F407" s="7">
        <v>3</v>
      </c>
      <c r="G407" s="7">
        <v>1</v>
      </c>
      <c r="H407" s="12">
        <v>1104</v>
      </c>
      <c r="I407" s="9">
        <f t="shared" si="12"/>
        <v>194.74637681159419</v>
      </c>
      <c r="J407" s="3" t="str">
        <f t="shared" si="13"/>
        <v>Low</v>
      </c>
    </row>
    <row r="408" spans="1:10">
      <c r="A408" s="4" t="s">
        <v>452</v>
      </c>
      <c r="B408" s="4" t="s">
        <v>11</v>
      </c>
      <c r="C408" s="4" t="s">
        <v>12</v>
      </c>
      <c r="D408" s="21">
        <v>215000</v>
      </c>
      <c r="E408" s="4">
        <v>4</v>
      </c>
      <c r="F408" s="4">
        <v>3</v>
      </c>
      <c r="G408" s="4">
        <v>1.1000000000000001</v>
      </c>
      <c r="H408" s="10">
        <v>1014</v>
      </c>
      <c r="I408" s="11">
        <f t="shared" si="12"/>
        <v>212.03155818540435</v>
      </c>
      <c r="J408" s="3" t="str">
        <f t="shared" si="13"/>
        <v>Medium</v>
      </c>
    </row>
    <row r="409" spans="1:10">
      <c r="A409" s="7" t="s">
        <v>453</v>
      </c>
      <c r="B409" s="7" t="s">
        <v>42</v>
      </c>
      <c r="C409" s="7" t="s">
        <v>12</v>
      </c>
      <c r="D409" s="22">
        <v>215000</v>
      </c>
      <c r="E409" s="7">
        <v>6</v>
      </c>
      <c r="F409" s="7">
        <v>3</v>
      </c>
      <c r="G409" s="7">
        <v>1</v>
      </c>
      <c r="H409" s="12">
        <v>1100</v>
      </c>
      <c r="I409" s="9">
        <f t="shared" si="12"/>
        <v>195.45454545454547</v>
      </c>
      <c r="J409" s="3" t="str">
        <f t="shared" si="13"/>
        <v>Low</v>
      </c>
    </row>
    <row r="410" spans="1:10">
      <c r="A410" s="4" t="s">
        <v>454</v>
      </c>
      <c r="B410" s="4" t="s">
        <v>42</v>
      </c>
      <c r="C410" s="4" t="s">
        <v>12</v>
      </c>
      <c r="D410" s="21">
        <v>215000</v>
      </c>
      <c r="E410" s="4">
        <v>27</v>
      </c>
      <c r="F410" s="4">
        <v>3</v>
      </c>
      <c r="G410" s="4">
        <v>1</v>
      </c>
      <c r="H410" s="4">
        <v>980</v>
      </c>
      <c r="I410" s="11">
        <f t="shared" si="12"/>
        <v>219.38775510204081</v>
      </c>
      <c r="J410" s="3" t="str">
        <f t="shared" si="13"/>
        <v>Medium</v>
      </c>
    </row>
    <row r="411" spans="1:10">
      <c r="A411" s="7" t="s">
        <v>455</v>
      </c>
      <c r="B411" s="7" t="s">
        <v>80</v>
      </c>
      <c r="C411" s="7" t="s">
        <v>12</v>
      </c>
      <c r="D411" s="22">
        <v>215000</v>
      </c>
      <c r="E411" s="7">
        <v>3</v>
      </c>
      <c r="F411" s="7">
        <v>5</v>
      </c>
      <c r="G411" s="7">
        <v>1.1000000000000001</v>
      </c>
      <c r="H411" s="12">
        <v>1814</v>
      </c>
      <c r="I411" s="9">
        <f t="shared" si="12"/>
        <v>118.5226019845645</v>
      </c>
      <c r="J411" s="3" t="str">
        <f t="shared" si="13"/>
        <v>Low</v>
      </c>
    </row>
    <row r="412" spans="1:10">
      <c r="A412" s="4" t="s">
        <v>456</v>
      </c>
      <c r="B412" s="4" t="s">
        <v>36</v>
      </c>
      <c r="C412" s="4" t="s">
        <v>12</v>
      </c>
      <c r="D412" s="21">
        <v>215000</v>
      </c>
      <c r="E412" s="4">
        <v>16</v>
      </c>
      <c r="F412" s="4">
        <v>3</v>
      </c>
      <c r="G412" s="4">
        <v>2</v>
      </c>
      <c r="H412" s="10">
        <v>1341</v>
      </c>
      <c r="I412" s="11">
        <f t="shared" si="12"/>
        <v>160.32811334824757</v>
      </c>
      <c r="J412" s="3" t="str">
        <f t="shared" si="13"/>
        <v>Low</v>
      </c>
    </row>
    <row r="413" spans="1:10">
      <c r="A413" s="7" t="s">
        <v>457</v>
      </c>
      <c r="B413" s="7" t="s">
        <v>70</v>
      </c>
      <c r="C413" s="7" t="s">
        <v>12</v>
      </c>
      <c r="D413" s="22">
        <v>215000</v>
      </c>
      <c r="E413" s="7">
        <v>9</v>
      </c>
      <c r="F413" s="7">
        <v>3</v>
      </c>
      <c r="G413" s="7">
        <v>1</v>
      </c>
      <c r="H413" s="12">
        <v>1000</v>
      </c>
      <c r="I413" s="9">
        <f t="shared" si="12"/>
        <v>215</v>
      </c>
      <c r="J413" s="3" t="str">
        <f t="shared" si="13"/>
        <v>Medium</v>
      </c>
    </row>
    <row r="414" spans="1:10">
      <c r="A414" s="4" t="s">
        <v>458</v>
      </c>
      <c r="B414" s="4" t="s">
        <v>25</v>
      </c>
      <c r="C414" s="4" t="s">
        <v>12</v>
      </c>
      <c r="D414" s="21">
        <v>215000</v>
      </c>
      <c r="E414" s="4">
        <v>5</v>
      </c>
      <c r="F414" s="4">
        <v>2</v>
      </c>
      <c r="G414" s="4">
        <v>2</v>
      </c>
      <c r="H414" s="10">
        <v>1340</v>
      </c>
      <c r="I414" s="11">
        <f t="shared" si="12"/>
        <v>160.44776119402985</v>
      </c>
      <c r="J414" s="3" t="str">
        <f t="shared" si="13"/>
        <v>Low</v>
      </c>
    </row>
    <row r="415" spans="1:10">
      <c r="A415" s="7" t="s">
        <v>459</v>
      </c>
      <c r="B415" s="7" t="s">
        <v>42</v>
      </c>
      <c r="C415" s="7" t="s">
        <v>12</v>
      </c>
      <c r="D415" s="22">
        <v>215000</v>
      </c>
      <c r="E415" s="7">
        <v>11</v>
      </c>
      <c r="F415" s="7">
        <v>3</v>
      </c>
      <c r="G415" s="7">
        <v>1</v>
      </c>
      <c r="H415" s="7">
        <v>960</v>
      </c>
      <c r="I415" s="9">
        <f t="shared" si="12"/>
        <v>223.95833333333334</v>
      </c>
      <c r="J415" s="3" t="str">
        <f t="shared" si="13"/>
        <v>Medium</v>
      </c>
    </row>
    <row r="416" spans="1:10">
      <c r="A416" s="4" t="s">
        <v>460</v>
      </c>
      <c r="B416" s="4" t="s">
        <v>131</v>
      </c>
      <c r="C416" s="4" t="s">
        <v>12</v>
      </c>
      <c r="D416" s="21">
        <v>215000</v>
      </c>
      <c r="E416" s="4">
        <v>69</v>
      </c>
      <c r="F416" s="4">
        <v>2</v>
      </c>
      <c r="G416" s="4">
        <v>1</v>
      </c>
      <c r="H416" s="4">
        <v>725</v>
      </c>
      <c r="I416" s="11">
        <f t="shared" si="12"/>
        <v>296.55172413793105</v>
      </c>
      <c r="J416" s="3" t="str">
        <f t="shared" si="13"/>
        <v>Medium</v>
      </c>
    </row>
    <row r="417" spans="1:10">
      <c r="A417" s="7" t="s">
        <v>461</v>
      </c>
      <c r="B417" s="7" t="s">
        <v>42</v>
      </c>
      <c r="C417" s="7" t="s">
        <v>12</v>
      </c>
      <c r="D417" s="22">
        <v>215000</v>
      </c>
      <c r="E417" s="7">
        <v>5</v>
      </c>
      <c r="F417" s="7">
        <v>3</v>
      </c>
      <c r="G417" s="7">
        <v>1</v>
      </c>
      <c r="H417" s="7">
        <v>999</v>
      </c>
      <c r="I417" s="9">
        <f t="shared" si="12"/>
        <v>215.21521521521521</v>
      </c>
      <c r="J417" s="3" t="str">
        <f t="shared" si="13"/>
        <v>Medium</v>
      </c>
    </row>
    <row r="418" spans="1:10">
      <c r="A418" s="4" t="s">
        <v>462</v>
      </c>
      <c r="B418" s="4" t="s">
        <v>29</v>
      </c>
      <c r="C418" s="4" t="s">
        <v>12</v>
      </c>
      <c r="D418" s="21">
        <v>215000</v>
      </c>
      <c r="E418" s="4">
        <v>22</v>
      </c>
      <c r="F418" s="4">
        <v>3</v>
      </c>
      <c r="G418" s="4">
        <v>1</v>
      </c>
      <c r="H418" s="4">
        <v>980</v>
      </c>
      <c r="I418" s="11">
        <f t="shared" si="12"/>
        <v>219.38775510204081</v>
      </c>
      <c r="J418" s="3" t="str">
        <f t="shared" si="13"/>
        <v>Medium</v>
      </c>
    </row>
    <row r="419" spans="1:10">
      <c r="A419" s="7" t="s">
        <v>463</v>
      </c>
      <c r="B419" s="7" t="s">
        <v>331</v>
      </c>
      <c r="C419" s="7" t="s">
        <v>12</v>
      </c>
      <c r="D419" s="22">
        <v>215000</v>
      </c>
      <c r="E419" s="7">
        <v>25</v>
      </c>
      <c r="F419" s="7">
        <v>3</v>
      </c>
      <c r="G419" s="7">
        <v>2</v>
      </c>
      <c r="H419" s="12">
        <v>1707</v>
      </c>
      <c r="I419" s="9">
        <f t="shared" si="12"/>
        <v>125.95196250732279</v>
      </c>
      <c r="J419" s="3" t="str">
        <f t="shared" si="13"/>
        <v>Low</v>
      </c>
    </row>
    <row r="420" spans="1:10">
      <c r="A420" s="4" t="s">
        <v>464</v>
      </c>
      <c r="B420" s="4" t="s">
        <v>131</v>
      </c>
      <c r="C420" s="4" t="s">
        <v>12</v>
      </c>
      <c r="D420" s="21">
        <v>215000</v>
      </c>
      <c r="E420" s="4">
        <v>80</v>
      </c>
      <c r="F420" s="4">
        <v>2</v>
      </c>
      <c r="G420" s="4">
        <v>1</v>
      </c>
      <c r="H420" s="10">
        <v>1212</v>
      </c>
      <c r="I420" s="11">
        <f t="shared" si="12"/>
        <v>177.39273927392739</v>
      </c>
      <c r="J420" s="3" t="str">
        <f t="shared" si="13"/>
        <v>Low</v>
      </c>
    </row>
    <row r="421" spans="1:10">
      <c r="A421" s="7" t="s">
        <v>465</v>
      </c>
      <c r="B421" s="7" t="s">
        <v>42</v>
      </c>
      <c r="C421" s="7" t="s">
        <v>12</v>
      </c>
      <c r="D421" s="22">
        <v>216000</v>
      </c>
      <c r="E421" s="7">
        <v>45</v>
      </c>
      <c r="F421" s="7">
        <v>3</v>
      </c>
      <c r="G421" s="7">
        <v>1</v>
      </c>
      <c r="H421" s="12">
        <v>1100</v>
      </c>
      <c r="I421" s="9">
        <f t="shared" si="12"/>
        <v>196.36363636363637</v>
      </c>
      <c r="J421" s="3" t="str">
        <f t="shared" si="13"/>
        <v>Low</v>
      </c>
    </row>
    <row r="422" spans="1:10">
      <c r="A422" s="4" t="s">
        <v>466</v>
      </c>
      <c r="B422" s="4" t="s">
        <v>83</v>
      </c>
      <c r="C422" s="4" t="s">
        <v>12</v>
      </c>
      <c r="D422" s="21">
        <v>216325</v>
      </c>
      <c r="E422" s="4">
        <v>27</v>
      </c>
      <c r="F422" s="4">
        <v>3</v>
      </c>
      <c r="G422" s="4">
        <v>1.1000000000000001</v>
      </c>
      <c r="H422" s="10">
        <v>1080</v>
      </c>
      <c r="I422" s="11">
        <f t="shared" si="12"/>
        <v>200.30092592592592</v>
      </c>
      <c r="J422" s="3" t="str">
        <f t="shared" si="13"/>
        <v>Medium</v>
      </c>
    </row>
    <row r="423" spans="1:10">
      <c r="A423" s="7" t="s">
        <v>467</v>
      </c>
      <c r="B423" s="7" t="s">
        <v>56</v>
      </c>
      <c r="C423" s="7" t="s">
        <v>12</v>
      </c>
      <c r="D423" s="22">
        <v>216400</v>
      </c>
      <c r="E423" s="7">
        <v>217</v>
      </c>
      <c r="F423" s="7">
        <v>2</v>
      </c>
      <c r="G423" s="7">
        <v>2</v>
      </c>
      <c r="H423" s="12">
        <v>1746</v>
      </c>
      <c r="I423" s="9">
        <f t="shared" si="12"/>
        <v>123.94043528064147</v>
      </c>
      <c r="J423" s="3" t="str">
        <f t="shared" si="13"/>
        <v>Low</v>
      </c>
    </row>
    <row r="424" spans="1:10">
      <c r="A424" s="4" t="s">
        <v>468</v>
      </c>
      <c r="B424" s="4" t="s">
        <v>381</v>
      </c>
      <c r="C424" s="4" t="s">
        <v>12</v>
      </c>
      <c r="D424" s="21">
        <v>216500</v>
      </c>
      <c r="E424" s="4">
        <v>7</v>
      </c>
      <c r="F424" s="4">
        <v>4</v>
      </c>
      <c r="G424" s="4">
        <v>2</v>
      </c>
      <c r="H424" s="10">
        <v>1746</v>
      </c>
      <c r="I424" s="11">
        <f t="shared" si="12"/>
        <v>123.99770904925543</v>
      </c>
      <c r="J424" s="3" t="str">
        <f t="shared" si="13"/>
        <v>Low</v>
      </c>
    </row>
    <row r="425" spans="1:10">
      <c r="A425" s="7" t="s">
        <v>469</v>
      </c>
      <c r="B425" s="7" t="s">
        <v>83</v>
      </c>
      <c r="C425" s="7" t="s">
        <v>12</v>
      </c>
      <c r="D425" s="22">
        <v>217500</v>
      </c>
      <c r="E425" s="7">
        <v>5</v>
      </c>
      <c r="F425" s="7">
        <v>3</v>
      </c>
      <c r="G425" s="7">
        <v>1</v>
      </c>
      <c r="H425" s="12">
        <v>1100</v>
      </c>
      <c r="I425" s="9">
        <f t="shared" si="12"/>
        <v>197.72727272727272</v>
      </c>
      <c r="J425" s="3" t="str">
        <f t="shared" si="13"/>
        <v>Low</v>
      </c>
    </row>
    <row r="426" spans="1:10">
      <c r="A426" s="4" t="s">
        <v>470</v>
      </c>
      <c r="B426" s="4" t="s">
        <v>11</v>
      </c>
      <c r="C426" s="4" t="s">
        <v>12</v>
      </c>
      <c r="D426" s="21">
        <v>218000</v>
      </c>
      <c r="E426" s="4">
        <v>9</v>
      </c>
      <c r="F426" s="4">
        <v>3</v>
      </c>
      <c r="G426" s="4">
        <v>1</v>
      </c>
      <c r="H426" s="10">
        <v>1000</v>
      </c>
      <c r="I426" s="11">
        <f t="shared" si="12"/>
        <v>218</v>
      </c>
      <c r="J426" s="3" t="str">
        <f t="shared" si="13"/>
        <v>Medium</v>
      </c>
    </row>
    <row r="427" spans="1:10">
      <c r="A427" s="7" t="s">
        <v>471</v>
      </c>
      <c r="B427" s="7" t="s">
        <v>36</v>
      </c>
      <c r="C427" s="7" t="s">
        <v>12</v>
      </c>
      <c r="D427" s="22">
        <v>218000</v>
      </c>
      <c r="E427" s="7">
        <v>0</v>
      </c>
      <c r="F427" s="7">
        <v>4</v>
      </c>
      <c r="G427" s="7">
        <v>2</v>
      </c>
      <c r="H427" s="12">
        <v>1126</v>
      </c>
      <c r="I427" s="9">
        <f t="shared" si="12"/>
        <v>193.60568383658969</v>
      </c>
      <c r="J427" s="3" t="str">
        <f t="shared" si="13"/>
        <v>Low</v>
      </c>
    </row>
    <row r="428" spans="1:10">
      <c r="A428" s="4" t="s">
        <v>472</v>
      </c>
      <c r="B428" s="4" t="s">
        <v>83</v>
      </c>
      <c r="C428" s="4" t="s">
        <v>12</v>
      </c>
      <c r="D428" s="21">
        <v>218000</v>
      </c>
      <c r="E428" s="4">
        <v>47</v>
      </c>
      <c r="F428" s="4">
        <v>3</v>
      </c>
      <c r="G428" s="4">
        <v>2</v>
      </c>
      <c r="H428" s="10">
        <v>1094</v>
      </c>
      <c r="I428" s="11">
        <f t="shared" si="12"/>
        <v>199.26873857404021</v>
      </c>
      <c r="J428" s="3" t="str">
        <f t="shared" si="13"/>
        <v>Low</v>
      </c>
    </row>
    <row r="429" spans="1:10">
      <c r="A429" s="7" t="s">
        <v>473</v>
      </c>
      <c r="B429" s="7" t="s">
        <v>474</v>
      </c>
      <c r="C429" s="7" t="s">
        <v>12</v>
      </c>
      <c r="D429" s="22">
        <v>219900</v>
      </c>
      <c r="E429" s="7">
        <v>21</v>
      </c>
      <c r="F429" s="7">
        <v>3</v>
      </c>
      <c r="G429" s="7">
        <v>1</v>
      </c>
      <c r="H429" s="12">
        <v>1044</v>
      </c>
      <c r="I429" s="9">
        <f t="shared" si="12"/>
        <v>210.63218390804599</v>
      </c>
      <c r="J429" s="3" t="str">
        <f t="shared" si="13"/>
        <v>Medium</v>
      </c>
    </row>
    <row r="430" spans="1:10">
      <c r="A430" s="4" t="s">
        <v>475</v>
      </c>
      <c r="B430" s="4" t="s">
        <v>73</v>
      </c>
      <c r="C430" s="4" t="s">
        <v>12</v>
      </c>
      <c r="D430" s="21">
        <v>219900</v>
      </c>
      <c r="E430" s="4">
        <v>45</v>
      </c>
      <c r="F430" s="4">
        <v>2</v>
      </c>
      <c r="G430" s="4">
        <v>1</v>
      </c>
      <c r="H430" s="10">
        <v>1054</v>
      </c>
      <c r="I430" s="11">
        <f t="shared" si="12"/>
        <v>208.63377609108159</v>
      </c>
      <c r="J430" s="3" t="str">
        <f t="shared" si="13"/>
        <v>Medium</v>
      </c>
    </row>
    <row r="431" spans="1:10">
      <c r="A431" s="7" t="s">
        <v>476</v>
      </c>
      <c r="B431" s="7" t="s">
        <v>83</v>
      </c>
      <c r="C431" s="7" t="s">
        <v>12</v>
      </c>
      <c r="D431" s="22">
        <v>220000</v>
      </c>
      <c r="E431" s="7">
        <v>4</v>
      </c>
      <c r="F431" s="7">
        <v>3</v>
      </c>
      <c r="G431" s="7">
        <v>1.1000000000000001</v>
      </c>
      <c r="H431" s="12">
        <v>1292</v>
      </c>
      <c r="I431" s="9">
        <f t="shared" si="12"/>
        <v>170.27863777089783</v>
      </c>
      <c r="J431" s="3" t="str">
        <f t="shared" si="13"/>
        <v>Low</v>
      </c>
    </row>
    <row r="432" spans="1:10">
      <c r="A432" s="4" t="s">
        <v>477</v>
      </c>
      <c r="B432" s="4" t="s">
        <v>29</v>
      </c>
      <c r="C432" s="4" t="s">
        <v>12</v>
      </c>
      <c r="D432" s="21">
        <v>220000</v>
      </c>
      <c r="E432" s="4">
        <v>1</v>
      </c>
      <c r="F432" s="4">
        <v>3</v>
      </c>
      <c r="G432" s="4">
        <v>1</v>
      </c>
      <c r="H432" s="10">
        <v>1066</v>
      </c>
      <c r="I432" s="11">
        <f t="shared" si="12"/>
        <v>206.37898686679173</v>
      </c>
      <c r="J432" s="3" t="str">
        <f t="shared" si="13"/>
        <v>Medium</v>
      </c>
    </row>
    <row r="433" spans="1:10">
      <c r="A433" s="7" t="s">
        <v>478</v>
      </c>
      <c r="B433" s="7" t="s">
        <v>11</v>
      </c>
      <c r="C433" s="7" t="s">
        <v>12</v>
      </c>
      <c r="D433" s="22">
        <v>220000</v>
      </c>
      <c r="E433" s="7">
        <v>27</v>
      </c>
      <c r="F433" s="7">
        <v>3</v>
      </c>
      <c r="G433" s="7">
        <v>1.1000000000000001</v>
      </c>
      <c r="H433" s="12">
        <v>1248</v>
      </c>
      <c r="I433" s="9">
        <f t="shared" si="12"/>
        <v>176.28205128205127</v>
      </c>
      <c r="J433" s="3" t="str">
        <f t="shared" si="13"/>
        <v>Low</v>
      </c>
    </row>
    <row r="434" spans="1:10">
      <c r="A434" s="4" t="s">
        <v>479</v>
      </c>
      <c r="B434" s="4" t="s">
        <v>36</v>
      </c>
      <c r="C434" s="4" t="s">
        <v>12</v>
      </c>
      <c r="D434" s="21">
        <v>220000</v>
      </c>
      <c r="E434" s="4">
        <v>53</v>
      </c>
      <c r="F434" s="4">
        <v>3</v>
      </c>
      <c r="G434" s="4">
        <v>3</v>
      </c>
      <c r="H434" s="10">
        <v>1650</v>
      </c>
      <c r="I434" s="11">
        <f t="shared" si="12"/>
        <v>133.33333333333334</v>
      </c>
      <c r="J434" s="3" t="str">
        <f t="shared" si="13"/>
        <v>Low</v>
      </c>
    </row>
    <row r="435" spans="1:10">
      <c r="A435" s="7" t="s">
        <v>480</v>
      </c>
      <c r="B435" s="7" t="s">
        <v>73</v>
      </c>
      <c r="C435" s="7" t="s">
        <v>12</v>
      </c>
      <c r="D435" s="22">
        <v>220000</v>
      </c>
      <c r="E435" s="7">
        <v>45</v>
      </c>
      <c r="F435" s="7">
        <v>2</v>
      </c>
      <c r="G435" s="7">
        <v>2.1</v>
      </c>
      <c r="H435" s="12">
        <v>1610</v>
      </c>
      <c r="I435" s="9">
        <f t="shared" si="12"/>
        <v>136.64596273291926</v>
      </c>
      <c r="J435" s="3" t="str">
        <f t="shared" si="13"/>
        <v>Low</v>
      </c>
    </row>
    <row r="436" spans="1:10">
      <c r="A436" s="4" t="s">
        <v>481</v>
      </c>
      <c r="B436" s="4" t="s">
        <v>42</v>
      </c>
      <c r="C436" s="4" t="s">
        <v>12</v>
      </c>
      <c r="D436" s="21">
        <v>220000</v>
      </c>
      <c r="E436" s="4">
        <v>45</v>
      </c>
      <c r="F436" s="4">
        <v>3</v>
      </c>
      <c r="G436" s="4">
        <v>1.1000000000000001</v>
      </c>
      <c r="H436" s="10">
        <v>1190</v>
      </c>
      <c r="I436" s="11">
        <f t="shared" si="12"/>
        <v>184.87394957983193</v>
      </c>
      <c r="J436" s="3" t="str">
        <f t="shared" si="13"/>
        <v>Low</v>
      </c>
    </row>
    <row r="437" spans="1:10">
      <c r="A437" s="7" t="s">
        <v>482</v>
      </c>
      <c r="B437" s="7" t="s">
        <v>11</v>
      </c>
      <c r="C437" s="7" t="s">
        <v>12</v>
      </c>
      <c r="D437" s="22">
        <v>220000</v>
      </c>
      <c r="E437" s="7">
        <v>3</v>
      </c>
      <c r="F437" s="7">
        <v>3</v>
      </c>
      <c r="G437" s="7">
        <v>1</v>
      </c>
      <c r="H437" s="7">
        <v>912</v>
      </c>
      <c r="I437" s="9">
        <f t="shared" si="12"/>
        <v>241.2280701754386</v>
      </c>
      <c r="J437" s="3" t="str">
        <f t="shared" si="13"/>
        <v>Medium</v>
      </c>
    </row>
    <row r="438" spans="1:10">
      <c r="A438" s="4" t="s">
        <v>483</v>
      </c>
      <c r="B438" s="4" t="s">
        <v>42</v>
      </c>
      <c r="C438" s="4" t="s">
        <v>12</v>
      </c>
      <c r="D438" s="21">
        <v>220000</v>
      </c>
      <c r="E438" s="4">
        <v>25</v>
      </c>
      <c r="F438" s="4">
        <v>3</v>
      </c>
      <c r="G438" s="4">
        <v>1</v>
      </c>
      <c r="H438" s="10">
        <v>1408</v>
      </c>
      <c r="I438" s="11">
        <f t="shared" si="12"/>
        <v>156.25</v>
      </c>
      <c r="J438" s="3" t="str">
        <f t="shared" si="13"/>
        <v>Low</v>
      </c>
    </row>
    <row r="439" spans="1:10">
      <c r="A439" s="7" t="s">
        <v>484</v>
      </c>
      <c r="B439" s="7" t="s">
        <v>83</v>
      </c>
      <c r="C439" s="7" t="s">
        <v>12</v>
      </c>
      <c r="D439" s="22">
        <v>220000</v>
      </c>
      <c r="E439" s="7">
        <v>34</v>
      </c>
      <c r="F439" s="7">
        <v>3</v>
      </c>
      <c r="G439" s="7">
        <v>1.1000000000000001</v>
      </c>
      <c r="H439" s="12">
        <v>1181</v>
      </c>
      <c r="I439" s="9">
        <f t="shared" si="12"/>
        <v>186.28281117696866</v>
      </c>
      <c r="J439" s="3" t="str">
        <f t="shared" si="13"/>
        <v>Low</v>
      </c>
    </row>
    <row r="440" spans="1:10">
      <c r="A440" s="4" t="s">
        <v>485</v>
      </c>
      <c r="B440" s="4" t="s">
        <v>298</v>
      </c>
      <c r="C440" s="4" t="s">
        <v>12</v>
      </c>
      <c r="D440" s="21">
        <v>220000</v>
      </c>
      <c r="E440" s="4">
        <v>75</v>
      </c>
      <c r="F440" s="4">
        <v>3</v>
      </c>
      <c r="G440" s="4">
        <v>1.1000000000000001</v>
      </c>
      <c r="H440" s="10">
        <v>1520</v>
      </c>
      <c r="I440" s="11">
        <f t="shared" si="12"/>
        <v>144.73684210526315</v>
      </c>
      <c r="J440" s="3" t="str">
        <f t="shared" si="13"/>
        <v>Low</v>
      </c>
    </row>
    <row r="441" spans="1:10">
      <c r="A441" s="7" t="s">
        <v>486</v>
      </c>
      <c r="B441" s="7" t="s">
        <v>29</v>
      </c>
      <c r="C441" s="7" t="s">
        <v>12</v>
      </c>
      <c r="D441" s="22">
        <v>220000</v>
      </c>
      <c r="E441" s="7">
        <v>37</v>
      </c>
      <c r="F441" s="7">
        <v>3</v>
      </c>
      <c r="G441" s="7">
        <v>1.1000000000000001</v>
      </c>
      <c r="H441" s="12">
        <v>1100</v>
      </c>
      <c r="I441" s="9">
        <f t="shared" si="12"/>
        <v>200</v>
      </c>
      <c r="J441" s="3" t="str">
        <f t="shared" si="13"/>
        <v>Low</v>
      </c>
    </row>
    <row r="442" spans="1:10">
      <c r="A442" s="4" t="s">
        <v>487</v>
      </c>
      <c r="B442" s="4" t="s">
        <v>11</v>
      </c>
      <c r="C442" s="4" t="s">
        <v>12</v>
      </c>
      <c r="D442" s="21">
        <v>220000</v>
      </c>
      <c r="E442" s="4">
        <v>81</v>
      </c>
      <c r="F442" s="4">
        <v>3</v>
      </c>
      <c r="G442" s="4">
        <v>1</v>
      </c>
      <c r="H442" s="4">
        <v>608</v>
      </c>
      <c r="I442" s="11">
        <f t="shared" si="12"/>
        <v>361.84210526315792</v>
      </c>
      <c r="J442" s="3" t="str">
        <f t="shared" si="13"/>
        <v>High</v>
      </c>
    </row>
    <row r="443" spans="1:10">
      <c r="A443" s="7" t="s">
        <v>488</v>
      </c>
      <c r="B443" s="7" t="s">
        <v>29</v>
      </c>
      <c r="C443" s="7" t="s">
        <v>12</v>
      </c>
      <c r="D443" s="22">
        <v>220000</v>
      </c>
      <c r="E443" s="7">
        <v>79</v>
      </c>
      <c r="F443" s="7">
        <v>2</v>
      </c>
      <c r="G443" s="7">
        <v>1</v>
      </c>
      <c r="H443" s="7">
        <v>900</v>
      </c>
      <c r="I443" s="9">
        <f t="shared" si="12"/>
        <v>244.44444444444446</v>
      </c>
      <c r="J443" s="3" t="str">
        <f t="shared" si="13"/>
        <v>Medium</v>
      </c>
    </row>
    <row r="444" spans="1:10">
      <c r="A444" s="4" t="s">
        <v>489</v>
      </c>
      <c r="B444" s="4" t="s">
        <v>73</v>
      </c>
      <c r="C444" s="4" t="s">
        <v>12</v>
      </c>
      <c r="D444" s="21">
        <v>220000</v>
      </c>
      <c r="E444" s="4">
        <v>2</v>
      </c>
      <c r="F444" s="4">
        <v>4</v>
      </c>
      <c r="G444" s="4">
        <v>1.1000000000000001</v>
      </c>
      <c r="H444" s="10">
        <v>1450</v>
      </c>
      <c r="I444" s="11">
        <f t="shared" si="12"/>
        <v>151.72413793103448</v>
      </c>
      <c r="J444" s="3" t="str">
        <f t="shared" si="13"/>
        <v>Low</v>
      </c>
    </row>
    <row r="445" spans="1:10">
      <c r="A445" s="7" t="s">
        <v>490</v>
      </c>
      <c r="B445" s="7" t="s">
        <v>131</v>
      </c>
      <c r="C445" s="7" t="s">
        <v>12</v>
      </c>
      <c r="D445" s="22">
        <v>220000</v>
      </c>
      <c r="E445" s="7">
        <v>57</v>
      </c>
      <c r="F445" s="7">
        <v>3</v>
      </c>
      <c r="G445" s="7">
        <v>1</v>
      </c>
      <c r="H445" s="12">
        <v>1008</v>
      </c>
      <c r="I445" s="9">
        <f t="shared" si="12"/>
        <v>218.25396825396825</v>
      </c>
      <c r="J445" s="3" t="str">
        <f t="shared" si="13"/>
        <v>Medium</v>
      </c>
    </row>
    <row r="446" spans="1:10">
      <c r="A446" s="4" t="s">
        <v>491</v>
      </c>
      <c r="B446" s="4" t="s">
        <v>14</v>
      </c>
      <c r="C446" s="4" t="s">
        <v>12</v>
      </c>
      <c r="D446" s="21">
        <v>220000</v>
      </c>
      <c r="E446" s="4">
        <v>89</v>
      </c>
      <c r="F446" s="4">
        <v>3</v>
      </c>
      <c r="G446" s="4">
        <v>2</v>
      </c>
      <c r="H446" s="10">
        <v>1510</v>
      </c>
      <c r="I446" s="11">
        <f t="shared" si="12"/>
        <v>145.6953642384106</v>
      </c>
      <c r="J446" s="3" t="str">
        <f t="shared" si="13"/>
        <v>Low</v>
      </c>
    </row>
    <row r="447" spans="1:10">
      <c r="A447" s="7" t="s">
        <v>492</v>
      </c>
      <c r="B447" s="7" t="s">
        <v>11</v>
      </c>
      <c r="C447" s="7" t="s">
        <v>12</v>
      </c>
      <c r="D447" s="22">
        <v>220500</v>
      </c>
      <c r="E447" s="7">
        <v>34</v>
      </c>
      <c r="F447" s="7">
        <v>0</v>
      </c>
      <c r="G447" s="7">
        <v>0</v>
      </c>
      <c r="H447" s="12">
        <v>1160</v>
      </c>
      <c r="I447" s="9">
        <f t="shared" si="12"/>
        <v>190.08620689655172</v>
      </c>
      <c r="J447" s="3" t="str">
        <f t="shared" si="13"/>
        <v>Low</v>
      </c>
    </row>
    <row r="448" spans="1:10">
      <c r="A448" s="4" t="s">
        <v>493</v>
      </c>
      <c r="B448" s="4" t="s">
        <v>73</v>
      </c>
      <c r="C448" s="4" t="s">
        <v>12</v>
      </c>
      <c r="D448" s="21">
        <v>220500</v>
      </c>
      <c r="E448" s="4">
        <v>91</v>
      </c>
      <c r="F448" s="4">
        <v>2</v>
      </c>
      <c r="G448" s="4">
        <v>1</v>
      </c>
      <c r="H448" s="10">
        <v>1447</v>
      </c>
      <c r="I448" s="11">
        <f t="shared" si="12"/>
        <v>152.38424326192123</v>
      </c>
      <c r="J448" s="3" t="str">
        <f t="shared" si="13"/>
        <v>Low</v>
      </c>
    </row>
    <row r="449" spans="1:10">
      <c r="A449" s="7" t="s">
        <v>494</v>
      </c>
      <c r="B449" s="7" t="s">
        <v>77</v>
      </c>
      <c r="C449" s="7" t="s">
        <v>12</v>
      </c>
      <c r="D449" s="22">
        <v>221000</v>
      </c>
      <c r="E449" s="7">
        <v>15</v>
      </c>
      <c r="F449" s="7">
        <v>4</v>
      </c>
      <c r="G449" s="7">
        <v>2</v>
      </c>
      <c r="H449" s="12">
        <v>1225</v>
      </c>
      <c r="I449" s="9">
        <f t="shared" si="12"/>
        <v>180.40816326530611</v>
      </c>
      <c r="J449" s="3" t="str">
        <f t="shared" si="13"/>
        <v>Low</v>
      </c>
    </row>
    <row r="450" spans="1:10">
      <c r="A450" s="4" t="s">
        <v>495</v>
      </c>
      <c r="B450" s="4" t="s">
        <v>212</v>
      </c>
      <c r="C450" s="4" t="s">
        <v>12</v>
      </c>
      <c r="D450" s="21">
        <v>222000</v>
      </c>
      <c r="E450" s="4">
        <v>33</v>
      </c>
      <c r="F450" s="4">
        <v>2</v>
      </c>
      <c r="G450" s="4">
        <v>1</v>
      </c>
      <c r="H450" s="10">
        <v>1260</v>
      </c>
      <c r="I450" s="11">
        <f t="shared" ref="I450:I513" si="14">D450/H450</f>
        <v>176.1904761904762</v>
      </c>
      <c r="J450" s="3" t="str">
        <f t="shared" ref="J450:J513" si="15">IF(I450 &gt; 300, "High", IF(AND(I450 &lt;= 300, I450 &gt; 200), "Medium", "Low"))</f>
        <v>Low</v>
      </c>
    </row>
    <row r="451" spans="1:10">
      <c r="A451" s="7" t="s">
        <v>496</v>
      </c>
      <c r="B451" s="7" t="s">
        <v>131</v>
      </c>
      <c r="C451" s="7" t="s">
        <v>12</v>
      </c>
      <c r="D451" s="22">
        <v>222000</v>
      </c>
      <c r="E451" s="7">
        <v>58</v>
      </c>
      <c r="F451" s="7">
        <v>3</v>
      </c>
      <c r="G451" s="7">
        <v>1</v>
      </c>
      <c r="H451" s="12">
        <v>1008</v>
      </c>
      <c r="I451" s="9">
        <f t="shared" si="14"/>
        <v>220.23809523809524</v>
      </c>
      <c r="J451" s="3" t="str">
        <f t="shared" si="15"/>
        <v>Medium</v>
      </c>
    </row>
    <row r="452" spans="1:10">
      <c r="A452" s="4" t="s">
        <v>497</v>
      </c>
      <c r="B452" s="4" t="s">
        <v>73</v>
      </c>
      <c r="C452" s="4" t="s">
        <v>12</v>
      </c>
      <c r="D452" s="21">
        <v>222500</v>
      </c>
      <c r="E452" s="4">
        <v>15</v>
      </c>
      <c r="F452" s="4">
        <v>3</v>
      </c>
      <c r="G452" s="4">
        <v>1</v>
      </c>
      <c r="H452" s="10">
        <v>1471</v>
      </c>
      <c r="I452" s="11">
        <f t="shared" si="14"/>
        <v>151.2576478585996</v>
      </c>
      <c r="J452" s="3" t="str">
        <f t="shared" si="15"/>
        <v>Low</v>
      </c>
    </row>
    <row r="453" spans="1:10">
      <c r="A453" s="7" t="s">
        <v>498</v>
      </c>
      <c r="B453" s="7" t="s">
        <v>83</v>
      </c>
      <c r="C453" s="7" t="s">
        <v>12</v>
      </c>
      <c r="D453" s="22">
        <v>222500</v>
      </c>
      <c r="E453" s="7">
        <v>27</v>
      </c>
      <c r="F453" s="7">
        <v>3</v>
      </c>
      <c r="G453" s="7">
        <v>2</v>
      </c>
      <c r="H453" s="12">
        <v>1420</v>
      </c>
      <c r="I453" s="9">
        <f t="shared" si="14"/>
        <v>156.69014084507043</v>
      </c>
      <c r="J453" s="3" t="str">
        <f t="shared" si="15"/>
        <v>Low</v>
      </c>
    </row>
    <row r="454" spans="1:10">
      <c r="A454" s="4" t="s">
        <v>499</v>
      </c>
      <c r="B454" s="4" t="s">
        <v>11</v>
      </c>
      <c r="C454" s="4" t="s">
        <v>12</v>
      </c>
      <c r="D454" s="21">
        <v>223500</v>
      </c>
      <c r="E454" s="4">
        <v>7</v>
      </c>
      <c r="F454" s="4">
        <v>3</v>
      </c>
      <c r="G454" s="4">
        <v>2</v>
      </c>
      <c r="H454" s="10">
        <v>1512</v>
      </c>
      <c r="I454" s="11">
        <f t="shared" si="14"/>
        <v>147.81746031746033</v>
      </c>
      <c r="J454" s="3" t="str">
        <f t="shared" si="15"/>
        <v>Low</v>
      </c>
    </row>
    <row r="455" spans="1:10">
      <c r="A455" s="7" t="s">
        <v>500</v>
      </c>
      <c r="B455" s="7" t="s">
        <v>11</v>
      </c>
      <c r="C455" s="7" t="s">
        <v>12</v>
      </c>
      <c r="D455" s="22">
        <v>224000</v>
      </c>
      <c r="E455" s="7">
        <v>76</v>
      </c>
      <c r="F455" s="7">
        <v>2</v>
      </c>
      <c r="G455" s="7">
        <v>1</v>
      </c>
      <c r="H455" s="7">
        <v>934</v>
      </c>
      <c r="I455" s="9">
        <f t="shared" si="14"/>
        <v>239.82869379014988</v>
      </c>
      <c r="J455" s="3" t="str">
        <f t="shared" si="15"/>
        <v>Medium</v>
      </c>
    </row>
    <row r="456" spans="1:10">
      <c r="A456" s="4" t="s">
        <v>501</v>
      </c>
      <c r="B456" s="4" t="s">
        <v>14</v>
      </c>
      <c r="C456" s="4" t="s">
        <v>12</v>
      </c>
      <c r="D456" s="21">
        <v>224000</v>
      </c>
      <c r="E456" s="4">
        <v>51</v>
      </c>
      <c r="F456" s="4">
        <v>3</v>
      </c>
      <c r="G456" s="4">
        <v>2</v>
      </c>
      <c r="H456" s="10">
        <v>1300</v>
      </c>
      <c r="I456" s="11">
        <f t="shared" si="14"/>
        <v>172.30769230769232</v>
      </c>
      <c r="J456" s="3" t="str">
        <f t="shared" si="15"/>
        <v>Low</v>
      </c>
    </row>
    <row r="457" spans="1:10">
      <c r="A457" s="7" t="s">
        <v>502</v>
      </c>
      <c r="B457" s="7" t="s">
        <v>11</v>
      </c>
      <c r="C457" s="7" t="s">
        <v>12</v>
      </c>
      <c r="D457" s="22">
        <v>224400</v>
      </c>
      <c r="E457" s="7">
        <v>32</v>
      </c>
      <c r="F457" s="7">
        <v>3</v>
      </c>
      <c r="G457" s="7">
        <v>1</v>
      </c>
      <c r="H457" s="7">
        <v>901</v>
      </c>
      <c r="I457" s="9">
        <f t="shared" si="14"/>
        <v>249.0566037735849</v>
      </c>
      <c r="J457" s="3" t="str">
        <f t="shared" si="15"/>
        <v>Medium</v>
      </c>
    </row>
    <row r="458" spans="1:10">
      <c r="A458" s="4" t="s">
        <v>503</v>
      </c>
      <c r="B458" s="4" t="s">
        <v>42</v>
      </c>
      <c r="C458" s="4" t="s">
        <v>12</v>
      </c>
      <c r="D458" s="21">
        <v>225000</v>
      </c>
      <c r="E458" s="4">
        <v>5</v>
      </c>
      <c r="F458" s="4">
        <v>3</v>
      </c>
      <c r="G458" s="4">
        <v>1.1000000000000001</v>
      </c>
      <c r="H458" s="10">
        <v>1440</v>
      </c>
      <c r="I458" s="11">
        <f t="shared" si="14"/>
        <v>156.25</v>
      </c>
      <c r="J458" s="3" t="str">
        <f t="shared" si="15"/>
        <v>Low</v>
      </c>
    </row>
    <row r="459" spans="1:10">
      <c r="A459" s="7" t="s">
        <v>504</v>
      </c>
      <c r="B459" s="7" t="s">
        <v>11</v>
      </c>
      <c r="C459" s="7" t="s">
        <v>12</v>
      </c>
      <c r="D459" s="22">
        <v>225000</v>
      </c>
      <c r="E459" s="7">
        <v>9</v>
      </c>
      <c r="F459" s="7">
        <v>3</v>
      </c>
      <c r="G459" s="7">
        <v>1</v>
      </c>
      <c r="H459" s="12">
        <v>1198</v>
      </c>
      <c r="I459" s="9">
        <f t="shared" si="14"/>
        <v>187.81302170283806</v>
      </c>
      <c r="J459" s="3" t="str">
        <f t="shared" si="15"/>
        <v>Low</v>
      </c>
    </row>
    <row r="460" spans="1:10">
      <c r="A460" s="4" t="s">
        <v>505</v>
      </c>
      <c r="B460" s="4" t="s">
        <v>73</v>
      </c>
      <c r="C460" s="4" t="s">
        <v>12</v>
      </c>
      <c r="D460" s="21">
        <v>225000</v>
      </c>
      <c r="E460" s="4">
        <v>4</v>
      </c>
      <c r="F460" s="4">
        <v>4</v>
      </c>
      <c r="G460" s="4">
        <v>3</v>
      </c>
      <c r="H460" s="10">
        <v>1080</v>
      </c>
      <c r="I460" s="11">
        <f t="shared" si="14"/>
        <v>208.33333333333334</v>
      </c>
      <c r="J460" s="3" t="str">
        <f t="shared" si="15"/>
        <v>Medium</v>
      </c>
    </row>
    <row r="461" spans="1:10">
      <c r="A461" s="7" t="s">
        <v>506</v>
      </c>
      <c r="B461" s="7" t="s">
        <v>11</v>
      </c>
      <c r="C461" s="7" t="s">
        <v>12</v>
      </c>
      <c r="D461" s="22">
        <v>225000</v>
      </c>
      <c r="E461" s="7">
        <v>16</v>
      </c>
      <c r="F461" s="7">
        <v>2</v>
      </c>
      <c r="G461" s="7">
        <v>2</v>
      </c>
      <c r="H461" s="12">
        <v>1131</v>
      </c>
      <c r="I461" s="9">
        <f t="shared" si="14"/>
        <v>198.9389920424403</v>
      </c>
      <c r="J461" s="3" t="str">
        <f t="shared" si="15"/>
        <v>Low</v>
      </c>
    </row>
    <row r="462" spans="1:10">
      <c r="A462" s="4" t="s">
        <v>507</v>
      </c>
      <c r="B462" s="4" t="s">
        <v>331</v>
      </c>
      <c r="C462" s="4" t="s">
        <v>12</v>
      </c>
      <c r="D462" s="21">
        <v>225000</v>
      </c>
      <c r="E462" s="4">
        <v>14</v>
      </c>
      <c r="F462" s="4">
        <v>3</v>
      </c>
      <c r="G462" s="4">
        <v>1.1000000000000001</v>
      </c>
      <c r="H462" s="10">
        <v>1346</v>
      </c>
      <c r="I462" s="11">
        <f t="shared" si="14"/>
        <v>167.16196136701336</v>
      </c>
      <c r="J462" s="3" t="str">
        <f t="shared" si="15"/>
        <v>Low</v>
      </c>
    </row>
    <row r="463" spans="1:10">
      <c r="A463" s="7" t="s">
        <v>508</v>
      </c>
      <c r="B463" s="7" t="s">
        <v>155</v>
      </c>
      <c r="C463" s="7" t="s">
        <v>12</v>
      </c>
      <c r="D463" s="22">
        <v>225000</v>
      </c>
      <c r="E463" s="7">
        <v>100</v>
      </c>
      <c r="F463" s="7">
        <v>4</v>
      </c>
      <c r="G463" s="7">
        <v>2.1</v>
      </c>
      <c r="H463" s="12">
        <v>2080</v>
      </c>
      <c r="I463" s="9">
        <f t="shared" si="14"/>
        <v>108.17307692307692</v>
      </c>
      <c r="J463" s="3" t="str">
        <f t="shared" si="15"/>
        <v>Low</v>
      </c>
    </row>
    <row r="464" spans="1:10">
      <c r="A464" s="4" t="s">
        <v>509</v>
      </c>
      <c r="B464" s="4" t="s">
        <v>268</v>
      </c>
      <c r="C464" s="4" t="s">
        <v>12</v>
      </c>
      <c r="D464" s="21">
        <v>225000</v>
      </c>
      <c r="E464" s="4">
        <v>61</v>
      </c>
      <c r="F464" s="4">
        <v>2</v>
      </c>
      <c r="G464" s="4">
        <v>2</v>
      </c>
      <c r="H464" s="10">
        <v>1336</v>
      </c>
      <c r="I464" s="11">
        <f t="shared" si="14"/>
        <v>168.41317365269461</v>
      </c>
      <c r="J464" s="3" t="str">
        <f t="shared" si="15"/>
        <v>Low</v>
      </c>
    </row>
    <row r="465" spans="1:10">
      <c r="A465" s="7" t="s">
        <v>510</v>
      </c>
      <c r="B465" s="7" t="s">
        <v>11</v>
      </c>
      <c r="C465" s="7" t="s">
        <v>12</v>
      </c>
      <c r="D465" s="22">
        <v>226000</v>
      </c>
      <c r="E465" s="7">
        <v>3</v>
      </c>
      <c r="F465" s="7">
        <v>3</v>
      </c>
      <c r="G465" s="7">
        <v>2</v>
      </c>
      <c r="H465" s="7">
        <v>925</v>
      </c>
      <c r="I465" s="9">
        <f t="shared" si="14"/>
        <v>244.32432432432432</v>
      </c>
      <c r="J465" s="3" t="str">
        <f t="shared" si="15"/>
        <v>Medium</v>
      </c>
    </row>
    <row r="466" spans="1:10">
      <c r="A466" s="4" t="s">
        <v>511</v>
      </c>
      <c r="B466" s="4" t="s">
        <v>388</v>
      </c>
      <c r="C466" s="4" t="s">
        <v>12</v>
      </c>
      <c r="D466" s="21">
        <v>226000</v>
      </c>
      <c r="E466" s="4">
        <v>7</v>
      </c>
      <c r="F466" s="4">
        <v>3</v>
      </c>
      <c r="G466" s="4">
        <v>1</v>
      </c>
      <c r="H466" s="10">
        <v>1153</v>
      </c>
      <c r="I466" s="11">
        <f t="shared" si="14"/>
        <v>196.01040763226365</v>
      </c>
      <c r="J466" s="3" t="str">
        <f t="shared" si="15"/>
        <v>Low</v>
      </c>
    </row>
    <row r="467" spans="1:10">
      <c r="A467" s="7" t="s">
        <v>512</v>
      </c>
      <c r="B467" s="7" t="s">
        <v>70</v>
      </c>
      <c r="C467" s="7" t="s">
        <v>12</v>
      </c>
      <c r="D467" s="22">
        <v>226400</v>
      </c>
      <c r="E467" s="7">
        <v>3</v>
      </c>
      <c r="F467" s="7">
        <v>3</v>
      </c>
      <c r="G467" s="7">
        <v>1.1000000000000001</v>
      </c>
      <c r="H467" s="12">
        <v>1032</v>
      </c>
      <c r="I467" s="9">
        <f t="shared" si="14"/>
        <v>219.37984496124031</v>
      </c>
      <c r="J467" s="3" t="str">
        <f t="shared" si="15"/>
        <v>Medium</v>
      </c>
    </row>
    <row r="468" spans="1:10">
      <c r="A468" s="4" t="s">
        <v>513</v>
      </c>
      <c r="B468" s="4" t="s">
        <v>212</v>
      </c>
      <c r="C468" s="4" t="s">
        <v>12</v>
      </c>
      <c r="D468" s="21">
        <v>227000</v>
      </c>
      <c r="E468" s="4">
        <v>6</v>
      </c>
      <c r="F468" s="4">
        <v>2</v>
      </c>
      <c r="G468" s="4">
        <v>1</v>
      </c>
      <c r="H468" s="4">
        <v>954</v>
      </c>
      <c r="I468" s="11">
        <f t="shared" si="14"/>
        <v>237.94549266247378</v>
      </c>
      <c r="J468" s="3" t="str">
        <f t="shared" si="15"/>
        <v>Medium</v>
      </c>
    </row>
    <row r="469" spans="1:10">
      <c r="A469" s="7" t="s">
        <v>514</v>
      </c>
      <c r="B469" s="7" t="s">
        <v>268</v>
      </c>
      <c r="C469" s="7" t="s">
        <v>12</v>
      </c>
      <c r="D469" s="22">
        <v>227000</v>
      </c>
      <c r="E469" s="7">
        <v>12</v>
      </c>
      <c r="F469" s="7">
        <v>2</v>
      </c>
      <c r="G469" s="7">
        <v>1</v>
      </c>
      <c r="H469" s="7">
        <v>937</v>
      </c>
      <c r="I469" s="9">
        <f t="shared" si="14"/>
        <v>242.26254002134471</v>
      </c>
      <c r="J469" s="3" t="str">
        <f t="shared" si="15"/>
        <v>Medium</v>
      </c>
    </row>
    <row r="470" spans="1:10">
      <c r="A470" s="4" t="s">
        <v>515</v>
      </c>
      <c r="B470" s="4" t="s">
        <v>282</v>
      </c>
      <c r="C470" s="4" t="s">
        <v>12</v>
      </c>
      <c r="D470" s="21">
        <v>227000</v>
      </c>
      <c r="E470" s="4">
        <v>29</v>
      </c>
      <c r="F470" s="4">
        <v>3</v>
      </c>
      <c r="G470" s="4">
        <v>1.1000000000000001</v>
      </c>
      <c r="H470" s="10">
        <v>1092</v>
      </c>
      <c r="I470" s="11">
        <f t="shared" si="14"/>
        <v>207.87545787545787</v>
      </c>
      <c r="J470" s="3" t="str">
        <f t="shared" si="15"/>
        <v>Medium</v>
      </c>
    </row>
    <row r="471" spans="1:10">
      <c r="A471" s="7" t="s">
        <v>516</v>
      </c>
      <c r="B471" s="7" t="s">
        <v>11</v>
      </c>
      <c r="C471" s="7" t="s">
        <v>12</v>
      </c>
      <c r="D471" s="22">
        <v>227000</v>
      </c>
      <c r="E471" s="7">
        <v>158</v>
      </c>
      <c r="F471" s="7">
        <v>3</v>
      </c>
      <c r="G471" s="7">
        <v>1.1000000000000001</v>
      </c>
      <c r="H471" s="12">
        <v>1170</v>
      </c>
      <c r="I471" s="9">
        <f t="shared" si="14"/>
        <v>194.01709401709402</v>
      </c>
      <c r="J471" s="3" t="str">
        <f t="shared" si="15"/>
        <v>Low</v>
      </c>
    </row>
    <row r="472" spans="1:10">
      <c r="A472" s="4" t="s">
        <v>517</v>
      </c>
      <c r="B472" s="4" t="s">
        <v>29</v>
      </c>
      <c r="C472" s="4" t="s">
        <v>12</v>
      </c>
      <c r="D472" s="21">
        <v>227500</v>
      </c>
      <c r="E472" s="4">
        <v>173</v>
      </c>
      <c r="F472" s="4">
        <v>3</v>
      </c>
      <c r="G472" s="4">
        <v>1</v>
      </c>
      <c r="H472" s="10">
        <v>1003</v>
      </c>
      <c r="I472" s="11">
        <f t="shared" si="14"/>
        <v>226.81954137587238</v>
      </c>
      <c r="J472" s="3" t="str">
        <f t="shared" si="15"/>
        <v>Medium</v>
      </c>
    </row>
    <row r="473" spans="1:10">
      <c r="A473" s="7" t="s">
        <v>518</v>
      </c>
      <c r="B473" s="7" t="s">
        <v>11</v>
      </c>
      <c r="C473" s="7" t="s">
        <v>12</v>
      </c>
      <c r="D473" s="22">
        <v>227700</v>
      </c>
      <c r="E473" s="7">
        <v>11</v>
      </c>
      <c r="F473" s="7">
        <v>3</v>
      </c>
      <c r="G473" s="7">
        <v>1</v>
      </c>
      <c r="H473" s="12">
        <v>1140</v>
      </c>
      <c r="I473" s="9">
        <f t="shared" si="14"/>
        <v>199.73684210526315</v>
      </c>
      <c r="J473" s="3" t="str">
        <f t="shared" si="15"/>
        <v>Low</v>
      </c>
    </row>
    <row r="474" spans="1:10">
      <c r="A474" s="4" t="s">
        <v>519</v>
      </c>
      <c r="B474" s="4" t="s">
        <v>83</v>
      </c>
      <c r="C474" s="4" t="s">
        <v>12</v>
      </c>
      <c r="D474" s="21">
        <v>227800</v>
      </c>
      <c r="E474" s="4">
        <v>18</v>
      </c>
      <c r="F474" s="4">
        <v>3</v>
      </c>
      <c r="G474" s="4">
        <v>1.1000000000000001</v>
      </c>
      <c r="H474" s="10">
        <v>1098</v>
      </c>
      <c r="I474" s="11">
        <f t="shared" si="14"/>
        <v>207.46812386156648</v>
      </c>
      <c r="J474" s="3" t="str">
        <f t="shared" si="15"/>
        <v>Medium</v>
      </c>
    </row>
    <row r="475" spans="1:10">
      <c r="A475" s="7" t="s">
        <v>520</v>
      </c>
      <c r="B475" s="7" t="s">
        <v>11</v>
      </c>
      <c r="C475" s="7" t="s">
        <v>12</v>
      </c>
      <c r="D475" s="22">
        <v>228000</v>
      </c>
      <c r="E475" s="7">
        <v>70</v>
      </c>
      <c r="F475" s="7">
        <v>3</v>
      </c>
      <c r="G475" s="7">
        <v>1</v>
      </c>
      <c r="H475" s="7">
        <v>988</v>
      </c>
      <c r="I475" s="9">
        <f t="shared" si="14"/>
        <v>230.76923076923077</v>
      </c>
      <c r="J475" s="3" t="str">
        <f t="shared" si="15"/>
        <v>Medium</v>
      </c>
    </row>
    <row r="476" spans="1:10">
      <c r="A476" s="4" t="s">
        <v>521</v>
      </c>
      <c r="B476" s="4" t="s">
        <v>331</v>
      </c>
      <c r="C476" s="4" t="s">
        <v>12</v>
      </c>
      <c r="D476" s="21">
        <v>228000</v>
      </c>
      <c r="E476" s="4">
        <v>27</v>
      </c>
      <c r="F476" s="4">
        <v>4</v>
      </c>
      <c r="G476" s="4">
        <v>2</v>
      </c>
      <c r="H476" s="10">
        <v>1872</v>
      </c>
      <c r="I476" s="11">
        <f t="shared" si="14"/>
        <v>121.7948717948718</v>
      </c>
      <c r="J476" s="3" t="str">
        <f t="shared" si="15"/>
        <v>Low</v>
      </c>
    </row>
    <row r="477" spans="1:10">
      <c r="A477" s="7" t="s">
        <v>522</v>
      </c>
      <c r="B477" s="7" t="s">
        <v>117</v>
      </c>
      <c r="C477" s="7" t="s">
        <v>12</v>
      </c>
      <c r="D477" s="22">
        <v>230000</v>
      </c>
      <c r="E477" s="7">
        <v>5</v>
      </c>
      <c r="F477" s="7">
        <v>3</v>
      </c>
      <c r="G477" s="7">
        <v>1</v>
      </c>
      <c r="H477" s="12">
        <v>1020</v>
      </c>
      <c r="I477" s="9">
        <f t="shared" si="14"/>
        <v>225.49019607843138</v>
      </c>
      <c r="J477" s="3" t="str">
        <f t="shared" si="15"/>
        <v>Medium</v>
      </c>
    </row>
    <row r="478" spans="1:10">
      <c r="A478" s="4" t="s">
        <v>523</v>
      </c>
      <c r="B478" s="4" t="s">
        <v>11</v>
      </c>
      <c r="C478" s="4" t="s">
        <v>12</v>
      </c>
      <c r="D478" s="21">
        <v>230000</v>
      </c>
      <c r="E478" s="4">
        <v>9</v>
      </c>
      <c r="F478" s="4">
        <v>3</v>
      </c>
      <c r="G478" s="4">
        <v>2</v>
      </c>
      <c r="H478" s="10">
        <v>1125</v>
      </c>
      <c r="I478" s="11">
        <f t="shared" si="14"/>
        <v>204.44444444444446</v>
      </c>
      <c r="J478" s="3" t="str">
        <f t="shared" si="15"/>
        <v>Medium</v>
      </c>
    </row>
    <row r="479" spans="1:10">
      <c r="A479" s="7" t="s">
        <v>524</v>
      </c>
      <c r="B479" s="7" t="s">
        <v>29</v>
      </c>
      <c r="C479" s="7" t="s">
        <v>12</v>
      </c>
      <c r="D479" s="22">
        <v>230000</v>
      </c>
      <c r="E479" s="7">
        <v>0</v>
      </c>
      <c r="F479" s="7">
        <v>3</v>
      </c>
      <c r="G479" s="7">
        <v>1.1000000000000001</v>
      </c>
      <c r="H479" s="12">
        <v>1121</v>
      </c>
      <c r="I479" s="9">
        <f t="shared" si="14"/>
        <v>205.17395182872434</v>
      </c>
      <c r="J479" s="3" t="str">
        <f t="shared" si="15"/>
        <v>Medium</v>
      </c>
    </row>
    <row r="480" spans="1:10">
      <c r="A480" s="4" t="s">
        <v>525</v>
      </c>
      <c r="B480" s="4" t="s">
        <v>42</v>
      </c>
      <c r="C480" s="4" t="s">
        <v>12</v>
      </c>
      <c r="D480" s="21">
        <v>230000</v>
      </c>
      <c r="E480" s="4">
        <v>5</v>
      </c>
      <c r="F480" s="4">
        <v>3</v>
      </c>
      <c r="G480" s="4">
        <v>1.1000000000000001</v>
      </c>
      <c r="H480" s="10">
        <v>1025</v>
      </c>
      <c r="I480" s="11">
        <f t="shared" si="14"/>
        <v>224.39024390243901</v>
      </c>
      <c r="J480" s="3" t="str">
        <f t="shared" si="15"/>
        <v>Medium</v>
      </c>
    </row>
    <row r="481" spans="1:10">
      <c r="A481" s="7" t="s">
        <v>526</v>
      </c>
      <c r="B481" s="7" t="s">
        <v>42</v>
      </c>
      <c r="C481" s="7" t="s">
        <v>12</v>
      </c>
      <c r="D481" s="22">
        <v>230000</v>
      </c>
      <c r="E481" s="7">
        <v>16</v>
      </c>
      <c r="F481" s="7">
        <v>3</v>
      </c>
      <c r="G481" s="7">
        <v>1.1000000000000001</v>
      </c>
      <c r="H481" s="12">
        <v>1056</v>
      </c>
      <c r="I481" s="9">
        <f t="shared" si="14"/>
        <v>217.80303030303031</v>
      </c>
      <c r="J481" s="3" t="str">
        <f t="shared" si="15"/>
        <v>Medium</v>
      </c>
    </row>
    <row r="482" spans="1:10">
      <c r="A482" s="4" t="s">
        <v>527</v>
      </c>
      <c r="B482" s="4" t="s">
        <v>131</v>
      </c>
      <c r="C482" s="4" t="s">
        <v>12</v>
      </c>
      <c r="D482" s="21">
        <v>230000</v>
      </c>
      <c r="E482" s="4">
        <v>6</v>
      </c>
      <c r="F482" s="4">
        <v>3</v>
      </c>
      <c r="G482" s="4">
        <v>1</v>
      </c>
      <c r="H482" s="10">
        <v>1208</v>
      </c>
      <c r="I482" s="11">
        <f t="shared" si="14"/>
        <v>190.39735099337747</v>
      </c>
      <c r="J482" s="3" t="str">
        <f t="shared" si="15"/>
        <v>Low</v>
      </c>
    </row>
    <row r="483" spans="1:10">
      <c r="A483" s="7" t="s">
        <v>528</v>
      </c>
      <c r="B483" s="7" t="s">
        <v>42</v>
      </c>
      <c r="C483" s="7" t="s">
        <v>12</v>
      </c>
      <c r="D483" s="22">
        <v>230000</v>
      </c>
      <c r="E483" s="7">
        <v>50</v>
      </c>
      <c r="F483" s="7">
        <v>3</v>
      </c>
      <c r="G483" s="7">
        <v>1.1000000000000001</v>
      </c>
      <c r="H483" s="12">
        <v>1009</v>
      </c>
      <c r="I483" s="9">
        <f t="shared" si="14"/>
        <v>227.94846382556986</v>
      </c>
      <c r="J483" s="3" t="str">
        <f t="shared" si="15"/>
        <v>Medium</v>
      </c>
    </row>
    <row r="484" spans="1:10">
      <c r="A484" s="4" t="s">
        <v>529</v>
      </c>
      <c r="B484" s="4" t="s">
        <v>42</v>
      </c>
      <c r="C484" s="4" t="s">
        <v>12</v>
      </c>
      <c r="D484" s="21">
        <v>230000</v>
      </c>
      <c r="E484" s="4">
        <v>60</v>
      </c>
      <c r="F484" s="4">
        <v>3</v>
      </c>
      <c r="G484" s="4">
        <v>2</v>
      </c>
      <c r="H484" s="10">
        <v>1034</v>
      </c>
      <c r="I484" s="11">
        <f t="shared" si="14"/>
        <v>222.43713733075435</v>
      </c>
      <c r="J484" s="3" t="str">
        <f t="shared" si="15"/>
        <v>Medium</v>
      </c>
    </row>
    <row r="485" spans="1:10">
      <c r="A485" s="7" t="s">
        <v>530</v>
      </c>
      <c r="B485" s="7" t="s">
        <v>11</v>
      </c>
      <c r="C485" s="7" t="s">
        <v>12</v>
      </c>
      <c r="D485" s="22">
        <v>230000</v>
      </c>
      <c r="E485" s="7">
        <v>18</v>
      </c>
      <c r="F485" s="7">
        <v>4</v>
      </c>
      <c r="G485" s="7">
        <v>2</v>
      </c>
      <c r="H485" s="12">
        <v>1540</v>
      </c>
      <c r="I485" s="9">
        <f t="shared" si="14"/>
        <v>149.35064935064935</v>
      </c>
      <c r="J485" s="3" t="str">
        <f t="shared" si="15"/>
        <v>Low</v>
      </c>
    </row>
    <row r="486" spans="1:10">
      <c r="A486" s="4" t="s">
        <v>531</v>
      </c>
      <c r="B486" s="4" t="s">
        <v>11</v>
      </c>
      <c r="C486" s="4" t="s">
        <v>12</v>
      </c>
      <c r="D486" s="21">
        <v>230000</v>
      </c>
      <c r="E486" s="4">
        <v>18</v>
      </c>
      <c r="F486" s="4">
        <v>3</v>
      </c>
      <c r="G486" s="4">
        <v>1.1000000000000001</v>
      </c>
      <c r="H486" s="10">
        <v>1092</v>
      </c>
      <c r="I486" s="11">
        <f t="shared" si="14"/>
        <v>210.62271062271063</v>
      </c>
      <c r="J486" s="3" t="str">
        <f t="shared" si="15"/>
        <v>Medium</v>
      </c>
    </row>
    <row r="487" spans="1:10">
      <c r="A487" s="7" t="s">
        <v>532</v>
      </c>
      <c r="B487" s="7" t="s">
        <v>83</v>
      </c>
      <c r="C487" s="7" t="s">
        <v>12</v>
      </c>
      <c r="D487" s="22">
        <v>231000</v>
      </c>
      <c r="E487" s="7">
        <v>25</v>
      </c>
      <c r="F487" s="7">
        <v>3</v>
      </c>
      <c r="G487" s="7">
        <v>1</v>
      </c>
      <c r="H487" s="12">
        <v>1047</v>
      </c>
      <c r="I487" s="9">
        <f t="shared" si="14"/>
        <v>220.63037249283667</v>
      </c>
      <c r="J487" s="3" t="str">
        <f t="shared" si="15"/>
        <v>Medium</v>
      </c>
    </row>
    <row r="488" spans="1:10">
      <c r="A488" s="4" t="s">
        <v>533</v>
      </c>
      <c r="B488" s="4" t="s">
        <v>11</v>
      </c>
      <c r="C488" s="4" t="s">
        <v>12</v>
      </c>
      <c r="D488" s="21">
        <v>231000</v>
      </c>
      <c r="E488" s="4">
        <v>33</v>
      </c>
      <c r="F488" s="4">
        <v>4</v>
      </c>
      <c r="G488" s="4">
        <v>2</v>
      </c>
      <c r="H488" s="10">
        <v>2422</v>
      </c>
      <c r="I488" s="11">
        <f t="shared" si="14"/>
        <v>95.375722543352595</v>
      </c>
      <c r="J488" s="3" t="str">
        <f t="shared" si="15"/>
        <v>Low</v>
      </c>
    </row>
    <row r="489" spans="1:10">
      <c r="A489" s="7" t="s">
        <v>534</v>
      </c>
      <c r="B489" s="7" t="s">
        <v>42</v>
      </c>
      <c r="C489" s="7" t="s">
        <v>12</v>
      </c>
      <c r="D489" s="22">
        <v>231500</v>
      </c>
      <c r="E489" s="7">
        <v>3</v>
      </c>
      <c r="F489" s="7">
        <v>3</v>
      </c>
      <c r="G489" s="7">
        <v>1.1000000000000001</v>
      </c>
      <c r="H489" s="12">
        <v>1057</v>
      </c>
      <c r="I489" s="9">
        <f t="shared" si="14"/>
        <v>219.01608325449385</v>
      </c>
      <c r="J489" s="3" t="str">
        <f t="shared" si="15"/>
        <v>Medium</v>
      </c>
    </row>
    <row r="490" spans="1:10">
      <c r="A490" s="4" t="s">
        <v>535</v>
      </c>
      <c r="B490" s="4" t="s">
        <v>42</v>
      </c>
      <c r="C490" s="4" t="s">
        <v>12</v>
      </c>
      <c r="D490" s="21">
        <v>231500</v>
      </c>
      <c r="E490" s="4">
        <v>7</v>
      </c>
      <c r="F490" s="4">
        <v>3</v>
      </c>
      <c r="G490" s="4">
        <v>2</v>
      </c>
      <c r="H490" s="10">
        <v>1288</v>
      </c>
      <c r="I490" s="11">
        <f t="shared" si="14"/>
        <v>179.7360248447205</v>
      </c>
      <c r="J490" s="3" t="str">
        <f t="shared" si="15"/>
        <v>Low</v>
      </c>
    </row>
    <row r="491" spans="1:10">
      <c r="A491" s="7" t="s">
        <v>536</v>
      </c>
      <c r="B491" s="7" t="s">
        <v>117</v>
      </c>
      <c r="C491" s="7" t="s">
        <v>12</v>
      </c>
      <c r="D491" s="22">
        <v>231750</v>
      </c>
      <c r="E491" s="7">
        <v>0</v>
      </c>
      <c r="F491" s="7">
        <v>3</v>
      </c>
      <c r="G491" s="7">
        <v>1</v>
      </c>
      <c r="H491" s="12">
        <v>1030</v>
      </c>
      <c r="I491" s="9">
        <f t="shared" si="14"/>
        <v>225</v>
      </c>
      <c r="J491" s="3" t="str">
        <f t="shared" si="15"/>
        <v>Medium</v>
      </c>
    </row>
    <row r="492" spans="1:10">
      <c r="A492" s="4" t="s">
        <v>537</v>
      </c>
      <c r="B492" s="4" t="s">
        <v>83</v>
      </c>
      <c r="C492" s="4" t="s">
        <v>12</v>
      </c>
      <c r="D492" s="21">
        <v>232000</v>
      </c>
      <c r="E492" s="4">
        <v>10</v>
      </c>
      <c r="F492" s="4">
        <v>0</v>
      </c>
      <c r="G492" s="4">
        <v>0</v>
      </c>
      <c r="H492" s="10">
        <v>1033</v>
      </c>
      <c r="I492" s="11">
        <f t="shared" si="14"/>
        <v>224.58857696030978</v>
      </c>
      <c r="J492" s="3" t="str">
        <f t="shared" si="15"/>
        <v>Medium</v>
      </c>
    </row>
    <row r="493" spans="1:10">
      <c r="A493" s="7" t="s">
        <v>538</v>
      </c>
      <c r="B493" s="7" t="s">
        <v>14</v>
      </c>
      <c r="C493" s="7" t="s">
        <v>12</v>
      </c>
      <c r="D493" s="22">
        <v>232000</v>
      </c>
      <c r="E493" s="7">
        <v>31</v>
      </c>
      <c r="F493" s="7">
        <v>4</v>
      </c>
      <c r="G493" s="7">
        <v>2.1</v>
      </c>
      <c r="H493" s="12">
        <v>1519</v>
      </c>
      <c r="I493" s="9">
        <f t="shared" si="14"/>
        <v>152.73206056616195</v>
      </c>
      <c r="J493" s="3" t="str">
        <f t="shared" si="15"/>
        <v>Low</v>
      </c>
    </row>
    <row r="494" spans="1:10">
      <c r="A494" s="4" t="s">
        <v>539</v>
      </c>
      <c r="B494" s="4" t="s">
        <v>25</v>
      </c>
      <c r="C494" s="4" t="s">
        <v>12</v>
      </c>
      <c r="D494" s="21">
        <v>232500</v>
      </c>
      <c r="E494" s="4">
        <v>66</v>
      </c>
      <c r="F494" s="4">
        <v>3</v>
      </c>
      <c r="G494" s="4">
        <v>2</v>
      </c>
      <c r="H494" s="10">
        <v>1000</v>
      </c>
      <c r="I494" s="11">
        <f t="shared" si="14"/>
        <v>232.5</v>
      </c>
      <c r="J494" s="3" t="str">
        <f t="shared" si="15"/>
        <v>Medium</v>
      </c>
    </row>
    <row r="495" spans="1:10">
      <c r="A495" s="7" t="s">
        <v>540</v>
      </c>
      <c r="B495" s="7" t="s">
        <v>29</v>
      </c>
      <c r="C495" s="7" t="s">
        <v>12</v>
      </c>
      <c r="D495" s="22">
        <v>233000</v>
      </c>
      <c r="E495" s="7">
        <v>68</v>
      </c>
      <c r="F495" s="7">
        <v>3</v>
      </c>
      <c r="G495" s="7">
        <v>1</v>
      </c>
      <c r="H495" s="7">
        <v>979</v>
      </c>
      <c r="I495" s="9">
        <f t="shared" si="14"/>
        <v>237.99795709908071</v>
      </c>
      <c r="J495" s="3" t="str">
        <f t="shared" si="15"/>
        <v>Medium</v>
      </c>
    </row>
    <row r="496" spans="1:10">
      <c r="A496" s="4" t="s">
        <v>541</v>
      </c>
      <c r="B496" s="4" t="s">
        <v>29</v>
      </c>
      <c r="C496" s="4" t="s">
        <v>12</v>
      </c>
      <c r="D496" s="21">
        <v>233000</v>
      </c>
      <c r="E496" s="4">
        <v>42</v>
      </c>
      <c r="F496" s="4">
        <v>3</v>
      </c>
      <c r="G496" s="4">
        <v>1</v>
      </c>
      <c r="H496" s="4">
        <v>979</v>
      </c>
      <c r="I496" s="11">
        <f t="shared" si="14"/>
        <v>237.99795709908071</v>
      </c>
      <c r="J496" s="3" t="str">
        <f t="shared" si="15"/>
        <v>Medium</v>
      </c>
    </row>
    <row r="497" spans="1:10">
      <c r="A497" s="7" t="s">
        <v>542</v>
      </c>
      <c r="B497" s="7" t="s">
        <v>77</v>
      </c>
      <c r="C497" s="7" t="s">
        <v>12</v>
      </c>
      <c r="D497" s="22">
        <v>233000</v>
      </c>
      <c r="E497" s="7">
        <v>126</v>
      </c>
      <c r="F497" s="7">
        <v>4</v>
      </c>
      <c r="G497" s="7">
        <v>1</v>
      </c>
      <c r="H497" s="12">
        <v>1646</v>
      </c>
      <c r="I497" s="9">
        <f t="shared" si="14"/>
        <v>141.55528554070474</v>
      </c>
      <c r="J497" s="3" t="str">
        <f t="shared" si="15"/>
        <v>Low</v>
      </c>
    </row>
    <row r="498" spans="1:10">
      <c r="A498" s="4" t="s">
        <v>543</v>
      </c>
      <c r="B498" s="4" t="s">
        <v>544</v>
      </c>
      <c r="C498" s="4" t="s">
        <v>12</v>
      </c>
      <c r="D498" s="21">
        <v>234900</v>
      </c>
      <c r="E498" s="4">
        <v>6</v>
      </c>
      <c r="F498" s="4">
        <v>2</v>
      </c>
      <c r="G498" s="4">
        <v>1</v>
      </c>
      <c r="H498" s="10">
        <v>1013</v>
      </c>
      <c r="I498" s="11">
        <f t="shared" si="14"/>
        <v>231.88548864758144</v>
      </c>
      <c r="J498" s="3" t="str">
        <f t="shared" si="15"/>
        <v>Medium</v>
      </c>
    </row>
    <row r="499" spans="1:10">
      <c r="A499" s="7" t="s">
        <v>545</v>
      </c>
      <c r="B499" s="7" t="s">
        <v>11</v>
      </c>
      <c r="C499" s="7" t="s">
        <v>12</v>
      </c>
      <c r="D499" s="22">
        <v>234900</v>
      </c>
      <c r="E499" s="7">
        <v>63</v>
      </c>
      <c r="F499" s="7">
        <v>3</v>
      </c>
      <c r="G499" s="7">
        <v>1.1000000000000001</v>
      </c>
      <c r="H499" s="12">
        <v>1336</v>
      </c>
      <c r="I499" s="9">
        <f t="shared" si="14"/>
        <v>175.82335329341316</v>
      </c>
      <c r="J499" s="3" t="str">
        <f t="shared" si="15"/>
        <v>Low</v>
      </c>
    </row>
    <row r="500" spans="1:10">
      <c r="A500" s="4" t="s">
        <v>546</v>
      </c>
      <c r="B500" s="4" t="s">
        <v>83</v>
      </c>
      <c r="C500" s="4" t="s">
        <v>12</v>
      </c>
      <c r="D500" s="21">
        <v>235000</v>
      </c>
      <c r="E500" s="4">
        <v>7</v>
      </c>
      <c r="F500" s="4">
        <v>3</v>
      </c>
      <c r="G500" s="4">
        <v>2</v>
      </c>
      <c r="H500" s="10">
        <v>1150</v>
      </c>
      <c r="I500" s="11">
        <f t="shared" si="14"/>
        <v>204.34782608695653</v>
      </c>
      <c r="J500" s="3" t="str">
        <f t="shared" si="15"/>
        <v>Medium</v>
      </c>
    </row>
    <row r="501" spans="1:10">
      <c r="A501" s="7" t="s">
        <v>547</v>
      </c>
      <c r="B501" s="7" t="s">
        <v>83</v>
      </c>
      <c r="C501" s="7" t="s">
        <v>12</v>
      </c>
      <c r="D501" s="22">
        <v>235000</v>
      </c>
      <c r="E501" s="7">
        <v>114</v>
      </c>
      <c r="F501" s="7">
        <v>3</v>
      </c>
      <c r="G501" s="7">
        <v>3</v>
      </c>
      <c r="H501" s="12">
        <v>1483</v>
      </c>
      <c r="I501" s="9">
        <f t="shared" si="14"/>
        <v>158.46257585974377</v>
      </c>
      <c r="J501" s="3" t="str">
        <f t="shared" si="15"/>
        <v>Low</v>
      </c>
    </row>
    <row r="502" spans="1:10">
      <c r="A502" s="4" t="s">
        <v>548</v>
      </c>
      <c r="B502" s="4" t="s">
        <v>73</v>
      </c>
      <c r="C502" s="4" t="s">
        <v>12</v>
      </c>
      <c r="D502" s="21">
        <v>235000</v>
      </c>
      <c r="E502" s="4">
        <v>6</v>
      </c>
      <c r="F502" s="4">
        <v>3</v>
      </c>
      <c r="G502" s="4">
        <v>1.1000000000000001</v>
      </c>
      <c r="H502" s="10">
        <v>1000</v>
      </c>
      <c r="I502" s="11">
        <f t="shared" si="14"/>
        <v>235</v>
      </c>
      <c r="J502" s="3" t="str">
        <f t="shared" si="15"/>
        <v>Medium</v>
      </c>
    </row>
    <row r="503" spans="1:10">
      <c r="A503" s="7" t="s">
        <v>549</v>
      </c>
      <c r="B503" s="7" t="s">
        <v>73</v>
      </c>
      <c r="C503" s="7" t="s">
        <v>12</v>
      </c>
      <c r="D503" s="22">
        <v>235000</v>
      </c>
      <c r="E503" s="7">
        <v>9</v>
      </c>
      <c r="F503" s="7">
        <v>4</v>
      </c>
      <c r="G503" s="7">
        <v>1</v>
      </c>
      <c r="H503" s="12">
        <v>1371</v>
      </c>
      <c r="I503" s="9">
        <f t="shared" si="14"/>
        <v>171.40773158278628</v>
      </c>
      <c r="J503" s="3" t="str">
        <f t="shared" si="15"/>
        <v>Low</v>
      </c>
    </row>
    <row r="504" spans="1:10">
      <c r="A504" s="4" t="s">
        <v>550</v>
      </c>
      <c r="B504" s="4" t="s">
        <v>70</v>
      </c>
      <c r="C504" s="4" t="s">
        <v>12</v>
      </c>
      <c r="D504" s="21">
        <v>235000</v>
      </c>
      <c r="E504" s="4">
        <v>15</v>
      </c>
      <c r="F504" s="4">
        <v>3</v>
      </c>
      <c r="G504" s="4">
        <v>1.1000000000000001</v>
      </c>
      <c r="H504" s="10">
        <v>1279</v>
      </c>
      <c r="I504" s="11">
        <f t="shared" si="14"/>
        <v>183.73729476153244</v>
      </c>
      <c r="J504" s="3" t="str">
        <f t="shared" si="15"/>
        <v>Low</v>
      </c>
    </row>
    <row r="505" spans="1:10">
      <c r="A505" s="7" t="s">
        <v>551</v>
      </c>
      <c r="B505" s="7" t="s">
        <v>11</v>
      </c>
      <c r="C505" s="7" t="s">
        <v>12</v>
      </c>
      <c r="D505" s="22">
        <v>235000</v>
      </c>
      <c r="E505" s="7">
        <v>61</v>
      </c>
      <c r="F505" s="7">
        <v>3</v>
      </c>
      <c r="G505" s="7">
        <v>1</v>
      </c>
      <c r="H505" s="12">
        <v>1412</v>
      </c>
      <c r="I505" s="9">
        <f t="shared" si="14"/>
        <v>166.43059490084985</v>
      </c>
      <c r="J505" s="3" t="str">
        <f t="shared" si="15"/>
        <v>Low</v>
      </c>
    </row>
    <row r="506" spans="1:10">
      <c r="A506" s="4" t="s">
        <v>552</v>
      </c>
      <c r="B506" s="4" t="s">
        <v>553</v>
      </c>
      <c r="C506" s="4" t="s">
        <v>12</v>
      </c>
      <c r="D506" s="21">
        <v>235000</v>
      </c>
      <c r="E506" s="4">
        <v>6</v>
      </c>
      <c r="F506" s="4">
        <v>2</v>
      </c>
      <c r="G506" s="4">
        <v>3</v>
      </c>
      <c r="H506" s="10">
        <v>1237</v>
      </c>
      <c r="I506" s="11">
        <f t="shared" si="14"/>
        <v>189.97574777687956</v>
      </c>
      <c r="J506" s="3" t="str">
        <f t="shared" si="15"/>
        <v>Low</v>
      </c>
    </row>
    <row r="507" spans="1:10">
      <c r="A507" s="7" t="s">
        <v>554</v>
      </c>
      <c r="B507" s="7" t="s">
        <v>83</v>
      </c>
      <c r="C507" s="7" t="s">
        <v>12</v>
      </c>
      <c r="D507" s="22">
        <v>235000</v>
      </c>
      <c r="E507" s="7">
        <v>15</v>
      </c>
      <c r="F507" s="7">
        <v>3</v>
      </c>
      <c r="G507" s="7">
        <v>1.1000000000000001</v>
      </c>
      <c r="H507" s="7">
        <v>935</v>
      </c>
      <c r="I507" s="9">
        <f t="shared" si="14"/>
        <v>251.33689839572193</v>
      </c>
      <c r="J507" s="3" t="str">
        <f t="shared" si="15"/>
        <v>Medium</v>
      </c>
    </row>
    <row r="508" spans="1:10">
      <c r="A508" s="4" t="s">
        <v>555</v>
      </c>
      <c r="B508" s="4" t="s">
        <v>83</v>
      </c>
      <c r="C508" s="4" t="s">
        <v>12</v>
      </c>
      <c r="D508" s="21">
        <v>235000</v>
      </c>
      <c r="E508" s="4">
        <v>20</v>
      </c>
      <c r="F508" s="4">
        <v>3</v>
      </c>
      <c r="G508" s="4">
        <v>1</v>
      </c>
      <c r="H508" s="10">
        <v>1020</v>
      </c>
      <c r="I508" s="11">
        <f t="shared" si="14"/>
        <v>230.39215686274511</v>
      </c>
      <c r="J508" s="3" t="str">
        <f t="shared" si="15"/>
        <v>Medium</v>
      </c>
    </row>
    <row r="509" spans="1:10">
      <c r="A509" s="7" t="s">
        <v>556</v>
      </c>
      <c r="B509" s="7" t="s">
        <v>73</v>
      </c>
      <c r="C509" s="7" t="s">
        <v>12</v>
      </c>
      <c r="D509" s="22">
        <v>235000</v>
      </c>
      <c r="E509" s="7">
        <v>33</v>
      </c>
      <c r="F509" s="7">
        <v>3</v>
      </c>
      <c r="G509" s="7">
        <v>1</v>
      </c>
      <c r="H509" s="12">
        <v>1064</v>
      </c>
      <c r="I509" s="9">
        <f t="shared" si="14"/>
        <v>220.86466165413535</v>
      </c>
      <c r="J509" s="3" t="str">
        <f t="shared" si="15"/>
        <v>Medium</v>
      </c>
    </row>
    <row r="510" spans="1:10">
      <c r="A510" s="4" t="s">
        <v>557</v>
      </c>
      <c r="B510" s="4" t="s">
        <v>83</v>
      </c>
      <c r="C510" s="4" t="s">
        <v>12</v>
      </c>
      <c r="D510" s="21">
        <v>235000</v>
      </c>
      <c r="E510" s="4">
        <v>16</v>
      </c>
      <c r="F510" s="4">
        <v>3</v>
      </c>
      <c r="G510" s="4">
        <v>2.1</v>
      </c>
      <c r="H510" s="10">
        <v>1562</v>
      </c>
      <c r="I510" s="11">
        <f t="shared" si="14"/>
        <v>150.44814340588988</v>
      </c>
      <c r="J510" s="3" t="str">
        <f t="shared" si="15"/>
        <v>Low</v>
      </c>
    </row>
    <row r="511" spans="1:10">
      <c r="A511" s="7" t="s">
        <v>558</v>
      </c>
      <c r="B511" s="7" t="s">
        <v>83</v>
      </c>
      <c r="C511" s="7" t="s">
        <v>12</v>
      </c>
      <c r="D511" s="22">
        <v>235000</v>
      </c>
      <c r="E511" s="7">
        <v>36</v>
      </c>
      <c r="F511" s="7">
        <v>3</v>
      </c>
      <c r="G511" s="7">
        <v>2</v>
      </c>
      <c r="H511" s="12">
        <v>1188</v>
      </c>
      <c r="I511" s="9">
        <f t="shared" si="14"/>
        <v>197.81144781144781</v>
      </c>
      <c r="J511" s="3" t="str">
        <f t="shared" si="15"/>
        <v>Low</v>
      </c>
    </row>
    <row r="512" spans="1:10">
      <c r="A512" s="4" t="s">
        <v>559</v>
      </c>
      <c r="B512" s="4" t="s">
        <v>363</v>
      </c>
      <c r="C512" s="4" t="s">
        <v>12</v>
      </c>
      <c r="D512" s="21">
        <v>235000</v>
      </c>
      <c r="E512" s="4">
        <v>30</v>
      </c>
      <c r="F512" s="4">
        <v>3</v>
      </c>
      <c r="G512" s="4">
        <v>1</v>
      </c>
      <c r="H512" s="10">
        <v>1300</v>
      </c>
      <c r="I512" s="11">
        <f t="shared" si="14"/>
        <v>180.76923076923077</v>
      </c>
      <c r="J512" s="3" t="str">
        <f t="shared" si="15"/>
        <v>Low</v>
      </c>
    </row>
    <row r="513" spans="1:10">
      <c r="A513" s="7" t="s">
        <v>560</v>
      </c>
      <c r="B513" s="7" t="s">
        <v>131</v>
      </c>
      <c r="C513" s="7" t="s">
        <v>12</v>
      </c>
      <c r="D513" s="22">
        <v>235000</v>
      </c>
      <c r="E513" s="7">
        <v>33</v>
      </c>
      <c r="F513" s="7">
        <v>3</v>
      </c>
      <c r="G513" s="7">
        <v>2</v>
      </c>
      <c r="H513" s="12">
        <v>1571</v>
      </c>
      <c r="I513" s="9">
        <f t="shared" si="14"/>
        <v>149.58625079567156</v>
      </c>
      <c r="J513" s="3" t="str">
        <f t="shared" si="15"/>
        <v>Low</v>
      </c>
    </row>
    <row r="514" spans="1:10">
      <c r="A514" s="4" t="s">
        <v>561</v>
      </c>
      <c r="B514" s="4" t="s">
        <v>83</v>
      </c>
      <c r="C514" s="4" t="s">
        <v>12</v>
      </c>
      <c r="D514" s="21">
        <v>235000</v>
      </c>
      <c r="E514" s="4">
        <v>77</v>
      </c>
      <c r="F514" s="4">
        <v>3</v>
      </c>
      <c r="G514" s="4">
        <v>2</v>
      </c>
      <c r="H514" s="10">
        <v>1095</v>
      </c>
      <c r="I514" s="11">
        <f t="shared" ref="I514:I577" si="16">D514/H514</f>
        <v>214.61187214611871</v>
      </c>
      <c r="J514" s="3" t="str">
        <f t="shared" ref="J514:J577" si="17">IF(I514 &gt; 300, "High", IF(AND(I514 &lt;= 300, I514 &gt; 200), "Medium", "Low"))</f>
        <v>Medium</v>
      </c>
    </row>
    <row r="515" spans="1:10">
      <c r="A515" s="7" t="s">
        <v>562</v>
      </c>
      <c r="B515" s="7" t="s">
        <v>18</v>
      </c>
      <c r="C515" s="7" t="s">
        <v>12</v>
      </c>
      <c r="D515" s="22">
        <v>235000</v>
      </c>
      <c r="E515" s="7">
        <v>96</v>
      </c>
      <c r="F515" s="7">
        <v>3</v>
      </c>
      <c r="G515" s="7">
        <v>2</v>
      </c>
      <c r="H515" s="12">
        <v>1300</v>
      </c>
      <c r="I515" s="9">
        <f t="shared" si="16"/>
        <v>180.76923076923077</v>
      </c>
      <c r="J515" s="3" t="str">
        <f t="shared" si="17"/>
        <v>Low</v>
      </c>
    </row>
    <row r="516" spans="1:10">
      <c r="A516" s="4" t="s">
        <v>563</v>
      </c>
      <c r="B516" s="4" t="s">
        <v>29</v>
      </c>
      <c r="C516" s="4" t="s">
        <v>12</v>
      </c>
      <c r="D516" s="21">
        <v>236000</v>
      </c>
      <c r="E516" s="4">
        <v>8</v>
      </c>
      <c r="F516" s="4">
        <v>2</v>
      </c>
      <c r="G516" s="4">
        <v>2</v>
      </c>
      <c r="H516" s="4">
        <v>996</v>
      </c>
      <c r="I516" s="11">
        <f t="shared" si="16"/>
        <v>236.94779116465864</v>
      </c>
      <c r="J516" s="3" t="str">
        <f t="shared" si="17"/>
        <v>Medium</v>
      </c>
    </row>
    <row r="517" spans="1:10">
      <c r="A517" s="7" t="s">
        <v>564</v>
      </c>
      <c r="B517" s="7" t="s">
        <v>73</v>
      </c>
      <c r="C517" s="7" t="s">
        <v>12</v>
      </c>
      <c r="D517" s="22">
        <v>237000</v>
      </c>
      <c r="E517" s="7">
        <v>75</v>
      </c>
      <c r="F517" s="7">
        <v>4</v>
      </c>
      <c r="G517" s="7">
        <v>1.1000000000000001</v>
      </c>
      <c r="H517" s="12">
        <v>1750</v>
      </c>
      <c r="I517" s="9">
        <f t="shared" si="16"/>
        <v>135.42857142857142</v>
      </c>
      <c r="J517" s="3" t="str">
        <f t="shared" si="17"/>
        <v>Low</v>
      </c>
    </row>
    <row r="518" spans="1:10">
      <c r="A518" s="4" t="s">
        <v>565</v>
      </c>
      <c r="B518" s="4" t="s">
        <v>36</v>
      </c>
      <c r="C518" s="4" t="s">
        <v>12</v>
      </c>
      <c r="D518" s="21">
        <v>237000</v>
      </c>
      <c r="E518" s="4">
        <v>52</v>
      </c>
      <c r="F518" s="4">
        <v>3</v>
      </c>
      <c r="G518" s="4">
        <v>1</v>
      </c>
      <c r="H518" s="10">
        <v>1733</v>
      </c>
      <c r="I518" s="11">
        <f t="shared" si="16"/>
        <v>136.75706866705136</v>
      </c>
      <c r="J518" s="3" t="str">
        <f t="shared" si="17"/>
        <v>Low</v>
      </c>
    </row>
    <row r="519" spans="1:10">
      <c r="A519" s="7" t="s">
        <v>566</v>
      </c>
      <c r="B519" s="7" t="s">
        <v>363</v>
      </c>
      <c r="C519" s="7" t="s">
        <v>12</v>
      </c>
      <c r="D519" s="22">
        <v>237500</v>
      </c>
      <c r="E519" s="7">
        <v>4</v>
      </c>
      <c r="F519" s="7">
        <v>3</v>
      </c>
      <c r="G519" s="7">
        <v>1</v>
      </c>
      <c r="H519" s="12">
        <v>1003</v>
      </c>
      <c r="I519" s="9">
        <f t="shared" si="16"/>
        <v>236.78963110667996</v>
      </c>
      <c r="J519" s="3" t="str">
        <f t="shared" si="17"/>
        <v>Medium</v>
      </c>
    </row>
    <row r="520" spans="1:10">
      <c r="A520" s="4" t="s">
        <v>567</v>
      </c>
      <c r="B520" s="4" t="s">
        <v>73</v>
      </c>
      <c r="C520" s="4" t="s">
        <v>12</v>
      </c>
      <c r="D520" s="21">
        <v>237500</v>
      </c>
      <c r="E520" s="4">
        <v>11</v>
      </c>
      <c r="F520" s="4">
        <v>3</v>
      </c>
      <c r="G520" s="4">
        <v>2.1</v>
      </c>
      <c r="H520" s="10">
        <v>1252</v>
      </c>
      <c r="I520" s="11">
        <f t="shared" si="16"/>
        <v>189.69648562300318</v>
      </c>
      <c r="J520" s="3" t="str">
        <f t="shared" si="17"/>
        <v>Low</v>
      </c>
    </row>
    <row r="521" spans="1:10">
      <c r="A521" s="7" t="s">
        <v>568</v>
      </c>
      <c r="B521" s="7" t="s">
        <v>544</v>
      </c>
      <c r="C521" s="7" t="s">
        <v>12</v>
      </c>
      <c r="D521" s="22">
        <v>237500</v>
      </c>
      <c r="E521" s="7">
        <v>64</v>
      </c>
      <c r="F521" s="7">
        <v>3</v>
      </c>
      <c r="G521" s="7">
        <v>2</v>
      </c>
      <c r="H521" s="12">
        <v>1539</v>
      </c>
      <c r="I521" s="9">
        <f t="shared" si="16"/>
        <v>154.32098765432099</v>
      </c>
      <c r="J521" s="3" t="str">
        <f t="shared" si="17"/>
        <v>Low</v>
      </c>
    </row>
    <row r="522" spans="1:10">
      <c r="A522" s="4" t="s">
        <v>569</v>
      </c>
      <c r="B522" s="4" t="s">
        <v>11</v>
      </c>
      <c r="C522" s="4" t="s">
        <v>12</v>
      </c>
      <c r="D522" s="21">
        <v>238000</v>
      </c>
      <c r="E522" s="4">
        <v>3</v>
      </c>
      <c r="F522" s="4">
        <v>3</v>
      </c>
      <c r="G522" s="4">
        <v>1</v>
      </c>
      <c r="H522" s="10">
        <v>1056</v>
      </c>
      <c r="I522" s="11">
        <f t="shared" si="16"/>
        <v>225.37878787878788</v>
      </c>
      <c r="J522" s="3" t="str">
        <f t="shared" si="17"/>
        <v>Medium</v>
      </c>
    </row>
    <row r="523" spans="1:10">
      <c r="A523" s="7" t="s">
        <v>570</v>
      </c>
      <c r="B523" s="7" t="s">
        <v>229</v>
      </c>
      <c r="C523" s="7" t="s">
        <v>12</v>
      </c>
      <c r="D523" s="22">
        <v>239000</v>
      </c>
      <c r="E523" s="7">
        <v>8</v>
      </c>
      <c r="F523" s="7">
        <v>2</v>
      </c>
      <c r="G523" s="7">
        <v>1.1000000000000001</v>
      </c>
      <c r="H523" s="12">
        <v>1075</v>
      </c>
      <c r="I523" s="9">
        <f t="shared" si="16"/>
        <v>222.32558139534885</v>
      </c>
      <c r="J523" s="3" t="str">
        <f t="shared" si="17"/>
        <v>Medium</v>
      </c>
    </row>
    <row r="524" spans="1:10">
      <c r="A524" s="4" t="s">
        <v>571</v>
      </c>
      <c r="B524" s="4" t="s">
        <v>70</v>
      </c>
      <c r="C524" s="4" t="s">
        <v>12</v>
      </c>
      <c r="D524" s="21">
        <v>239000</v>
      </c>
      <c r="E524" s="4">
        <v>7</v>
      </c>
      <c r="F524" s="4">
        <v>3</v>
      </c>
      <c r="G524" s="4">
        <v>1.1000000000000001</v>
      </c>
      <c r="H524" s="10">
        <v>1360</v>
      </c>
      <c r="I524" s="11">
        <f t="shared" si="16"/>
        <v>175.73529411764707</v>
      </c>
      <c r="J524" s="3" t="str">
        <f t="shared" si="17"/>
        <v>Low</v>
      </c>
    </row>
    <row r="525" spans="1:10">
      <c r="A525" s="7" t="s">
        <v>572</v>
      </c>
      <c r="B525" s="7" t="s">
        <v>29</v>
      </c>
      <c r="C525" s="7" t="s">
        <v>12</v>
      </c>
      <c r="D525" s="22">
        <v>239900</v>
      </c>
      <c r="E525" s="7">
        <v>6</v>
      </c>
      <c r="F525" s="7">
        <v>3</v>
      </c>
      <c r="G525" s="7">
        <v>1</v>
      </c>
      <c r="H525" s="7">
        <v>991</v>
      </c>
      <c r="I525" s="9">
        <f t="shared" si="16"/>
        <v>242.0787083753784</v>
      </c>
      <c r="J525" s="3" t="str">
        <f t="shared" si="17"/>
        <v>Medium</v>
      </c>
    </row>
    <row r="526" spans="1:10">
      <c r="A526" s="4" t="s">
        <v>573</v>
      </c>
      <c r="B526" s="4" t="s">
        <v>117</v>
      </c>
      <c r="C526" s="4" t="s">
        <v>12</v>
      </c>
      <c r="D526" s="21">
        <v>239900</v>
      </c>
      <c r="E526" s="4">
        <v>60</v>
      </c>
      <c r="F526" s="4">
        <v>3</v>
      </c>
      <c r="G526" s="4">
        <v>1</v>
      </c>
      <c r="H526" s="10">
        <v>1316</v>
      </c>
      <c r="I526" s="11">
        <f t="shared" si="16"/>
        <v>182.29483282674772</v>
      </c>
      <c r="J526" s="3" t="str">
        <f t="shared" si="17"/>
        <v>Low</v>
      </c>
    </row>
    <row r="527" spans="1:10">
      <c r="A527" s="7" t="s">
        <v>574</v>
      </c>
      <c r="B527" s="7" t="s">
        <v>363</v>
      </c>
      <c r="C527" s="7" t="s">
        <v>12</v>
      </c>
      <c r="D527" s="22">
        <v>240000</v>
      </c>
      <c r="E527" s="7">
        <v>0</v>
      </c>
      <c r="F527" s="7">
        <v>3</v>
      </c>
      <c r="G527" s="7">
        <v>2</v>
      </c>
      <c r="H527" s="12">
        <v>1650</v>
      </c>
      <c r="I527" s="9">
        <f t="shared" si="16"/>
        <v>145.45454545454547</v>
      </c>
      <c r="J527" s="3" t="str">
        <f t="shared" si="17"/>
        <v>Low</v>
      </c>
    </row>
    <row r="528" spans="1:10">
      <c r="A528" s="4" t="s">
        <v>575</v>
      </c>
      <c r="B528" s="4" t="s">
        <v>212</v>
      </c>
      <c r="C528" s="4" t="s">
        <v>12</v>
      </c>
      <c r="D528" s="21">
        <v>240000</v>
      </c>
      <c r="E528" s="4">
        <v>17</v>
      </c>
      <c r="F528" s="4">
        <v>4</v>
      </c>
      <c r="G528" s="4">
        <v>1</v>
      </c>
      <c r="H528" s="4">
        <v>956</v>
      </c>
      <c r="I528" s="11">
        <f t="shared" si="16"/>
        <v>251.04602510460251</v>
      </c>
      <c r="J528" s="3" t="str">
        <f t="shared" si="17"/>
        <v>Medium</v>
      </c>
    </row>
    <row r="529" spans="1:10">
      <c r="A529" s="7" t="s">
        <v>576</v>
      </c>
      <c r="B529" s="7" t="s">
        <v>11</v>
      </c>
      <c r="C529" s="7" t="s">
        <v>12</v>
      </c>
      <c r="D529" s="22">
        <v>240000</v>
      </c>
      <c r="E529" s="7">
        <v>5</v>
      </c>
      <c r="F529" s="7">
        <v>3</v>
      </c>
      <c r="G529" s="7">
        <v>1</v>
      </c>
      <c r="H529" s="12">
        <v>1088</v>
      </c>
      <c r="I529" s="9">
        <f t="shared" si="16"/>
        <v>220.58823529411765</v>
      </c>
      <c r="J529" s="3" t="str">
        <f t="shared" si="17"/>
        <v>Medium</v>
      </c>
    </row>
    <row r="530" spans="1:10">
      <c r="A530" s="4" t="s">
        <v>577</v>
      </c>
      <c r="B530" s="4" t="s">
        <v>29</v>
      </c>
      <c r="C530" s="4" t="s">
        <v>12</v>
      </c>
      <c r="D530" s="21">
        <v>240000</v>
      </c>
      <c r="E530" s="4">
        <v>5</v>
      </c>
      <c r="F530" s="4">
        <v>3</v>
      </c>
      <c r="G530" s="4">
        <v>1</v>
      </c>
      <c r="H530" s="4">
        <v>920</v>
      </c>
      <c r="I530" s="11">
        <f t="shared" si="16"/>
        <v>260.86956521739131</v>
      </c>
      <c r="J530" s="3" t="str">
        <f t="shared" si="17"/>
        <v>Medium</v>
      </c>
    </row>
    <row r="531" spans="1:10">
      <c r="A531" s="7" t="s">
        <v>578</v>
      </c>
      <c r="B531" s="7" t="s">
        <v>73</v>
      </c>
      <c r="C531" s="7" t="s">
        <v>12</v>
      </c>
      <c r="D531" s="22">
        <v>240000</v>
      </c>
      <c r="E531" s="7">
        <v>2</v>
      </c>
      <c r="F531" s="7">
        <v>4</v>
      </c>
      <c r="G531" s="7">
        <v>2.1</v>
      </c>
      <c r="H531" s="12">
        <v>2028</v>
      </c>
      <c r="I531" s="9">
        <f t="shared" si="16"/>
        <v>118.34319526627219</v>
      </c>
      <c r="J531" s="3" t="str">
        <f t="shared" si="17"/>
        <v>Low</v>
      </c>
    </row>
    <row r="532" spans="1:10">
      <c r="A532" s="4" t="s">
        <v>579</v>
      </c>
      <c r="B532" s="4" t="s">
        <v>131</v>
      </c>
      <c r="C532" s="4" t="s">
        <v>12</v>
      </c>
      <c r="D532" s="21">
        <v>240000</v>
      </c>
      <c r="E532" s="4">
        <v>21</v>
      </c>
      <c r="F532" s="4">
        <v>3</v>
      </c>
      <c r="G532" s="4">
        <v>2</v>
      </c>
      <c r="H532" s="10">
        <v>1206</v>
      </c>
      <c r="I532" s="11">
        <f t="shared" si="16"/>
        <v>199.00497512437812</v>
      </c>
      <c r="J532" s="3" t="str">
        <f t="shared" si="17"/>
        <v>Low</v>
      </c>
    </row>
    <row r="533" spans="1:10">
      <c r="A533" s="7" t="s">
        <v>580</v>
      </c>
      <c r="B533" s="7" t="s">
        <v>29</v>
      </c>
      <c r="C533" s="7" t="s">
        <v>12</v>
      </c>
      <c r="D533" s="22">
        <v>240000</v>
      </c>
      <c r="E533" s="7">
        <v>25</v>
      </c>
      <c r="F533" s="7">
        <v>3</v>
      </c>
      <c r="G533" s="7">
        <v>1</v>
      </c>
      <c r="H533" s="7">
        <v>996</v>
      </c>
      <c r="I533" s="9">
        <f t="shared" si="16"/>
        <v>240.96385542168676</v>
      </c>
      <c r="J533" s="3" t="str">
        <f t="shared" si="17"/>
        <v>Medium</v>
      </c>
    </row>
    <row r="534" spans="1:10">
      <c r="A534" s="4" t="s">
        <v>581</v>
      </c>
      <c r="B534" s="4" t="s">
        <v>131</v>
      </c>
      <c r="C534" s="4" t="s">
        <v>12</v>
      </c>
      <c r="D534" s="21">
        <v>240000</v>
      </c>
      <c r="E534" s="4">
        <v>24</v>
      </c>
      <c r="F534" s="4">
        <v>0</v>
      </c>
      <c r="G534" s="4">
        <v>0</v>
      </c>
      <c r="H534" s="10">
        <v>2092</v>
      </c>
      <c r="I534" s="11">
        <f t="shared" si="16"/>
        <v>114.72275334608031</v>
      </c>
      <c r="J534" s="3" t="str">
        <f t="shared" si="17"/>
        <v>Low</v>
      </c>
    </row>
    <row r="535" spans="1:10">
      <c r="A535" s="7" t="s">
        <v>582</v>
      </c>
      <c r="B535" s="7" t="s">
        <v>29</v>
      </c>
      <c r="C535" s="7" t="s">
        <v>12</v>
      </c>
      <c r="D535" s="22">
        <v>240000</v>
      </c>
      <c r="E535" s="7">
        <v>8</v>
      </c>
      <c r="F535" s="7">
        <v>3</v>
      </c>
      <c r="G535" s="7">
        <v>1.1000000000000001</v>
      </c>
      <c r="H535" s="12">
        <v>1330</v>
      </c>
      <c r="I535" s="9">
        <f t="shared" si="16"/>
        <v>180.45112781954887</v>
      </c>
      <c r="J535" s="3" t="str">
        <f t="shared" si="17"/>
        <v>Low</v>
      </c>
    </row>
    <row r="536" spans="1:10">
      <c r="A536" s="4" t="s">
        <v>583</v>
      </c>
      <c r="B536" s="4" t="s">
        <v>131</v>
      </c>
      <c r="C536" s="4" t="s">
        <v>12</v>
      </c>
      <c r="D536" s="21">
        <v>240000</v>
      </c>
      <c r="E536" s="4">
        <v>63</v>
      </c>
      <c r="F536" s="4">
        <v>3</v>
      </c>
      <c r="G536" s="4">
        <v>1</v>
      </c>
      <c r="H536" s="10">
        <v>1003</v>
      </c>
      <c r="I536" s="11">
        <f t="shared" si="16"/>
        <v>239.28215353938185</v>
      </c>
      <c r="J536" s="3" t="str">
        <f t="shared" si="17"/>
        <v>Medium</v>
      </c>
    </row>
    <row r="537" spans="1:10">
      <c r="A537" s="7" t="s">
        <v>584</v>
      </c>
      <c r="B537" s="7" t="s">
        <v>29</v>
      </c>
      <c r="C537" s="7" t="s">
        <v>12</v>
      </c>
      <c r="D537" s="22">
        <v>240000</v>
      </c>
      <c r="E537" s="7">
        <v>12</v>
      </c>
      <c r="F537" s="7">
        <v>3</v>
      </c>
      <c r="G537" s="7">
        <v>1</v>
      </c>
      <c r="H537" s="7">
        <v>903</v>
      </c>
      <c r="I537" s="9">
        <f t="shared" si="16"/>
        <v>265.78073089700996</v>
      </c>
      <c r="J537" s="3" t="str">
        <f t="shared" si="17"/>
        <v>Medium</v>
      </c>
    </row>
    <row r="538" spans="1:10">
      <c r="A538" s="4" t="s">
        <v>585</v>
      </c>
      <c r="B538" s="4" t="s">
        <v>11</v>
      </c>
      <c r="C538" s="4" t="s">
        <v>12</v>
      </c>
      <c r="D538" s="21">
        <v>240000</v>
      </c>
      <c r="E538" s="4">
        <v>42</v>
      </c>
      <c r="F538" s="4">
        <v>2</v>
      </c>
      <c r="G538" s="4">
        <v>2</v>
      </c>
      <c r="H538" s="10">
        <v>1301</v>
      </c>
      <c r="I538" s="11">
        <f t="shared" si="16"/>
        <v>184.47348193697155</v>
      </c>
      <c r="J538" s="3" t="str">
        <f t="shared" si="17"/>
        <v>Low</v>
      </c>
    </row>
    <row r="539" spans="1:10">
      <c r="A539" s="7" t="s">
        <v>586</v>
      </c>
      <c r="B539" s="7" t="s">
        <v>83</v>
      </c>
      <c r="C539" s="7" t="s">
        <v>12</v>
      </c>
      <c r="D539" s="22">
        <v>240000</v>
      </c>
      <c r="E539" s="7">
        <v>44</v>
      </c>
      <c r="F539" s="7">
        <v>3</v>
      </c>
      <c r="G539" s="7">
        <v>2.1</v>
      </c>
      <c r="H539" s="12">
        <v>1392</v>
      </c>
      <c r="I539" s="9">
        <f t="shared" si="16"/>
        <v>172.41379310344828</v>
      </c>
      <c r="J539" s="3" t="str">
        <f t="shared" si="17"/>
        <v>Low</v>
      </c>
    </row>
    <row r="540" spans="1:10">
      <c r="A540" s="4" t="s">
        <v>587</v>
      </c>
      <c r="B540" s="4" t="s">
        <v>77</v>
      </c>
      <c r="C540" s="4" t="s">
        <v>12</v>
      </c>
      <c r="D540" s="21">
        <v>242000</v>
      </c>
      <c r="E540" s="4">
        <v>74</v>
      </c>
      <c r="F540" s="4">
        <v>3</v>
      </c>
      <c r="G540" s="4">
        <v>1.1000000000000001</v>
      </c>
      <c r="H540" s="10">
        <v>1040</v>
      </c>
      <c r="I540" s="11">
        <f t="shared" si="16"/>
        <v>232.69230769230768</v>
      </c>
      <c r="J540" s="3" t="str">
        <f t="shared" si="17"/>
        <v>Medium</v>
      </c>
    </row>
    <row r="541" spans="1:10">
      <c r="A541" s="7" t="s">
        <v>588</v>
      </c>
      <c r="B541" s="7" t="s">
        <v>83</v>
      </c>
      <c r="C541" s="7" t="s">
        <v>12</v>
      </c>
      <c r="D541" s="22">
        <v>242000</v>
      </c>
      <c r="E541" s="7">
        <v>156</v>
      </c>
      <c r="F541" s="7">
        <v>3</v>
      </c>
      <c r="G541" s="7">
        <v>2</v>
      </c>
      <c r="H541" s="12">
        <v>1100</v>
      </c>
      <c r="I541" s="9">
        <f t="shared" si="16"/>
        <v>220</v>
      </c>
      <c r="J541" s="3" t="str">
        <f t="shared" si="17"/>
        <v>Medium</v>
      </c>
    </row>
    <row r="542" spans="1:10">
      <c r="A542" s="4" t="s">
        <v>589</v>
      </c>
      <c r="B542" s="4" t="s">
        <v>56</v>
      </c>
      <c r="C542" s="4" t="s">
        <v>12</v>
      </c>
      <c r="D542" s="21">
        <v>242500</v>
      </c>
      <c r="E542" s="4">
        <v>21</v>
      </c>
      <c r="F542" s="4">
        <v>3</v>
      </c>
      <c r="G542" s="4">
        <v>2</v>
      </c>
      <c r="H542" s="10">
        <v>1080</v>
      </c>
      <c r="I542" s="11">
        <f t="shared" si="16"/>
        <v>224.53703703703704</v>
      </c>
      <c r="J542" s="3" t="str">
        <f t="shared" si="17"/>
        <v>Medium</v>
      </c>
    </row>
    <row r="543" spans="1:10">
      <c r="A543" s="7" t="s">
        <v>590</v>
      </c>
      <c r="B543" s="7" t="s">
        <v>268</v>
      </c>
      <c r="C543" s="7" t="s">
        <v>12</v>
      </c>
      <c r="D543" s="22">
        <v>243000</v>
      </c>
      <c r="E543" s="7">
        <v>4</v>
      </c>
      <c r="F543" s="7">
        <v>3</v>
      </c>
      <c r="G543" s="7">
        <v>1</v>
      </c>
      <c r="H543" s="12">
        <v>1000</v>
      </c>
      <c r="I543" s="9">
        <f t="shared" si="16"/>
        <v>243</v>
      </c>
      <c r="J543" s="3" t="str">
        <f t="shared" si="17"/>
        <v>Medium</v>
      </c>
    </row>
    <row r="544" spans="1:10">
      <c r="A544" s="4" t="s">
        <v>591</v>
      </c>
      <c r="B544" s="4" t="s">
        <v>73</v>
      </c>
      <c r="C544" s="4" t="s">
        <v>12</v>
      </c>
      <c r="D544" s="21">
        <v>243000</v>
      </c>
      <c r="E544" s="4">
        <v>25</v>
      </c>
      <c r="F544" s="4">
        <v>3</v>
      </c>
      <c r="G544" s="4">
        <v>1.1000000000000001</v>
      </c>
      <c r="H544" s="10">
        <v>1682</v>
      </c>
      <c r="I544" s="11">
        <f t="shared" si="16"/>
        <v>144.47086801426872</v>
      </c>
      <c r="J544" s="3" t="str">
        <f t="shared" si="17"/>
        <v>Low</v>
      </c>
    </row>
    <row r="545" spans="1:10">
      <c r="A545" s="7" t="s">
        <v>592</v>
      </c>
      <c r="B545" s="7" t="s">
        <v>42</v>
      </c>
      <c r="C545" s="7" t="s">
        <v>12</v>
      </c>
      <c r="D545" s="22">
        <v>243000</v>
      </c>
      <c r="E545" s="7">
        <v>11</v>
      </c>
      <c r="F545" s="7">
        <v>3</v>
      </c>
      <c r="G545" s="7">
        <v>1</v>
      </c>
      <c r="H545" s="12">
        <v>1008</v>
      </c>
      <c r="I545" s="9">
        <f t="shared" si="16"/>
        <v>241.07142857142858</v>
      </c>
      <c r="J545" s="3" t="str">
        <f t="shared" si="17"/>
        <v>Medium</v>
      </c>
    </row>
    <row r="546" spans="1:10">
      <c r="A546" s="4" t="s">
        <v>593</v>
      </c>
      <c r="B546" s="4" t="s">
        <v>83</v>
      </c>
      <c r="C546" s="4" t="s">
        <v>12</v>
      </c>
      <c r="D546" s="21">
        <v>243000</v>
      </c>
      <c r="E546" s="4">
        <v>66</v>
      </c>
      <c r="F546" s="4">
        <v>4</v>
      </c>
      <c r="G546" s="4">
        <v>2.2000000000000002</v>
      </c>
      <c r="H546" s="10">
        <v>2104</v>
      </c>
      <c r="I546" s="11">
        <f t="shared" si="16"/>
        <v>115.49429657794677</v>
      </c>
      <c r="J546" s="3" t="str">
        <f t="shared" si="17"/>
        <v>Low</v>
      </c>
    </row>
    <row r="547" spans="1:10">
      <c r="A547" s="7" t="s">
        <v>594</v>
      </c>
      <c r="B547" s="7" t="s">
        <v>42</v>
      </c>
      <c r="C547" s="7" t="s">
        <v>12</v>
      </c>
      <c r="D547" s="22">
        <v>244000</v>
      </c>
      <c r="E547" s="7">
        <v>21</v>
      </c>
      <c r="F547" s="7">
        <v>4</v>
      </c>
      <c r="G547" s="7">
        <v>2</v>
      </c>
      <c r="H547" s="12">
        <v>1386</v>
      </c>
      <c r="I547" s="9">
        <f t="shared" si="16"/>
        <v>176.04617604617604</v>
      </c>
      <c r="J547" s="3" t="str">
        <f t="shared" si="17"/>
        <v>Low</v>
      </c>
    </row>
    <row r="548" spans="1:10">
      <c r="A548" s="4" t="s">
        <v>595</v>
      </c>
      <c r="B548" s="4" t="s">
        <v>155</v>
      </c>
      <c r="C548" s="4" t="s">
        <v>12</v>
      </c>
      <c r="D548" s="21">
        <v>244000</v>
      </c>
      <c r="E548" s="4">
        <v>91</v>
      </c>
      <c r="F548" s="4">
        <v>3</v>
      </c>
      <c r="G548" s="4">
        <v>1.1000000000000001</v>
      </c>
      <c r="H548" s="10">
        <v>1500</v>
      </c>
      <c r="I548" s="11">
        <f t="shared" si="16"/>
        <v>162.66666666666666</v>
      </c>
      <c r="J548" s="3" t="str">
        <f t="shared" si="17"/>
        <v>Low</v>
      </c>
    </row>
    <row r="549" spans="1:10">
      <c r="A549" s="7" t="s">
        <v>596</v>
      </c>
      <c r="B549" s="7" t="s">
        <v>11</v>
      </c>
      <c r="C549" s="7" t="s">
        <v>12</v>
      </c>
      <c r="D549" s="22">
        <v>244000</v>
      </c>
      <c r="E549" s="7">
        <v>162</v>
      </c>
      <c r="F549" s="7">
        <v>2</v>
      </c>
      <c r="G549" s="7">
        <v>1</v>
      </c>
      <c r="H549" s="12">
        <v>1386</v>
      </c>
      <c r="I549" s="9">
        <f t="shared" si="16"/>
        <v>176.04617604617604</v>
      </c>
      <c r="J549" s="3" t="str">
        <f t="shared" si="17"/>
        <v>Low</v>
      </c>
    </row>
    <row r="550" spans="1:10">
      <c r="A550" s="4" t="s">
        <v>597</v>
      </c>
      <c r="B550" s="4" t="s">
        <v>11</v>
      </c>
      <c r="C550" s="4" t="s">
        <v>12</v>
      </c>
      <c r="D550" s="21">
        <v>244000</v>
      </c>
      <c r="E550" s="4">
        <v>73</v>
      </c>
      <c r="F550" s="4">
        <v>4</v>
      </c>
      <c r="G550" s="4">
        <v>1</v>
      </c>
      <c r="H550" s="10">
        <v>1210</v>
      </c>
      <c r="I550" s="11">
        <f t="shared" si="16"/>
        <v>201.65289256198346</v>
      </c>
      <c r="J550" s="3" t="str">
        <f t="shared" si="17"/>
        <v>Medium</v>
      </c>
    </row>
    <row r="551" spans="1:10">
      <c r="A551" s="7" t="s">
        <v>598</v>
      </c>
      <c r="B551" s="7" t="s">
        <v>11</v>
      </c>
      <c r="C551" s="7" t="s">
        <v>12</v>
      </c>
      <c r="D551" s="22">
        <v>244200</v>
      </c>
      <c r="E551" s="7">
        <v>19</v>
      </c>
      <c r="F551" s="7">
        <v>3</v>
      </c>
      <c r="G551" s="7">
        <v>1.1000000000000001</v>
      </c>
      <c r="H551" s="12">
        <v>1496</v>
      </c>
      <c r="I551" s="9">
        <f t="shared" si="16"/>
        <v>163.23529411764707</v>
      </c>
      <c r="J551" s="3" t="str">
        <f t="shared" si="17"/>
        <v>Low</v>
      </c>
    </row>
    <row r="552" spans="1:10">
      <c r="A552" s="4" t="s">
        <v>599</v>
      </c>
      <c r="B552" s="4" t="s">
        <v>381</v>
      </c>
      <c r="C552" s="4" t="s">
        <v>12</v>
      </c>
      <c r="D552" s="21">
        <v>244900</v>
      </c>
      <c r="E552" s="4">
        <v>170</v>
      </c>
      <c r="F552" s="4">
        <v>4</v>
      </c>
      <c r="G552" s="4">
        <v>2</v>
      </c>
      <c r="H552" s="10">
        <v>1524</v>
      </c>
      <c r="I552" s="11">
        <f t="shared" si="16"/>
        <v>160.69553805774279</v>
      </c>
      <c r="J552" s="3" t="str">
        <f t="shared" si="17"/>
        <v>Low</v>
      </c>
    </row>
    <row r="553" spans="1:10">
      <c r="A553" s="7" t="s">
        <v>600</v>
      </c>
      <c r="B553" s="7" t="s">
        <v>11</v>
      </c>
      <c r="C553" s="7" t="s">
        <v>12</v>
      </c>
      <c r="D553" s="22">
        <v>245000</v>
      </c>
      <c r="E553" s="7">
        <v>39</v>
      </c>
      <c r="F553" s="7">
        <v>3</v>
      </c>
      <c r="G553" s="7">
        <v>2</v>
      </c>
      <c r="H553" s="12">
        <v>1008</v>
      </c>
      <c r="I553" s="9">
        <f t="shared" si="16"/>
        <v>243.05555555555554</v>
      </c>
      <c r="J553" s="3" t="str">
        <f t="shared" si="17"/>
        <v>Medium</v>
      </c>
    </row>
    <row r="554" spans="1:10">
      <c r="A554" s="4" t="s">
        <v>601</v>
      </c>
      <c r="B554" s="4" t="s">
        <v>212</v>
      </c>
      <c r="C554" s="4" t="s">
        <v>12</v>
      </c>
      <c r="D554" s="21">
        <v>245000</v>
      </c>
      <c r="E554" s="4">
        <v>6</v>
      </c>
      <c r="F554" s="4">
        <v>2</v>
      </c>
      <c r="G554" s="4">
        <v>2</v>
      </c>
      <c r="H554" s="10">
        <v>1152</v>
      </c>
      <c r="I554" s="11">
        <f t="shared" si="16"/>
        <v>212.67361111111111</v>
      </c>
      <c r="J554" s="3" t="str">
        <f t="shared" si="17"/>
        <v>Medium</v>
      </c>
    </row>
    <row r="555" spans="1:10">
      <c r="A555" s="7" t="s">
        <v>602</v>
      </c>
      <c r="B555" s="7" t="s">
        <v>363</v>
      </c>
      <c r="C555" s="7" t="s">
        <v>12</v>
      </c>
      <c r="D555" s="22">
        <v>245000</v>
      </c>
      <c r="E555" s="7">
        <v>6</v>
      </c>
      <c r="F555" s="7">
        <v>3</v>
      </c>
      <c r="G555" s="7">
        <v>1</v>
      </c>
      <c r="H555" s="12">
        <v>1039</v>
      </c>
      <c r="I555" s="9">
        <f t="shared" si="16"/>
        <v>235.8036573628489</v>
      </c>
      <c r="J555" s="3" t="str">
        <f t="shared" si="17"/>
        <v>Medium</v>
      </c>
    </row>
    <row r="556" spans="1:10">
      <c r="A556" s="4" t="s">
        <v>603</v>
      </c>
      <c r="B556" s="4" t="s">
        <v>80</v>
      </c>
      <c r="C556" s="4" t="s">
        <v>12</v>
      </c>
      <c r="D556" s="21">
        <v>245000</v>
      </c>
      <c r="E556" s="4">
        <v>10</v>
      </c>
      <c r="F556" s="4">
        <v>3</v>
      </c>
      <c r="G556" s="4">
        <v>0</v>
      </c>
      <c r="H556" s="4">
        <v>500</v>
      </c>
      <c r="I556" s="11">
        <f t="shared" si="16"/>
        <v>490</v>
      </c>
      <c r="J556" s="3" t="str">
        <f t="shared" si="17"/>
        <v>High</v>
      </c>
    </row>
    <row r="557" spans="1:10">
      <c r="A557" s="7" t="s">
        <v>604</v>
      </c>
      <c r="B557" s="7" t="s">
        <v>11</v>
      </c>
      <c r="C557" s="7" t="s">
        <v>12</v>
      </c>
      <c r="D557" s="22">
        <v>245000</v>
      </c>
      <c r="E557" s="7">
        <v>79</v>
      </c>
      <c r="F557" s="7">
        <v>3</v>
      </c>
      <c r="G557" s="7">
        <v>1</v>
      </c>
      <c r="H557" s="12">
        <v>1166</v>
      </c>
      <c r="I557" s="9">
        <f t="shared" si="16"/>
        <v>210.12006861063466</v>
      </c>
      <c r="J557" s="3" t="str">
        <f t="shared" si="17"/>
        <v>Medium</v>
      </c>
    </row>
    <row r="558" spans="1:10">
      <c r="A558" s="4" t="s">
        <v>605</v>
      </c>
      <c r="B558" s="4" t="s">
        <v>11</v>
      </c>
      <c r="C558" s="4" t="s">
        <v>12</v>
      </c>
      <c r="D558" s="21">
        <v>245000</v>
      </c>
      <c r="E558" s="4">
        <v>34</v>
      </c>
      <c r="F558" s="4">
        <v>3</v>
      </c>
      <c r="G558" s="4">
        <v>2</v>
      </c>
      <c r="H558" s="10">
        <v>1968</v>
      </c>
      <c r="I558" s="11">
        <f t="shared" si="16"/>
        <v>124.49186991869918</v>
      </c>
      <c r="J558" s="3" t="str">
        <f t="shared" si="17"/>
        <v>Low</v>
      </c>
    </row>
    <row r="559" spans="1:10">
      <c r="A559" s="7" t="s">
        <v>606</v>
      </c>
      <c r="B559" s="7" t="s">
        <v>11</v>
      </c>
      <c r="C559" s="7" t="s">
        <v>12</v>
      </c>
      <c r="D559" s="22">
        <v>245000</v>
      </c>
      <c r="E559" s="7">
        <v>59</v>
      </c>
      <c r="F559" s="7">
        <v>3</v>
      </c>
      <c r="G559" s="7">
        <v>2</v>
      </c>
      <c r="H559" s="12">
        <v>1200</v>
      </c>
      <c r="I559" s="9">
        <f t="shared" si="16"/>
        <v>204.16666666666666</v>
      </c>
      <c r="J559" s="3" t="str">
        <f t="shared" si="17"/>
        <v>Medium</v>
      </c>
    </row>
    <row r="560" spans="1:10">
      <c r="A560" s="4" t="s">
        <v>607</v>
      </c>
      <c r="B560" s="4" t="s">
        <v>21</v>
      </c>
      <c r="C560" s="4" t="s">
        <v>12</v>
      </c>
      <c r="D560" s="21">
        <v>245000</v>
      </c>
      <c r="E560" s="4">
        <v>116</v>
      </c>
      <c r="F560" s="4">
        <v>3</v>
      </c>
      <c r="G560" s="4">
        <v>1</v>
      </c>
      <c r="H560" s="10">
        <v>1008</v>
      </c>
      <c r="I560" s="11">
        <f t="shared" si="16"/>
        <v>243.05555555555554</v>
      </c>
      <c r="J560" s="3" t="str">
        <f t="shared" si="17"/>
        <v>Medium</v>
      </c>
    </row>
    <row r="561" spans="1:10">
      <c r="A561" s="7" t="s">
        <v>608</v>
      </c>
      <c r="B561" s="7" t="s">
        <v>131</v>
      </c>
      <c r="C561" s="7" t="s">
        <v>12</v>
      </c>
      <c r="D561" s="22">
        <v>245000</v>
      </c>
      <c r="E561" s="7">
        <v>61</v>
      </c>
      <c r="F561" s="7">
        <v>3</v>
      </c>
      <c r="G561" s="7">
        <v>1</v>
      </c>
      <c r="H561" s="7">
        <v>979</v>
      </c>
      <c r="I561" s="9">
        <f t="shared" si="16"/>
        <v>250.25536261491317</v>
      </c>
      <c r="J561" s="3" t="str">
        <f t="shared" si="17"/>
        <v>Medium</v>
      </c>
    </row>
    <row r="562" spans="1:10">
      <c r="A562" s="4" t="s">
        <v>609</v>
      </c>
      <c r="B562" s="4" t="s">
        <v>42</v>
      </c>
      <c r="C562" s="4" t="s">
        <v>12</v>
      </c>
      <c r="D562" s="21">
        <v>246000</v>
      </c>
      <c r="E562" s="4">
        <v>179</v>
      </c>
      <c r="F562" s="4">
        <v>3</v>
      </c>
      <c r="G562" s="4">
        <v>2</v>
      </c>
      <c r="H562" s="10">
        <v>1130</v>
      </c>
      <c r="I562" s="11">
        <f t="shared" si="16"/>
        <v>217.69911504424778</v>
      </c>
      <c r="J562" s="3" t="str">
        <f t="shared" si="17"/>
        <v>Medium</v>
      </c>
    </row>
    <row r="563" spans="1:10">
      <c r="A563" s="7" t="s">
        <v>610</v>
      </c>
      <c r="B563" s="7" t="s">
        <v>11</v>
      </c>
      <c r="C563" s="7" t="s">
        <v>12</v>
      </c>
      <c r="D563" s="22">
        <v>246000</v>
      </c>
      <c r="E563" s="7">
        <v>2</v>
      </c>
      <c r="F563" s="7">
        <v>3</v>
      </c>
      <c r="G563" s="7">
        <v>2</v>
      </c>
      <c r="H563" s="12">
        <v>1266</v>
      </c>
      <c r="I563" s="9">
        <f t="shared" si="16"/>
        <v>194.31279620853081</v>
      </c>
      <c r="J563" s="3" t="str">
        <f t="shared" si="17"/>
        <v>Low</v>
      </c>
    </row>
    <row r="564" spans="1:10">
      <c r="A564" s="4" t="s">
        <v>611</v>
      </c>
      <c r="B564" s="4" t="s">
        <v>56</v>
      </c>
      <c r="C564" s="4" t="s">
        <v>12</v>
      </c>
      <c r="D564" s="21">
        <v>246000</v>
      </c>
      <c r="E564" s="4">
        <v>23</v>
      </c>
      <c r="F564" s="4">
        <v>4</v>
      </c>
      <c r="G564" s="4">
        <v>2</v>
      </c>
      <c r="H564" s="10">
        <v>1591</v>
      </c>
      <c r="I564" s="11">
        <f t="shared" si="16"/>
        <v>154.61973601508484</v>
      </c>
      <c r="J564" s="3" t="str">
        <f t="shared" si="17"/>
        <v>Low</v>
      </c>
    </row>
    <row r="565" spans="1:10">
      <c r="A565" s="7" t="s">
        <v>612</v>
      </c>
      <c r="B565" s="7" t="s">
        <v>318</v>
      </c>
      <c r="C565" s="7" t="s">
        <v>12</v>
      </c>
      <c r="D565" s="22">
        <v>246000</v>
      </c>
      <c r="E565" s="7">
        <v>42</v>
      </c>
      <c r="F565" s="7">
        <v>3</v>
      </c>
      <c r="G565" s="7">
        <v>2</v>
      </c>
      <c r="H565" s="12">
        <v>5020</v>
      </c>
      <c r="I565" s="9">
        <f t="shared" si="16"/>
        <v>49.003984063745023</v>
      </c>
      <c r="J565" s="3" t="str">
        <f t="shared" si="17"/>
        <v>Low</v>
      </c>
    </row>
    <row r="566" spans="1:10">
      <c r="A566" s="4" t="s">
        <v>613</v>
      </c>
      <c r="B566" s="4" t="s">
        <v>14</v>
      </c>
      <c r="C566" s="4" t="s">
        <v>12</v>
      </c>
      <c r="D566" s="21">
        <v>246000</v>
      </c>
      <c r="E566" s="4">
        <v>43</v>
      </c>
      <c r="F566" s="4">
        <v>4</v>
      </c>
      <c r="G566" s="4">
        <v>2.1</v>
      </c>
      <c r="H566" s="10">
        <v>1917</v>
      </c>
      <c r="I566" s="11">
        <f t="shared" si="16"/>
        <v>128.32550860719874</v>
      </c>
      <c r="J566" s="3" t="str">
        <f t="shared" si="17"/>
        <v>Low</v>
      </c>
    </row>
    <row r="567" spans="1:10">
      <c r="A567" s="7" t="s">
        <v>614</v>
      </c>
      <c r="B567" s="7" t="s">
        <v>363</v>
      </c>
      <c r="C567" s="7" t="s">
        <v>12</v>
      </c>
      <c r="D567" s="22">
        <v>246000</v>
      </c>
      <c r="E567" s="7">
        <v>155</v>
      </c>
      <c r="F567" s="7">
        <v>2</v>
      </c>
      <c r="G567" s="7">
        <v>1</v>
      </c>
      <c r="H567" s="12">
        <v>1041</v>
      </c>
      <c r="I567" s="9">
        <f t="shared" si="16"/>
        <v>236.31123919308357</v>
      </c>
      <c r="J567" s="3" t="str">
        <f t="shared" si="17"/>
        <v>Medium</v>
      </c>
    </row>
    <row r="568" spans="1:10">
      <c r="A568" s="4" t="s">
        <v>615</v>
      </c>
      <c r="B568" s="4" t="s">
        <v>42</v>
      </c>
      <c r="C568" s="4" t="s">
        <v>12</v>
      </c>
      <c r="D568" s="21">
        <v>246001</v>
      </c>
      <c r="E568" s="4">
        <v>6</v>
      </c>
      <c r="F568" s="4">
        <v>3</v>
      </c>
      <c r="G568" s="4">
        <v>1</v>
      </c>
      <c r="H568" s="10">
        <v>1008</v>
      </c>
      <c r="I568" s="11">
        <f t="shared" si="16"/>
        <v>244.04861111111111</v>
      </c>
      <c r="J568" s="3" t="str">
        <f t="shared" si="17"/>
        <v>Medium</v>
      </c>
    </row>
    <row r="569" spans="1:10">
      <c r="A569" s="7" t="s">
        <v>616</v>
      </c>
      <c r="B569" s="7" t="s">
        <v>25</v>
      </c>
      <c r="C569" s="7" t="s">
        <v>12</v>
      </c>
      <c r="D569" s="22">
        <v>246423</v>
      </c>
      <c r="E569" s="7">
        <v>46</v>
      </c>
      <c r="F569" s="7">
        <v>4</v>
      </c>
      <c r="G569" s="7">
        <v>2</v>
      </c>
      <c r="H569" s="12">
        <v>1089</v>
      </c>
      <c r="I569" s="9">
        <f t="shared" si="16"/>
        <v>226.28374655647383</v>
      </c>
      <c r="J569" s="3" t="str">
        <f t="shared" si="17"/>
        <v>Medium</v>
      </c>
    </row>
    <row r="570" spans="1:10">
      <c r="A570" s="4" t="s">
        <v>617</v>
      </c>
      <c r="B570" s="4" t="s">
        <v>11</v>
      </c>
      <c r="C570" s="4" t="s">
        <v>12</v>
      </c>
      <c r="D570" s="21">
        <v>246500</v>
      </c>
      <c r="E570" s="4">
        <v>6</v>
      </c>
      <c r="F570" s="4">
        <v>2</v>
      </c>
      <c r="G570" s="4">
        <v>2</v>
      </c>
      <c r="H570" s="10">
        <v>1038</v>
      </c>
      <c r="I570" s="11">
        <f t="shared" si="16"/>
        <v>237.47591522157995</v>
      </c>
      <c r="J570" s="3" t="str">
        <f t="shared" si="17"/>
        <v>Medium</v>
      </c>
    </row>
    <row r="571" spans="1:10">
      <c r="A571" s="7" t="s">
        <v>618</v>
      </c>
      <c r="B571" s="7" t="s">
        <v>77</v>
      </c>
      <c r="C571" s="7" t="s">
        <v>12</v>
      </c>
      <c r="D571" s="22">
        <v>246600</v>
      </c>
      <c r="E571" s="7">
        <v>3</v>
      </c>
      <c r="F571" s="7">
        <v>3</v>
      </c>
      <c r="G571" s="7">
        <v>1.1000000000000001</v>
      </c>
      <c r="H571" s="12">
        <v>1359</v>
      </c>
      <c r="I571" s="9">
        <f t="shared" si="16"/>
        <v>181.45695364238409</v>
      </c>
      <c r="J571" s="3" t="str">
        <f t="shared" si="17"/>
        <v>Low</v>
      </c>
    </row>
    <row r="572" spans="1:10">
      <c r="A572" s="4" t="s">
        <v>619</v>
      </c>
      <c r="B572" s="4" t="s">
        <v>83</v>
      </c>
      <c r="C572" s="4" t="s">
        <v>12</v>
      </c>
      <c r="D572" s="21">
        <v>246900</v>
      </c>
      <c r="E572" s="4">
        <v>79</v>
      </c>
      <c r="F572" s="4">
        <v>3</v>
      </c>
      <c r="G572" s="4">
        <v>2.1</v>
      </c>
      <c r="H572" s="10">
        <v>1319</v>
      </c>
      <c r="I572" s="11">
        <f t="shared" si="16"/>
        <v>187.18726307808947</v>
      </c>
      <c r="J572" s="3" t="str">
        <f t="shared" si="17"/>
        <v>Low</v>
      </c>
    </row>
    <row r="573" spans="1:10">
      <c r="A573" s="7" t="s">
        <v>620</v>
      </c>
      <c r="B573" s="7" t="s">
        <v>77</v>
      </c>
      <c r="C573" s="7" t="s">
        <v>12</v>
      </c>
      <c r="D573" s="22">
        <v>247000</v>
      </c>
      <c r="E573" s="7">
        <v>16</v>
      </c>
      <c r="F573" s="7">
        <v>4</v>
      </c>
      <c r="G573" s="7">
        <v>1</v>
      </c>
      <c r="H573" s="12">
        <v>1305</v>
      </c>
      <c r="I573" s="9">
        <f t="shared" si="16"/>
        <v>189.272030651341</v>
      </c>
      <c r="J573" s="3" t="str">
        <f t="shared" si="17"/>
        <v>Low</v>
      </c>
    </row>
    <row r="574" spans="1:10">
      <c r="A574" s="4" t="s">
        <v>621</v>
      </c>
      <c r="B574" s="4" t="s">
        <v>388</v>
      </c>
      <c r="C574" s="4" t="s">
        <v>12</v>
      </c>
      <c r="D574" s="21">
        <v>247000</v>
      </c>
      <c r="E574" s="4">
        <v>17</v>
      </c>
      <c r="F574" s="4">
        <v>3</v>
      </c>
      <c r="G574" s="4">
        <v>2</v>
      </c>
      <c r="H574" s="10">
        <v>1063</v>
      </c>
      <c r="I574" s="11">
        <f t="shared" si="16"/>
        <v>232.3612417685795</v>
      </c>
      <c r="J574" s="3" t="str">
        <f t="shared" si="17"/>
        <v>Medium</v>
      </c>
    </row>
    <row r="575" spans="1:10">
      <c r="A575" s="7" t="s">
        <v>622</v>
      </c>
      <c r="B575" s="7" t="s">
        <v>11</v>
      </c>
      <c r="C575" s="7" t="s">
        <v>12</v>
      </c>
      <c r="D575" s="22">
        <v>247500</v>
      </c>
      <c r="E575" s="7">
        <v>26</v>
      </c>
      <c r="F575" s="7">
        <v>3</v>
      </c>
      <c r="G575" s="7">
        <v>1</v>
      </c>
      <c r="H575" s="12">
        <v>1296</v>
      </c>
      <c r="I575" s="9">
        <f t="shared" si="16"/>
        <v>190.97222222222223</v>
      </c>
      <c r="J575" s="3" t="str">
        <f t="shared" si="17"/>
        <v>Low</v>
      </c>
    </row>
    <row r="576" spans="1:10">
      <c r="A576" s="4" t="s">
        <v>623</v>
      </c>
      <c r="B576" s="4" t="s">
        <v>29</v>
      </c>
      <c r="C576" s="4" t="s">
        <v>12</v>
      </c>
      <c r="D576" s="21">
        <v>247500</v>
      </c>
      <c r="E576" s="4">
        <v>22</v>
      </c>
      <c r="F576" s="4">
        <v>3</v>
      </c>
      <c r="G576" s="4">
        <v>1</v>
      </c>
      <c r="H576" s="10">
        <v>1325</v>
      </c>
      <c r="I576" s="11">
        <f t="shared" si="16"/>
        <v>186.79245283018867</v>
      </c>
      <c r="J576" s="3" t="str">
        <f t="shared" si="17"/>
        <v>Low</v>
      </c>
    </row>
    <row r="577" spans="1:10">
      <c r="A577" s="7" t="s">
        <v>624</v>
      </c>
      <c r="B577" s="7" t="s">
        <v>70</v>
      </c>
      <c r="C577" s="7" t="s">
        <v>12</v>
      </c>
      <c r="D577" s="22">
        <v>248000</v>
      </c>
      <c r="E577" s="7">
        <v>11</v>
      </c>
      <c r="F577" s="7">
        <v>3</v>
      </c>
      <c r="G577" s="7">
        <v>2</v>
      </c>
      <c r="H577" s="12">
        <v>1532</v>
      </c>
      <c r="I577" s="9">
        <f t="shared" si="16"/>
        <v>161.8798955613577</v>
      </c>
      <c r="J577" s="3" t="str">
        <f t="shared" si="17"/>
        <v>Low</v>
      </c>
    </row>
    <row r="578" spans="1:10">
      <c r="A578" s="4" t="s">
        <v>625</v>
      </c>
      <c r="B578" s="4" t="s">
        <v>11</v>
      </c>
      <c r="C578" s="4" t="s">
        <v>12</v>
      </c>
      <c r="D578" s="21">
        <v>249000</v>
      </c>
      <c r="E578" s="4">
        <v>46</v>
      </c>
      <c r="F578" s="4">
        <v>3</v>
      </c>
      <c r="G578" s="4">
        <v>2.1</v>
      </c>
      <c r="H578" s="10">
        <v>1608</v>
      </c>
      <c r="I578" s="11">
        <f t="shared" ref="I578:I641" si="18">D578/H578</f>
        <v>154.85074626865671</v>
      </c>
      <c r="J578" s="3" t="str">
        <f t="shared" ref="J578:J641" si="19">IF(I578 &gt; 300, "High", IF(AND(I578 &lt;= 300, I578 &gt; 200), "Medium", "Low"))</f>
        <v>Low</v>
      </c>
    </row>
    <row r="579" spans="1:10">
      <c r="A579" s="7" t="s">
        <v>626</v>
      </c>
      <c r="B579" s="7" t="s">
        <v>212</v>
      </c>
      <c r="C579" s="7" t="s">
        <v>12</v>
      </c>
      <c r="D579" s="22">
        <v>249900</v>
      </c>
      <c r="E579" s="7">
        <v>61</v>
      </c>
      <c r="F579" s="7">
        <v>3</v>
      </c>
      <c r="G579" s="7">
        <v>2</v>
      </c>
      <c r="H579" s="12">
        <v>1363</v>
      </c>
      <c r="I579" s="9">
        <f t="shared" si="18"/>
        <v>183.34556126192223</v>
      </c>
      <c r="J579" s="3" t="str">
        <f t="shared" si="19"/>
        <v>Low</v>
      </c>
    </row>
    <row r="580" spans="1:10">
      <c r="A580" s="4" t="s">
        <v>627</v>
      </c>
      <c r="B580" s="4" t="s">
        <v>11</v>
      </c>
      <c r="C580" s="4" t="s">
        <v>12</v>
      </c>
      <c r="D580" s="21">
        <v>249900</v>
      </c>
      <c r="E580" s="4">
        <v>37</v>
      </c>
      <c r="F580" s="4">
        <v>5</v>
      </c>
      <c r="G580" s="4">
        <v>3</v>
      </c>
      <c r="H580" s="10">
        <v>2181</v>
      </c>
      <c r="I580" s="11">
        <f t="shared" si="18"/>
        <v>114.58046767537827</v>
      </c>
      <c r="J580" s="3" t="str">
        <f t="shared" si="19"/>
        <v>Low</v>
      </c>
    </row>
    <row r="581" spans="1:10">
      <c r="A581" s="7" t="s">
        <v>628</v>
      </c>
      <c r="B581" s="7" t="s">
        <v>11</v>
      </c>
      <c r="C581" s="7" t="s">
        <v>12</v>
      </c>
      <c r="D581" s="22">
        <v>250000</v>
      </c>
      <c r="E581" s="7">
        <v>8</v>
      </c>
      <c r="F581" s="7">
        <v>3</v>
      </c>
      <c r="G581" s="7">
        <v>1</v>
      </c>
      <c r="H581" s="12">
        <v>1372</v>
      </c>
      <c r="I581" s="9">
        <f t="shared" si="18"/>
        <v>182.21574344023324</v>
      </c>
      <c r="J581" s="3" t="str">
        <f t="shared" si="19"/>
        <v>Low</v>
      </c>
    </row>
    <row r="582" spans="1:10">
      <c r="A582" s="4" t="s">
        <v>629</v>
      </c>
      <c r="B582" s="4" t="s">
        <v>56</v>
      </c>
      <c r="C582" s="4" t="s">
        <v>12</v>
      </c>
      <c r="D582" s="21">
        <v>250000</v>
      </c>
      <c r="E582" s="4">
        <v>5</v>
      </c>
      <c r="F582" s="4">
        <v>4</v>
      </c>
      <c r="G582" s="4">
        <v>2</v>
      </c>
      <c r="H582" s="10">
        <v>2265</v>
      </c>
      <c r="I582" s="11">
        <f t="shared" si="18"/>
        <v>110.37527593818984</v>
      </c>
      <c r="J582" s="3" t="str">
        <f t="shared" si="19"/>
        <v>Low</v>
      </c>
    </row>
    <row r="583" spans="1:10">
      <c r="A583" s="7" t="s">
        <v>630</v>
      </c>
      <c r="B583" s="7" t="s">
        <v>83</v>
      </c>
      <c r="C583" s="7" t="s">
        <v>12</v>
      </c>
      <c r="D583" s="22">
        <v>250000</v>
      </c>
      <c r="E583" s="7">
        <v>4</v>
      </c>
      <c r="F583" s="7">
        <v>3</v>
      </c>
      <c r="G583" s="7">
        <v>1</v>
      </c>
      <c r="H583" s="12">
        <v>1103</v>
      </c>
      <c r="I583" s="9">
        <f t="shared" si="18"/>
        <v>226.65457842248412</v>
      </c>
      <c r="J583" s="3" t="str">
        <f t="shared" si="19"/>
        <v>Medium</v>
      </c>
    </row>
    <row r="584" spans="1:10">
      <c r="A584" s="4" t="s">
        <v>631</v>
      </c>
      <c r="B584" s="4" t="s">
        <v>42</v>
      </c>
      <c r="C584" s="4" t="s">
        <v>12</v>
      </c>
      <c r="D584" s="21">
        <v>250000</v>
      </c>
      <c r="E584" s="4">
        <v>9</v>
      </c>
      <c r="F584" s="4">
        <v>3</v>
      </c>
      <c r="G584" s="4">
        <v>2</v>
      </c>
      <c r="H584" s="10">
        <v>1119</v>
      </c>
      <c r="I584" s="11">
        <f t="shared" si="18"/>
        <v>223.41376228775692</v>
      </c>
      <c r="J584" s="3" t="str">
        <f t="shared" si="19"/>
        <v>Medium</v>
      </c>
    </row>
    <row r="585" spans="1:10">
      <c r="A585" s="7" t="s">
        <v>632</v>
      </c>
      <c r="B585" s="7" t="s">
        <v>363</v>
      </c>
      <c r="C585" s="7" t="s">
        <v>12</v>
      </c>
      <c r="D585" s="22">
        <v>250000</v>
      </c>
      <c r="E585" s="7">
        <v>5</v>
      </c>
      <c r="F585" s="7">
        <v>3</v>
      </c>
      <c r="G585" s="7">
        <v>1</v>
      </c>
      <c r="H585" s="7">
        <v>975</v>
      </c>
      <c r="I585" s="9">
        <f t="shared" si="18"/>
        <v>256.41025641025641</v>
      </c>
      <c r="J585" s="3" t="str">
        <f t="shared" si="19"/>
        <v>Medium</v>
      </c>
    </row>
    <row r="586" spans="1:10">
      <c r="A586" s="4" t="s">
        <v>633</v>
      </c>
      <c r="B586" s="4" t="s">
        <v>77</v>
      </c>
      <c r="C586" s="4" t="s">
        <v>12</v>
      </c>
      <c r="D586" s="21">
        <v>250000</v>
      </c>
      <c r="E586" s="4">
        <v>7</v>
      </c>
      <c r="F586" s="4">
        <v>4</v>
      </c>
      <c r="G586" s="4">
        <v>3</v>
      </c>
      <c r="H586" s="10">
        <v>1912</v>
      </c>
      <c r="I586" s="11">
        <f t="shared" si="18"/>
        <v>130.75313807531381</v>
      </c>
      <c r="J586" s="3" t="str">
        <f t="shared" si="19"/>
        <v>Low</v>
      </c>
    </row>
    <row r="587" spans="1:10">
      <c r="A587" s="7" t="s">
        <v>634</v>
      </c>
      <c r="B587" s="7" t="s">
        <v>70</v>
      </c>
      <c r="C587" s="7" t="s">
        <v>12</v>
      </c>
      <c r="D587" s="22">
        <v>250000</v>
      </c>
      <c r="E587" s="7">
        <v>30</v>
      </c>
      <c r="F587" s="7">
        <v>3</v>
      </c>
      <c r="G587" s="7">
        <v>2.1</v>
      </c>
      <c r="H587" s="12">
        <v>1823</v>
      </c>
      <c r="I587" s="9">
        <f t="shared" si="18"/>
        <v>137.13658804168952</v>
      </c>
      <c r="J587" s="3" t="str">
        <f t="shared" si="19"/>
        <v>Low</v>
      </c>
    </row>
    <row r="588" spans="1:10">
      <c r="A588" s="4" t="s">
        <v>635</v>
      </c>
      <c r="B588" s="4" t="s">
        <v>155</v>
      </c>
      <c r="C588" s="4" t="s">
        <v>12</v>
      </c>
      <c r="D588" s="21">
        <v>250000</v>
      </c>
      <c r="E588" s="4">
        <v>3</v>
      </c>
      <c r="F588" s="4">
        <v>4</v>
      </c>
      <c r="G588" s="4">
        <v>2.1</v>
      </c>
      <c r="H588" s="10">
        <v>1032</v>
      </c>
      <c r="I588" s="11">
        <f t="shared" si="18"/>
        <v>242.24806201550388</v>
      </c>
      <c r="J588" s="3" t="str">
        <f t="shared" si="19"/>
        <v>Medium</v>
      </c>
    </row>
    <row r="589" spans="1:10">
      <c r="A589" s="7" t="s">
        <v>636</v>
      </c>
      <c r="B589" s="7" t="s">
        <v>42</v>
      </c>
      <c r="C589" s="7" t="s">
        <v>12</v>
      </c>
      <c r="D589" s="22">
        <v>250000</v>
      </c>
      <c r="E589" s="7">
        <v>10</v>
      </c>
      <c r="F589" s="7">
        <v>3</v>
      </c>
      <c r="G589" s="7">
        <v>2</v>
      </c>
      <c r="H589" s="12">
        <v>1009</v>
      </c>
      <c r="I589" s="9">
        <f t="shared" si="18"/>
        <v>247.77006937561941</v>
      </c>
      <c r="J589" s="3" t="str">
        <f t="shared" si="19"/>
        <v>Medium</v>
      </c>
    </row>
    <row r="590" spans="1:10">
      <c r="A590" s="4" t="s">
        <v>637</v>
      </c>
      <c r="B590" s="4" t="s">
        <v>14</v>
      </c>
      <c r="C590" s="4" t="s">
        <v>12</v>
      </c>
      <c r="D590" s="21">
        <v>250000</v>
      </c>
      <c r="E590" s="4">
        <v>7</v>
      </c>
      <c r="F590" s="4">
        <v>4</v>
      </c>
      <c r="G590" s="4">
        <v>2.1</v>
      </c>
      <c r="H590" s="10">
        <v>1472</v>
      </c>
      <c r="I590" s="11">
        <f t="shared" si="18"/>
        <v>169.83695652173913</v>
      </c>
      <c r="J590" s="3" t="str">
        <f t="shared" si="19"/>
        <v>Low</v>
      </c>
    </row>
    <row r="591" spans="1:10">
      <c r="A591" s="7" t="s">
        <v>638</v>
      </c>
      <c r="B591" s="7" t="s">
        <v>42</v>
      </c>
      <c r="C591" s="7" t="s">
        <v>12</v>
      </c>
      <c r="D591" s="22">
        <v>250000</v>
      </c>
      <c r="E591" s="7">
        <v>8</v>
      </c>
      <c r="F591" s="7">
        <v>3</v>
      </c>
      <c r="G591" s="7">
        <v>2</v>
      </c>
      <c r="H591" s="12">
        <v>1122</v>
      </c>
      <c r="I591" s="9">
        <f t="shared" si="18"/>
        <v>222.81639928698752</v>
      </c>
      <c r="J591" s="3" t="str">
        <f t="shared" si="19"/>
        <v>Medium</v>
      </c>
    </row>
    <row r="592" spans="1:10">
      <c r="A592" s="4" t="s">
        <v>639</v>
      </c>
      <c r="B592" s="4" t="s">
        <v>70</v>
      </c>
      <c r="C592" s="4" t="s">
        <v>12</v>
      </c>
      <c r="D592" s="21">
        <v>250000</v>
      </c>
      <c r="E592" s="4">
        <v>135</v>
      </c>
      <c r="F592" s="4">
        <v>3</v>
      </c>
      <c r="G592" s="4">
        <v>2</v>
      </c>
      <c r="H592" s="10">
        <v>1169</v>
      </c>
      <c r="I592" s="11">
        <f t="shared" si="18"/>
        <v>213.85799828913602</v>
      </c>
      <c r="J592" s="3" t="str">
        <f t="shared" si="19"/>
        <v>Medium</v>
      </c>
    </row>
    <row r="593" spans="1:10">
      <c r="A593" s="7" t="s">
        <v>640</v>
      </c>
      <c r="B593" s="7" t="s">
        <v>11</v>
      </c>
      <c r="C593" s="7" t="s">
        <v>12</v>
      </c>
      <c r="D593" s="22">
        <v>250000</v>
      </c>
      <c r="E593" s="7">
        <v>141</v>
      </c>
      <c r="F593" s="7">
        <v>3</v>
      </c>
      <c r="G593" s="7">
        <v>1.1000000000000001</v>
      </c>
      <c r="H593" s="12">
        <v>1626</v>
      </c>
      <c r="I593" s="9">
        <f t="shared" si="18"/>
        <v>153.75153751537516</v>
      </c>
      <c r="J593" s="3" t="str">
        <f t="shared" si="19"/>
        <v>Low</v>
      </c>
    </row>
    <row r="594" spans="1:10">
      <c r="A594" s="4" t="s">
        <v>641</v>
      </c>
      <c r="B594" s="4" t="s">
        <v>191</v>
      </c>
      <c r="C594" s="4" t="s">
        <v>12</v>
      </c>
      <c r="D594" s="21">
        <v>250044</v>
      </c>
      <c r="E594" s="4">
        <v>4</v>
      </c>
      <c r="F594" s="4">
        <v>2</v>
      </c>
      <c r="G594" s="4">
        <v>1</v>
      </c>
      <c r="H594" s="10">
        <v>1094</v>
      </c>
      <c r="I594" s="11">
        <f t="shared" si="18"/>
        <v>228.55941499085924</v>
      </c>
      <c r="J594" s="3" t="str">
        <f t="shared" si="19"/>
        <v>Medium</v>
      </c>
    </row>
    <row r="595" spans="1:10">
      <c r="A595" s="7" t="s">
        <v>642</v>
      </c>
      <c r="B595" s="7" t="s">
        <v>83</v>
      </c>
      <c r="C595" s="7" t="s">
        <v>12</v>
      </c>
      <c r="D595" s="22">
        <v>251895</v>
      </c>
      <c r="E595" s="7">
        <v>6</v>
      </c>
      <c r="F595" s="7">
        <v>3</v>
      </c>
      <c r="G595" s="7">
        <v>1.1000000000000001</v>
      </c>
      <c r="H595" s="12">
        <v>1165</v>
      </c>
      <c r="I595" s="9">
        <f t="shared" si="18"/>
        <v>216.21888412017168</v>
      </c>
      <c r="J595" s="3" t="str">
        <f t="shared" si="19"/>
        <v>Medium</v>
      </c>
    </row>
    <row r="596" spans="1:10">
      <c r="A596" s="4" t="s">
        <v>643</v>
      </c>
      <c r="B596" s="4" t="s">
        <v>29</v>
      </c>
      <c r="C596" s="4" t="s">
        <v>12</v>
      </c>
      <c r="D596" s="21">
        <v>252000</v>
      </c>
      <c r="E596" s="4">
        <v>6</v>
      </c>
      <c r="F596" s="4">
        <v>3</v>
      </c>
      <c r="G596" s="4">
        <v>1</v>
      </c>
      <c r="H596" s="10">
        <v>1172</v>
      </c>
      <c r="I596" s="11">
        <f t="shared" si="18"/>
        <v>215.01706484641639</v>
      </c>
      <c r="J596" s="3" t="str">
        <f t="shared" si="19"/>
        <v>Medium</v>
      </c>
    </row>
    <row r="597" spans="1:10">
      <c r="A597" s="7" t="s">
        <v>644</v>
      </c>
      <c r="B597" s="7" t="s">
        <v>645</v>
      </c>
      <c r="C597" s="7" t="s">
        <v>12</v>
      </c>
      <c r="D597" s="22">
        <v>252000</v>
      </c>
      <c r="E597" s="7">
        <v>2</v>
      </c>
      <c r="F597" s="7">
        <v>3</v>
      </c>
      <c r="G597" s="7">
        <v>1</v>
      </c>
      <c r="H597" s="7">
        <v>902</v>
      </c>
      <c r="I597" s="9">
        <f t="shared" si="18"/>
        <v>279.37915742793791</v>
      </c>
      <c r="J597" s="3" t="str">
        <f t="shared" si="19"/>
        <v>Medium</v>
      </c>
    </row>
    <row r="598" spans="1:10">
      <c r="A598" s="4" t="s">
        <v>646</v>
      </c>
      <c r="B598" s="4" t="s">
        <v>73</v>
      </c>
      <c r="C598" s="4" t="s">
        <v>12</v>
      </c>
      <c r="D598" s="21">
        <v>252000</v>
      </c>
      <c r="E598" s="4">
        <v>132</v>
      </c>
      <c r="F598" s="4">
        <v>3</v>
      </c>
      <c r="G598" s="4">
        <v>2.1</v>
      </c>
      <c r="H598" s="10">
        <v>1600</v>
      </c>
      <c r="I598" s="11">
        <f t="shared" si="18"/>
        <v>157.5</v>
      </c>
      <c r="J598" s="3" t="str">
        <f t="shared" si="19"/>
        <v>Low</v>
      </c>
    </row>
    <row r="599" spans="1:10">
      <c r="A599" s="7" t="s">
        <v>647</v>
      </c>
      <c r="B599" s="7" t="s">
        <v>11</v>
      </c>
      <c r="C599" s="7" t="s">
        <v>12</v>
      </c>
      <c r="D599" s="22">
        <v>252000</v>
      </c>
      <c r="E599" s="7">
        <v>3</v>
      </c>
      <c r="F599" s="7">
        <v>3</v>
      </c>
      <c r="G599" s="7">
        <v>2</v>
      </c>
      <c r="H599" s="12">
        <v>1607</v>
      </c>
      <c r="I599" s="9">
        <f t="shared" si="18"/>
        <v>156.8139390168015</v>
      </c>
      <c r="J599" s="3" t="str">
        <f t="shared" si="19"/>
        <v>Low</v>
      </c>
    </row>
    <row r="600" spans="1:10">
      <c r="A600" s="4" t="s">
        <v>648</v>
      </c>
      <c r="B600" s="4" t="s">
        <v>282</v>
      </c>
      <c r="C600" s="4" t="s">
        <v>12</v>
      </c>
      <c r="D600" s="21">
        <v>252000</v>
      </c>
      <c r="E600" s="4">
        <v>83</v>
      </c>
      <c r="F600" s="4">
        <v>3</v>
      </c>
      <c r="G600" s="4">
        <v>1</v>
      </c>
      <c r="H600" s="10">
        <v>1048</v>
      </c>
      <c r="I600" s="11">
        <f t="shared" si="18"/>
        <v>240.45801526717557</v>
      </c>
      <c r="J600" s="3" t="str">
        <f t="shared" si="19"/>
        <v>Medium</v>
      </c>
    </row>
    <row r="601" spans="1:10">
      <c r="A601" s="7" t="s">
        <v>649</v>
      </c>
      <c r="B601" s="7" t="s">
        <v>73</v>
      </c>
      <c r="C601" s="7" t="s">
        <v>12</v>
      </c>
      <c r="D601" s="22">
        <v>252000</v>
      </c>
      <c r="E601" s="7">
        <v>48</v>
      </c>
      <c r="F601" s="7">
        <v>3</v>
      </c>
      <c r="G601" s="7">
        <v>1.1000000000000001</v>
      </c>
      <c r="H601" s="12">
        <v>1560</v>
      </c>
      <c r="I601" s="9">
        <f t="shared" si="18"/>
        <v>161.53846153846155</v>
      </c>
      <c r="J601" s="3" t="str">
        <f t="shared" si="19"/>
        <v>Low</v>
      </c>
    </row>
    <row r="602" spans="1:10">
      <c r="A602" s="4" t="s">
        <v>650</v>
      </c>
      <c r="B602" s="4" t="s">
        <v>83</v>
      </c>
      <c r="C602" s="4" t="s">
        <v>12</v>
      </c>
      <c r="D602" s="21">
        <v>253000</v>
      </c>
      <c r="E602" s="4">
        <v>7</v>
      </c>
      <c r="F602" s="4">
        <v>3</v>
      </c>
      <c r="G602" s="4">
        <v>1</v>
      </c>
      <c r="H602" s="10">
        <v>1048</v>
      </c>
      <c r="I602" s="11">
        <f t="shared" si="18"/>
        <v>241.41221374045801</v>
      </c>
      <c r="J602" s="3" t="str">
        <f t="shared" si="19"/>
        <v>Medium</v>
      </c>
    </row>
    <row r="603" spans="1:10">
      <c r="A603" s="7" t="s">
        <v>651</v>
      </c>
      <c r="B603" s="7" t="s">
        <v>42</v>
      </c>
      <c r="C603" s="7" t="s">
        <v>12</v>
      </c>
      <c r="D603" s="22">
        <v>253000</v>
      </c>
      <c r="E603" s="7">
        <v>3</v>
      </c>
      <c r="F603" s="7">
        <v>3</v>
      </c>
      <c r="G603" s="7">
        <v>1</v>
      </c>
      <c r="H603" s="12">
        <v>1056</v>
      </c>
      <c r="I603" s="9">
        <f t="shared" si="18"/>
        <v>239.58333333333334</v>
      </c>
      <c r="J603" s="3" t="str">
        <f t="shared" si="19"/>
        <v>Medium</v>
      </c>
    </row>
    <row r="604" spans="1:10">
      <c r="A604" s="4" t="s">
        <v>652</v>
      </c>
      <c r="B604" s="4" t="s">
        <v>70</v>
      </c>
      <c r="C604" s="4" t="s">
        <v>12</v>
      </c>
      <c r="D604" s="21">
        <v>254000</v>
      </c>
      <c r="E604" s="4">
        <v>4</v>
      </c>
      <c r="F604" s="4">
        <v>3</v>
      </c>
      <c r="G604" s="4">
        <v>1.1000000000000001</v>
      </c>
      <c r="H604" s="10">
        <v>1129</v>
      </c>
      <c r="I604" s="11">
        <f t="shared" si="18"/>
        <v>224.977856510186</v>
      </c>
      <c r="J604" s="3" t="str">
        <f t="shared" si="19"/>
        <v>Medium</v>
      </c>
    </row>
    <row r="605" spans="1:10">
      <c r="A605" s="7" t="s">
        <v>653</v>
      </c>
      <c r="B605" s="7" t="s">
        <v>80</v>
      </c>
      <c r="C605" s="7" t="s">
        <v>12</v>
      </c>
      <c r="D605" s="22">
        <v>254500</v>
      </c>
      <c r="E605" s="7">
        <v>4</v>
      </c>
      <c r="F605" s="7">
        <v>3</v>
      </c>
      <c r="G605" s="7">
        <v>1</v>
      </c>
      <c r="H605" s="12">
        <v>1068</v>
      </c>
      <c r="I605" s="9">
        <f t="shared" si="18"/>
        <v>238.29588014981275</v>
      </c>
      <c r="J605" s="3" t="str">
        <f t="shared" si="19"/>
        <v>Medium</v>
      </c>
    </row>
    <row r="606" spans="1:10">
      <c r="A606" s="4" t="s">
        <v>654</v>
      </c>
      <c r="B606" s="4" t="s">
        <v>318</v>
      </c>
      <c r="C606" s="4" t="s">
        <v>12</v>
      </c>
      <c r="D606" s="21">
        <v>255000</v>
      </c>
      <c r="E606" s="4">
        <v>2</v>
      </c>
      <c r="F606" s="4">
        <v>3</v>
      </c>
      <c r="G606" s="4">
        <v>1</v>
      </c>
      <c r="H606" s="10">
        <v>1150</v>
      </c>
      <c r="I606" s="11">
        <f t="shared" si="18"/>
        <v>221.7391304347826</v>
      </c>
      <c r="J606" s="3" t="str">
        <f t="shared" si="19"/>
        <v>Medium</v>
      </c>
    </row>
    <row r="607" spans="1:10">
      <c r="A607" s="7" t="s">
        <v>655</v>
      </c>
      <c r="B607" s="7" t="s">
        <v>83</v>
      </c>
      <c r="C607" s="7" t="s">
        <v>12</v>
      </c>
      <c r="D607" s="22">
        <v>255000</v>
      </c>
      <c r="E607" s="7">
        <v>20</v>
      </c>
      <c r="F607" s="7">
        <v>3</v>
      </c>
      <c r="G607" s="7">
        <v>1.1000000000000001</v>
      </c>
      <c r="H607" s="12">
        <v>1218</v>
      </c>
      <c r="I607" s="9">
        <f t="shared" si="18"/>
        <v>209.35960591133005</v>
      </c>
      <c r="J607" s="3" t="str">
        <f t="shared" si="19"/>
        <v>Medium</v>
      </c>
    </row>
    <row r="608" spans="1:10">
      <c r="A608" s="4" t="s">
        <v>656</v>
      </c>
      <c r="B608" s="4" t="s">
        <v>70</v>
      </c>
      <c r="C608" s="4" t="s">
        <v>12</v>
      </c>
      <c r="D608" s="21">
        <v>255000</v>
      </c>
      <c r="E608" s="4">
        <v>13</v>
      </c>
      <c r="F608" s="4">
        <v>3</v>
      </c>
      <c r="G608" s="4">
        <v>2</v>
      </c>
      <c r="H608" s="10">
        <v>1259</v>
      </c>
      <c r="I608" s="11">
        <f t="shared" si="18"/>
        <v>202.54169976171565</v>
      </c>
      <c r="J608" s="3" t="str">
        <f t="shared" si="19"/>
        <v>Medium</v>
      </c>
    </row>
    <row r="609" spans="1:10">
      <c r="A609" s="7" t="s">
        <v>657</v>
      </c>
      <c r="B609" s="7" t="s">
        <v>212</v>
      </c>
      <c r="C609" s="7" t="s">
        <v>12</v>
      </c>
      <c r="D609" s="22">
        <v>255000</v>
      </c>
      <c r="E609" s="7">
        <v>66</v>
      </c>
      <c r="F609" s="7">
        <v>3</v>
      </c>
      <c r="G609" s="7">
        <v>1</v>
      </c>
      <c r="H609" s="12">
        <v>1162</v>
      </c>
      <c r="I609" s="9">
        <f t="shared" si="18"/>
        <v>219.44922547332186</v>
      </c>
      <c r="J609" s="3" t="str">
        <f t="shared" si="19"/>
        <v>Medium</v>
      </c>
    </row>
    <row r="610" spans="1:10">
      <c r="A610" s="4" t="s">
        <v>658</v>
      </c>
      <c r="B610" s="4" t="s">
        <v>11</v>
      </c>
      <c r="C610" s="4" t="s">
        <v>12</v>
      </c>
      <c r="D610" s="21">
        <v>255000</v>
      </c>
      <c r="E610" s="4">
        <v>21</v>
      </c>
      <c r="F610" s="4">
        <v>3</v>
      </c>
      <c r="G610" s="4">
        <v>1.1000000000000001</v>
      </c>
      <c r="H610" s="10">
        <v>1154</v>
      </c>
      <c r="I610" s="11">
        <f t="shared" si="18"/>
        <v>220.97053726169844</v>
      </c>
      <c r="J610" s="3" t="str">
        <f t="shared" si="19"/>
        <v>Medium</v>
      </c>
    </row>
    <row r="611" spans="1:10">
      <c r="A611" s="7" t="s">
        <v>659</v>
      </c>
      <c r="B611" s="7" t="s">
        <v>83</v>
      </c>
      <c r="C611" s="7" t="s">
        <v>12</v>
      </c>
      <c r="D611" s="22">
        <v>255000</v>
      </c>
      <c r="E611" s="7">
        <v>62</v>
      </c>
      <c r="F611" s="7">
        <v>3</v>
      </c>
      <c r="G611" s="7">
        <v>2</v>
      </c>
      <c r="H611" s="12">
        <v>1180</v>
      </c>
      <c r="I611" s="9">
        <f t="shared" si="18"/>
        <v>216.10169491525423</v>
      </c>
      <c r="J611" s="3" t="str">
        <f t="shared" si="19"/>
        <v>Medium</v>
      </c>
    </row>
    <row r="612" spans="1:10">
      <c r="A612" s="4" t="s">
        <v>660</v>
      </c>
      <c r="B612" s="4" t="s">
        <v>398</v>
      </c>
      <c r="C612" s="4" t="s">
        <v>12</v>
      </c>
      <c r="D612" s="21">
        <v>255000</v>
      </c>
      <c r="E612" s="4">
        <v>34</v>
      </c>
      <c r="F612" s="4">
        <v>3</v>
      </c>
      <c r="G612" s="4">
        <v>2.1</v>
      </c>
      <c r="H612" s="10">
        <v>1579</v>
      </c>
      <c r="I612" s="11">
        <f t="shared" si="18"/>
        <v>161.49461684610512</v>
      </c>
      <c r="J612" s="3" t="str">
        <f t="shared" si="19"/>
        <v>Low</v>
      </c>
    </row>
    <row r="613" spans="1:10">
      <c r="A613" s="7" t="s">
        <v>661</v>
      </c>
      <c r="B613" s="7" t="s">
        <v>42</v>
      </c>
      <c r="C613" s="7" t="s">
        <v>12</v>
      </c>
      <c r="D613" s="22">
        <v>255000</v>
      </c>
      <c r="E613" s="7">
        <v>50</v>
      </c>
      <c r="F613" s="7">
        <v>3</v>
      </c>
      <c r="G613" s="7">
        <v>1.3</v>
      </c>
      <c r="H613" s="12">
        <v>1009</v>
      </c>
      <c r="I613" s="9">
        <f t="shared" si="18"/>
        <v>252.72547076313182</v>
      </c>
      <c r="J613" s="3" t="str">
        <f t="shared" si="19"/>
        <v>Medium</v>
      </c>
    </row>
    <row r="614" spans="1:10">
      <c r="A614" s="4" t="s">
        <v>662</v>
      </c>
      <c r="B614" s="4" t="s">
        <v>384</v>
      </c>
      <c r="C614" s="4" t="s">
        <v>12</v>
      </c>
      <c r="D614" s="21">
        <v>255000</v>
      </c>
      <c r="E614" s="4">
        <v>26</v>
      </c>
      <c r="F614" s="4">
        <v>3</v>
      </c>
      <c r="G614" s="4">
        <v>1.1000000000000001</v>
      </c>
      <c r="H614" s="10">
        <v>1176</v>
      </c>
      <c r="I614" s="11">
        <f t="shared" si="18"/>
        <v>216.83673469387756</v>
      </c>
      <c r="J614" s="3" t="str">
        <f t="shared" si="19"/>
        <v>Medium</v>
      </c>
    </row>
    <row r="615" spans="1:10">
      <c r="A615" s="7" t="s">
        <v>663</v>
      </c>
      <c r="B615" s="7" t="s">
        <v>42</v>
      </c>
      <c r="C615" s="7" t="s">
        <v>12</v>
      </c>
      <c r="D615" s="22">
        <v>255000</v>
      </c>
      <c r="E615" s="7">
        <v>8</v>
      </c>
      <c r="F615" s="7">
        <v>3</v>
      </c>
      <c r="G615" s="7">
        <v>2</v>
      </c>
      <c r="H615" s="12">
        <v>1470</v>
      </c>
      <c r="I615" s="9">
        <f t="shared" si="18"/>
        <v>173.46938775510205</v>
      </c>
      <c r="J615" s="3" t="str">
        <f t="shared" si="19"/>
        <v>Low</v>
      </c>
    </row>
    <row r="616" spans="1:10">
      <c r="A616" s="4" t="s">
        <v>664</v>
      </c>
      <c r="B616" s="4" t="s">
        <v>212</v>
      </c>
      <c r="C616" s="4" t="s">
        <v>12</v>
      </c>
      <c r="D616" s="21">
        <v>255000</v>
      </c>
      <c r="E616" s="4">
        <v>34</v>
      </c>
      <c r="F616" s="4">
        <v>3</v>
      </c>
      <c r="G616" s="4">
        <v>2</v>
      </c>
      <c r="H616" s="10">
        <v>1166</v>
      </c>
      <c r="I616" s="11">
        <f t="shared" si="18"/>
        <v>218.69639794168097</v>
      </c>
      <c r="J616" s="3" t="str">
        <f t="shared" si="19"/>
        <v>Medium</v>
      </c>
    </row>
    <row r="617" spans="1:10">
      <c r="A617" s="7" t="s">
        <v>665</v>
      </c>
      <c r="B617" s="7" t="s">
        <v>11</v>
      </c>
      <c r="C617" s="7" t="s">
        <v>12</v>
      </c>
      <c r="D617" s="22">
        <v>255000</v>
      </c>
      <c r="E617" s="7">
        <v>35</v>
      </c>
      <c r="F617" s="7">
        <v>3</v>
      </c>
      <c r="G617" s="7">
        <v>1.1000000000000001</v>
      </c>
      <c r="H617" s="12">
        <v>1050</v>
      </c>
      <c r="I617" s="9">
        <f t="shared" si="18"/>
        <v>242.85714285714286</v>
      </c>
      <c r="J617" s="3" t="str">
        <f t="shared" si="19"/>
        <v>Medium</v>
      </c>
    </row>
    <row r="618" spans="1:10">
      <c r="A618" s="4" t="s">
        <v>666</v>
      </c>
      <c r="B618" s="4" t="s">
        <v>56</v>
      </c>
      <c r="C618" s="4" t="s">
        <v>12</v>
      </c>
      <c r="D618" s="21">
        <v>255000</v>
      </c>
      <c r="E618" s="4">
        <v>152</v>
      </c>
      <c r="F618" s="4">
        <v>3</v>
      </c>
      <c r="G618" s="4">
        <v>1</v>
      </c>
      <c r="H618" s="4">
        <v>991</v>
      </c>
      <c r="I618" s="11">
        <f t="shared" si="18"/>
        <v>257.31584258324926</v>
      </c>
      <c r="J618" s="3" t="str">
        <f t="shared" si="19"/>
        <v>Medium</v>
      </c>
    </row>
    <row r="619" spans="1:10">
      <c r="A619" s="7" t="s">
        <v>667</v>
      </c>
      <c r="B619" s="7" t="s">
        <v>363</v>
      </c>
      <c r="C619" s="7" t="s">
        <v>12</v>
      </c>
      <c r="D619" s="22">
        <v>255000</v>
      </c>
      <c r="E619" s="7">
        <v>7</v>
      </c>
      <c r="F619" s="7">
        <v>3</v>
      </c>
      <c r="G619" s="7">
        <v>1</v>
      </c>
      <c r="H619" s="12">
        <v>1050</v>
      </c>
      <c r="I619" s="9">
        <f t="shared" si="18"/>
        <v>242.85714285714286</v>
      </c>
      <c r="J619" s="3" t="str">
        <f t="shared" si="19"/>
        <v>Medium</v>
      </c>
    </row>
    <row r="620" spans="1:10">
      <c r="A620" s="4" t="s">
        <v>668</v>
      </c>
      <c r="B620" s="4" t="s">
        <v>29</v>
      </c>
      <c r="C620" s="4" t="s">
        <v>12</v>
      </c>
      <c r="D620" s="21">
        <v>255000</v>
      </c>
      <c r="E620" s="4">
        <v>67</v>
      </c>
      <c r="F620" s="4">
        <v>3</v>
      </c>
      <c r="G620" s="4">
        <v>2</v>
      </c>
      <c r="H620" s="4">
        <v>861</v>
      </c>
      <c r="I620" s="11">
        <f t="shared" si="18"/>
        <v>296.16724738675958</v>
      </c>
      <c r="J620" s="3" t="str">
        <f t="shared" si="19"/>
        <v>Medium</v>
      </c>
    </row>
    <row r="621" spans="1:10">
      <c r="A621" s="7" t="s">
        <v>669</v>
      </c>
      <c r="B621" s="7" t="s">
        <v>70</v>
      </c>
      <c r="C621" s="7" t="s">
        <v>12</v>
      </c>
      <c r="D621" s="22">
        <v>256000</v>
      </c>
      <c r="E621" s="7">
        <v>3</v>
      </c>
      <c r="F621" s="7">
        <v>3</v>
      </c>
      <c r="G621" s="7">
        <v>1.1000000000000001</v>
      </c>
      <c r="H621" s="12">
        <v>1215</v>
      </c>
      <c r="I621" s="9">
        <f t="shared" si="18"/>
        <v>210.69958847736626</v>
      </c>
      <c r="J621" s="3" t="str">
        <f t="shared" si="19"/>
        <v>Medium</v>
      </c>
    </row>
    <row r="622" spans="1:10">
      <c r="A622" s="4" t="s">
        <v>670</v>
      </c>
      <c r="B622" s="4" t="s">
        <v>93</v>
      </c>
      <c r="C622" s="4" t="s">
        <v>12</v>
      </c>
      <c r="D622" s="21">
        <v>256000</v>
      </c>
      <c r="E622" s="4">
        <v>89</v>
      </c>
      <c r="F622" s="4">
        <v>3</v>
      </c>
      <c r="G622" s="4">
        <v>1</v>
      </c>
      <c r="H622" s="4">
        <v>888</v>
      </c>
      <c r="I622" s="11">
        <f t="shared" si="18"/>
        <v>288.2882882882883</v>
      </c>
      <c r="J622" s="3" t="str">
        <f t="shared" si="19"/>
        <v>Medium</v>
      </c>
    </row>
    <row r="623" spans="1:10">
      <c r="A623" s="7" t="s">
        <v>671</v>
      </c>
      <c r="B623" s="7" t="s">
        <v>83</v>
      </c>
      <c r="C623" s="7" t="s">
        <v>12</v>
      </c>
      <c r="D623" s="22">
        <v>256499</v>
      </c>
      <c r="E623" s="7">
        <v>3</v>
      </c>
      <c r="F623" s="7">
        <v>3</v>
      </c>
      <c r="G623" s="7">
        <v>1.1000000000000001</v>
      </c>
      <c r="H623" s="12">
        <v>1021</v>
      </c>
      <c r="I623" s="9">
        <f t="shared" si="18"/>
        <v>251.22331047992165</v>
      </c>
      <c r="J623" s="3" t="str">
        <f t="shared" si="19"/>
        <v>Medium</v>
      </c>
    </row>
    <row r="624" spans="1:10">
      <c r="A624" s="4" t="s">
        <v>672</v>
      </c>
      <c r="B624" s="4" t="s">
        <v>83</v>
      </c>
      <c r="C624" s="4" t="s">
        <v>12</v>
      </c>
      <c r="D624" s="21">
        <v>256500</v>
      </c>
      <c r="E624" s="4">
        <v>9</v>
      </c>
      <c r="F624" s="4">
        <v>3</v>
      </c>
      <c r="G624" s="4">
        <v>1.1000000000000001</v>
      </c>
      <c r="H624" s="4">
        <v>960</v>
      </c>
      <c r="I624" s="11">
        <f t="shared" si="18"/>
        <v>267.1875</v>
      </c>
      <c r="J624" s="3" t="str">
        <f t="shared" si="19"/>
        <v>Medium</v>
      </c>
    </row>
    <row r="625" spans="1:10">
      <c r="A625" s="7" t="s">
        <v>673</v>
      </c>
      <c r="B625" s="7" t="s">
        <v>11</v>
      </c>
      <c r="C625" s="7" t="s">
        <v>12</v>
      </c>
      <c r="D625" s="22">
        <v>257000</v>
      </c>
      <c r="E625" s="7">
        <v>12</v>
      </c>
      <c r="F625" s="7">
        <v>3</v>
      </c>
      <c r="G625" s="7">
        <v>1</v>
      </c>
      <c r="H625" s="12">
        <v>1026</v>
      </c>
      <c r="I625" s="9">
        <f t="shared" si="18"/>
        <v>250.48732943469787</v>
      </c>
      <c r="J625" s="3" t="str">
        <f t="shared" si="19"/>
        <v>Medium</v>
      </c>
    </row>
    <row r="626" spans="1:10">
      <c r="A626" s="4" t="s">
        <v>674</v>
      </c>
      <c r="B626" s="4" t="s">
        <v>42</v>
      </c>
      <c r="C626" s="4" t="s">
        <v>12</v>
      </c>
      <c r="D626" s="21">
        <v>257000</v>
      </c>
      <c r="E626" s="4">
        <v>6</v>
      </c>
      <c r="F626" s="4">
        <v>3</v>
      </c>
      <c r="G626" s="4">
        <v>1.1000000000000001</v>
      </c>
      <c r="H626" s="10">
        <v>1056</v>
      </c>
      <c r="I626" s="11">
        <f t="shared" si="18"/>
        <v>243.37121212121212</v>
      </c>
      <c r="J626" s="3" t="str">
        <f t="shared" si="19"/>
        <v>Medium</v>
      </c>
    </row>
    <row r="627" spans="1:10">
      <c r="A627" s="7" t="s">
        <v>675</v>
      </c>
      <c r="B627" s="7" t="s">
        <v>212</v>
      </c>
      <c r="C627" s="7" t="s">
        <v>12</v>
      </c>
      <c r="D627" s="22">
        <v>257000</v>
      </c>
      <c r="E627" s="7">
        <v>2</v>
      </c>
      <c r="F627" s="7">
        <v>3</v>
      </c>
      <c r="G627" s="7">
        <v>2</v>
      </c>
      <c r="H627" s="7">
        <v>1200</v>
      </c>
      <c r="I627" s="9">
        <f t="shared" si="18"/>
        <v>214.16666666666666</v>
      </c>
      <c r="J627" s="3" t="str">
        <f t="shared" si="19"/>
        <v>Medium</v>
      </c>
    </row>
    <row r="628" spans="1:10">
      <c r="A628" s="4" t="s">
        <v>676</v>
      </c>
      <c r="B628" s="4" t="s">
        <v>191</v>
      </c>
      <c r="C628" s="4" t="s">
        <v>12</v>
      </c>
      <c r="D628" s="21">
        <v>257500</v>
      </c>
      <c r="E628" s="4">
        <v>64</v>
      </c>
      <c r="F628" s="4">
        <v>4</v>
      </c>
      <c r="G628" s="4">
        <v>2.1</v>
      </c>
      <c r="H628" s="10">
        <v>1610</v>
      </c>
      <c r="I628" s="11">
        <f t="shared" si="18"/>
        <v>159.93788819875778</v>
      </c>
      <c r="J628" s="3" t="str">
        <f t="shared" si="19"/>
        <v>Low</v>
      </c>
    </row>
    <row r="629" spans="1:10">
      <c r="A629" s="7" t="s">
        <v>677</v>
      </c>
      <c r="B629" s="7" t="s">
        <v>70</v>
      </c>
      <c r="C629" s="7" t="s">
        <v>12</v>
      </c>
      <c r="D629" s="22">
        <v>258600</v>
      </c>
      <c r="E629" s="7">
        <v>38</v>
      </c>
      <c r="F629" s="7">
        <v>3</v>
      </c>
      <c r="G629" s="7">
        <v>1.1000000000000001</v>
      </c>
      <c r="H629" s="12">
        <v>1260</v>
      </c>
      <c r="I629" s="9">
        <f t="shared" si="18"/>
        <v>205.23809523809524</v>
      </c>
      <c r="J629" s="3" t="str">
        <f t="shared" si="19"/>
        <v>Medium</v>
      </c>
    </row>
    <row r="630" spans="1:10">
      <c r="A630" s="4" t="s">
        <v>678</v>
      </c>
      <c r="B630" s="4" t="s">
        <v>679</v>
      </c>
      <c r="C630" s="4" t="s">
        <v>12</v>
      </c>
      <c r="D630" s="21">
        <v>259000</v>
      </c>
      <c r="E630" s="4">
        <v>16</v>
      </c>
      <c r="F630" s="4">
        <v>3</v>
      </c>
      <c r="G630" s="4">
        <v>2</v>
      </c>
      <c r="H630" s="4">
        <v>882</v>
      </c>
      <c r="I630" s="11">
        <f t="shared" si="18"/>
        <v>293.65079365079367</v>
      </c>
      <c r="J630" s="3" t="str">
        <f t="shared" si="19"/>
        <v>Medium</v>
      </c>
    </row>
    <row r="631" spans="1:10">
      <c r="A631" s="7" t="s">
        <v>680</v>
      </c>
      <c r="B631" s="7" t="s">
        <v>11</v>
      </c>
      <c r="C631" s="7" t="s">
        <v>12</v>
      </c>
      <c r="D631" s="22">
        <v>259900</v>
      </c>
      <c r="E631" s="7">
        <v>4</v>
      </c>
      <c r="F631" s="7">
        <v>3</v>
      </c>
      <c r="G631" s="7">
        <v>2</v>
      </c>
      <c r="H631" s="12">
        <v>1853</v>
      </c>
      <c r="I631" s="9">
        <f t="shared" si="18"/>
        <v>140.25903939557475</v>
      </c>
      <c r="J631" s="3" t="str">
        <f t="shared" si="19"/>
        <v>Low</v>
      </c>
    </row>
    <row r="632" spans="1:10">
      <c r="A632" s="4" t="s">
        <v>681</v>
      </c>
      <c r="B632" s="4" t="s">
        <v>73</v>
      </c>
      <c r="C632" s="4" t="s">
        <v>12</v>
      </c>
      <c r="D632" s="21">
        <v>259900</v>
      </c>
      <c r="E632" s="4">
        <v>48</v>
      </c>
      <c r="F632" s="4">
        <v>3</v>
      </c>
      <c r="G632" s="4">
        <v>2.1</v>
      </c>
      <c r="H632" s="10">
        <v>1724</v>
      </c>
      <c r="I632" s="11">
        <f t="shared" si="18"/>
        <v>150.75406032482599</v>
      </c>
      <c r="J632" s="3" t="str">
        <f t="shared" si="19"/>
        <v>Low</v>
      </c>
    </row>
    <row r="633" spans="1:10">
      <c r="A633" s="7" t="s">
        <v>682</v>
      </c>
      <c r="B633" s="7" t="s">
        <v>73</v>
      </c>
      <c r="C633" s="7" t="s">
        <v>12</v>
      </c>
      <c r="D633" s="22">
        <v>259999</v>
      </c>
      <c r="E633" s="7">
        <v>59</v>
      </c>
      <c r="F633" s="7">
        <v>3</v>
      </c>
      <c r="G633" s="7">
        <v>2</v>
      </c>
      <c r="H633" s="12">
        <v>1511</v>
      </c>
      <c r="I633" s="9">
        <f t="shared" si="18"/>
        <v>172.07081403044342</v>
      </c>
      <c r="J633" s="3" t="str">
        <f t="shared" si="19"/>
        <v>Low</v>
      </c>
    </row>
    <row r="634" spans="1:10">
      <c r="A634" s="4" t="s">
        <v>683</v>
      </c>
      <c r="B634" s="4" t="s">
        <v>42</v>
      </c>
      <c r="C634" s="4" t="s">
        <v>12</v>
      </c>
      <c r="D634" s="21">
        <v>260000</v>
      </c>
      <c r="E634" s="4">
        <v>8</v>
      </c>
      <c r="F634" s="4">
        <v>3</v>
      </c>
      <c r="G634" s="4">
        <v>1</v>
      </c>
      <c r="H634" s="10">
        <v>1008</v>
      </c>
      <c r="I634" s="11">
        <f t="shared" si="18"/>
        <v>257.93650793650795</v>
      </c>
      <c r="J634" s="3" t="str">
        <f t="shared" si="19"/>
        <v>Medium</v>
      </c>
    </row>
    <row r="635" spans="1:10">
      <c r="A635" s="7" t="s">
        <v>684</v>
      </c>
      <c r="B635" s="7" t="s">
        <v>331</v>
      </c>
      <c r="C635" s="7" t="s">
        <v>12</v>
      </c>
      <c r="D635" s="22">
        <v>260000</v>
      </c>
      <c r="E635" s="7">
        <v>8</v>
      </c>
      <c r="F635" s="7">
        <v>3</v>
      </c>
      <c r="G635" s="7">
        <v>2</v>
      </c>
      <c r="H635" s="12">
        <v>1192</v>
      </c>
      <c r="I635" s="9">
        <f t="shared" si="18"/>
        <v>218.12080536912751</v>
      </c>
      <c r="J635" s="3" t="str">
        <f t="shared" si="19"/>
        <v>Medium</v>
      </c>
    </row>
    <row r="636" spans="1:10">
      <c r="A636" s="4" t="s">
        <v>685</v>
      </c>
      <c r="B636" s="4" t="s">
        <v>282</v>
      </c>
      <c r="C636" s="4" t="s">
        <v>12</v>
      </c>
      <c r="D636" s="21">
        <v>260000</v>
      </c>
      <c r="E636" s="4">
        <v>5</v>
      </c>
      <c r="F636" s="4">
        <v>2</v>
      </c>
      <c r="G636" s="4">
        <v>1</v>
      </c>
      <c r="H636" s="4">
        <v>817</v>
      </c>
      <c r="I636" s="11">
        <f t="shared" si="18"/>
        <v>318.23745410036719</v>
      </c>
      <c r="J636" s="3" t="str">
        <f t="shared" si="19"/>
        <v>High</v>
      </c>
    </row>
    <row r="637" spans="1:10">
      <c r="A637" s="7" t="s">
        <v>686</v>
      </c>
      <c r="B637" s="7" t="s">
        <v>73</v>
      </c>
      <c r="C637" s="7" t="s">
        <v>12</v>
      </c>
      <c r="D637" s="22">
        <v>260000</v>
      </c>
      <c r="E637" s="7">
        <v>34</v>
      </c>
      <c r="F637" s="7">
        <v>3</v>
      </c>
      <c r="G637" s="7">
        <v>1.1000000000000001</v>
      </c>
      <c r="H637" s="12">
        <v>1878</v>
      </c>
      <c r="I637" s="9">
        <f t="shared" si="18"/>
        <v>138.44515441959533</v>
      </c>
      <c r="J637" s="3" t="str">
        <f t="shared" si="19"/>
        <v>Low</v>
      </c>
    </row>
    <row r="638" spans="1:10">
      <c r="A638" s="4" t="s">
        <v>687</v>
      </c>
      <c r="B638" s="4" t="s">
        <v>83</v>
      </c>
      <c r="C638" s="4" t="s">
        <v>12</v>
      </c>
      <c r="D638" s="21">
        <v>260000</v>
      </c>
      <c r="E638" s="4">
        <v>5</v>
      </c>
      <c r="F638" s="4">
        <v>3</v>
      </c>
      <c r="G638" s="4">
        <v>2</v>
      </c>
      <c r="H638" s="10">
        <v>1036</v>
      </c>
      <c r="I638" s="11">
        <f t="shared" si="18"/>
        <v>250.96525096525096</v>
      </c>
      <c r="J638" s="3" t="str">
        <f t="shared" si="19"/>
        <v>Medium</v>
      </c>
    </row>
    <row r="639" spans="1:10">
      <c r="A639" s="7" t="s">
        <v>688</v>
      </c>
      <c r="B639" s="7" t="s">
        <v>73</v>
      </c>
      <c r="C639" s="7" t="s">
        <v>12</v>
      </c>
      <c r="D639" s="22">
        <v>260000</v>
      </c>
      <c r="E639" s="7">
        <v>5</v>
      </c>
      <c r="F639" s="7">
        <v>4</v>
      </c>
      <c r="G639" s="7">
        <v>2</v>
      </c>
      <c r="H639" s="12">
        <v>1607</v>
      </c>
      <c r="I639" s="9">
        <f t="shared" si="18"/>
        <v>161.79215930304915</v>
      </c>
      <c r="J639" s="3" t="str">
        <f t="shared" si="19"/>
        <v>Low</v>
      </c>
    </row>
    <row r="640" spans="1:10">
      <c r="A640" s="4" t="s">
        <v>689</v>
      </c>
      <c r="B640" s="4" t="s">
        <v>70</v>
      </c>
      <c r="C640" s="4" t="s">
        <v>12</v>
      </c>
      <c r="D640" s="21">
        <v>260000</v>
      </c>
      <c r="E640" s="4">
        <v>2</v>
      </c>
      <c r="F640" s="4">
        <v>4</v>
      </c>
      <c r="G640" s="4">
        <v>3</v>
      </c>
      <c r="H640" s="10">
        <v>1934</v>
      </c>
      <c r="I640" s="11">
        <f t="shared" si="18"/>
        <v>134.4364012409514</v>
      </c>
      <c r="J640" s="3" t="str">
        <f t="shared" si="19"/>
        <v>Low</v>
      </c>
    </row>
    <row r="641" spans="1:10">
      <c r="A641" s="7" t="s">
        <v>690</v>
      </c>
      <c r="B641" s="7" t="s">
        <v>56</v>
      </c>
      <c r="C641" s="7" t="s">
        <v>12</v>
      </c>
      <c r="D641" s="22">
        <v>260000</v>
      </c>
      <c r="E641" s="7">
        <v>13</v>
      </c>
      <c r="F641" s="7">
        <v>3</v>
      </c>
      <c r="G641" s="7">
        <v>1.1000000000000001</v>
      </c>
      <c r="H641" s="12">
        <v>1386</v>
      </c>
      <c r="I641" s="9">
        <f t="shared" si="18"/>
        <v>187.59018759018758</v>
      </c>
      <c r="J641" s="3" t="str">
        <f t="shared" si="19"/>
        <v>Low</v>
      </c>
    </row>
    <row r="642" spans="1:10">
      <c r="A642" s="4" t="s">
        <v>691</v>
      </c>
      <c r="B642" s="4" t="s">
        <v>42</v>
      </c>
      <c r="C642" s="4" t="s">
        <v>12</v>
      </c>
      <c r="D642" s="21">
        <v>260000</v>
      </c>
      <c r="E642" s="4">
        <v>35</v>
      </c>
      <c r="F642" s="4">
        <v>3</v>
      </c>
      <c r="G642" s="4">
        <v>2</v>
      </c>
      <c r="H642" s="10">
        <v>1668</v>
      </c>
      <c r="I642" s="11">
        <f t="shared" ref="I642:I705" si="20">D642/H642</f>
        <v>155.87529976019184</v>
      </c>
      <c r="J642" s="3" t="str">
        <f t="shared" ref="J642:J705" si="21">IF(I642 &gt; 300, "High", IF(AND(I642 &lt;= 300, I642 &gt; 200), "Medium", "Low"))</f>
        <v>Low</v>
      </c>
    </row>
    <row r="643" spans="1:10">
      <c r="A643" s="7" t="s">
        <v>692</v>
      </c>
      <c r="B643" s="7" t="s">
        <v>363</v>
      </c>
      <c r="C643" s="7" t="s">
        <v>12</v>
      </c>
      <c r="D643" s="22">
        <v>260000</v>
      </c>
      <c r="E643" s="7">
        <v>20</v>
      </c>
      <c r="F643" s="7">
        <v>3</v>
      </c>
      <c r="G643" s="7">
        <v>1</v>
      </c>
      <c r="H643" s="7">
        <v>922</v>
      </c>
      <c r="I643" s="9">
        <f t="shared" si="20"/>
        <v>281.99566160520607</v>
      </c>
      <c r="J643" s="3" t="str">
        <f t="shared" si="21"/>
        <v>Medium</v>
      </c>
    </row>
    <row r="644" spans="1:10">
      <c r="A644" s="4" t="s">
        <v>693</v>
      </c>
      <c r="B644" s="4" t="s">
        <v>400</v>
      </c>
      <c r="C644" s="4" t="s">
        <v>12</v>
      </c>
      <c r="D644" s="21">
        <v>260000</v>
      </c>
      <c r="E644" s="4">
        <v>72</v>
      </c>
      <c r="F644" s="4">
        <v>2</v>
      </c>
      <c r="G644" s="4">
        <v>1</v>
      </c>
      <c r="H644" s="4">
        <v>742</v>
      </c>
      <c r="I644" s="11">
        <f t="shared" si="20"/>
        <v>350.4043126684636</v>
      </c>
      <c r="J644" s="3" t="str">
        <f t="shared" si="21"/>
        <v>High</v>
      </c>
    </row>
    <row r="645" spans="1:10">
      <c r="A645" s="7" t="s">
        <v>694</v>
      </c>
      <c r="B645" s="7" t="s">
        <v>331</v>
      </c>
      <c r="C645" s="7" t="s">
        <v>12</v>
      </c>
      <c r="D645" s="22">
        <v>260000</v>
      </c>
      <c r="E645" s="7">
        <v>28</v>
      </c>
      <c r="F645" s="7">
        <v>4</v>
      </c>
      <c r="G645" s="7">
        <v>2</v>
      </c>
      <c r="H645" s="12">
        <v>1274</v>
      </c>
      <c r="I645" s="9">
        <f t="shared" si="20"/>
        <v>204.08163265306123</v>
      </c>
      <c r="J645" s="3" t="str">
        <f t="shared" si="21"/>
        <v>Medium</v>
      </c>
    </row>
    <row r="646" spans="1:10">
      <c r="A646" s="4" t="s">
        <v>695</v>
      </c>
      <c r="B646" s="4" t="s">
        <v>42</v>
      </c>
      <c r="C646" s="4" t="s">
        <v>12</v>
      </c>
      <c r="D646" s="21">
        <v>260000</v>
      </c>
      <c r="E646" s="4">
        <v>139</v>
      </c>
      <c r="F646" s="4">
        <v>3</v>
      </c>
      <c r="G646" s="4">
        <v>1.1000000000000001</v>
      </c>
      <c r="H646" s="10">
        <v>1550</v>
      </c>
      <c r="I646" s="11">
        <f t="shared" si="20"/>
        <v>167.74193548387098</v>
      </c>
      <c r="J646" s="3" t="str">
        <f t="shared" si="21"/>
        <v>Low</v>
      </c>
    </row>
    <row r="647" spans="1:10">
      <c r="A647" s="7" t="s">
        <v>696</v>
      </c>
      <c r="B647" s="7" t="s">
        <v>73</v>
      </c>
      <c r="C647" s="7" t="s">
        <v>12</v>
      </c>
      <c r="D647" s="22">
        <v>260000</v>
      </c>
      <c r="E647" s="7">
        <v>141</v>
      </c>
      <c r="F647" s="7">
        <v>3</v>
      </c>
      <c r="G647" s="7">
        <v>2</v>
      </c>
      <c r="H647" s="12">
        <v>1585</v>
      </c>
      <c r="I647" s="9">
        <f t="shared" si="20"/>
        <v>164.03785488958991</v>
      </c>
      <c r="J647" s="3" t="str">
        <f t="shared" si="21"/>
        <v>Low</v>
      </c>
    </row>
    <row r="648" spans="1:10">
      <c r="A648" s="4" t="s">
        <v>697</v>
      </c>
      <c r="B648" s="4" t="s">
        <v>212</v>
      </c>
      <c r="C648" s="4" t="s">
        <v>12</v>
      </c>
      <c r="D648" s="21">
        <v>260500</v>
      </c>
      <c r="E648" s="4">
        <v>3</v>
      </c>
      <c r="F648" s="4">
        <v>3</v>
      </c>
      <c r="G648" s="4">
        <v>1</v>
      </c>
      <c r="H648" s="10">
        <v>1008</v>
      </c>
      <c r="I648" s="11">
        <f t="shared" si="20"/>
        <v>258.4325396825397</v>
      </c>
      <c r="J648" s="3" t="str">
        <f t="shared" si="21"/>
        <v>Medium</v>
      </c>
    </row>
    <row r="649" spans="1:10">
      <c r="A649" s="7" t="s">
        <v>698</v>
      </c>
      <c r="B649" s="7" t="s">
        <v>282</v>
      </c>
      <c r="C649" s="7" t="s">
        <v>12</v>
      </c>
      <c r="D649" s="22">
        <v>261000</v>
      </c>
      <c r="E649" s="7">
        <v>3</v>
      </c>
      <c r="F649" s="7">
        <v>3</v>
      </c>
      <c r="G649" s="7">
        <v>1</v>
      </c>
      <c r="H649" s="7">
        <v>890</v>
      </c>
      <c r="I649" s="9">
        <f t="shared" si="20"/>
        <v>293.25842696629212</v>
      </c>
      <c r="J649" s="3" t="str">
        <f t="shared" si="21"/>
        <v>Medium</v>
      </c>
    </row>
    <row r="650" spans="1:10">
      <c r="A650" s="4" t="s">
        <v>699</v>
      </c>
      <c r="B650" s="4" t="s">
        <v>73</v>
      </c>
      <c r="C650" s="4" t="s">
        <v>12</v>
      </c>
      <c r="D650" s="21">
        <v>261000</v>
      </c>
      <c r="E650" s="4">
        <v>42</v>
      </c>
      <c r="F650" s="4">
        <v>3</v>
      </c>
      <c r="G650" s="4">
        <v>1.1000000000000001</v>
      </c>
      <c r="H650" s="10">
        <v>1247</v>
      </c>
      <c r="I650" s="11">
        <f t="shared" si="20"/>
        <v>209.30232558139534</v>
      </c>
      <c r="J650" s="3" t="str">
        <f t="shared" si="21"/>
        <v>Medium</v>
      </c>
    </row>
    <row r="651" spans="1:10">
      <c r="A651" s="7" t="s">
        <v>700</v>
      </c>
      <c r="B651" s="7" t="s">
        <v>56</v>
      </c>
      <c r="C651" s="7" t="s">
        <v>12</v>
      </c>
      <c r="D651" s="22">
        <v>262000</v>
      </c>
      <c r="E651" s="7">
        <v>102</v>
      </c>
      <c r="F651" s="7">
        <v>3</v>
      </c>
      <c r="G651" s="7">
        <v>1</v>
      </c>
      <c r="H651" s="12">
        <v>1044</v>
      </c>
      <c r="I651" s="9">
        <f t="shared" si="20"/>
        <v>250.95785440613028</v>
      </c>
      <c r="J651" s="3" t="str">
        <f t="shared" si="21"/>
        <v>Medium</v>
      </c>
    </row>
    <row r="652" spans="1:10">
      <c r="A652" s="4" t="s">
        <v>701</v>
      </c>
      <c r="B652" s="4" t="s">
        <v>16</v>
      </c>
      <c r="C652" s="4" t="s">
        <v>12</v>
      </c>
      <c r="D652" s="21">
        <v>262500</v>
      </c>
      <c r="E652" s="4">
        <v>7</v>
      </c>
      <c r="F652" s="4">
        <v>3</v>
      </c>
      <c r="G652" s="4">
        <v>1.1000000000000001</v>
      </c>
      <c r="H652" s="10">
        <v>1639</v>
      </c>
      <c r="I652" s="11">
        <f t="shared" si="20"/>
        <v>160.15863331299573</v>
      </c>
      <c r="J652" s="3" t="str">
        <f t="shared" si="21"/>
        <v>Low</v>
      </c>
    </row>
    <row r="653" spans="1:10">
      <c r="A653" s="7" t="s">
        <v>702</v>
      </c>
      <c r="B653" s="7" t="s">
        <v>29</v>
      </c>
      <c r="C653" s="7" t="s">
        <v>12</v>
      </c>
      <c r="D653" s="22">
        <v>262500</v>
      </c>
      <c r="E653" s="7">
        <v>47</v>
      </c>
      <c r="F653" s="7">
        <v>3</v>
      </c>
      <c r="G653" s="7">
        <v>2</v>
      </c>
      <c r="H653" s="12">
        <v>1516</v>
      </c>
      <c r="I653" s="9">
        <f t="shared" si="20"/>
        <v>173.15303430079155</v>
      </c>
      <c r="J653" s="3" t="str">
        <f t="shared" si="21"/>
        <v>Low</v>
      </c>
    </row>
    <row r="654" spans="1:10">
      <c r="A654" s="4" t="s">
        <v>703</v>
      </c>
      <c r="B654" s="4" t="s">
        <v>42</v>
      </c>
      <c r="C654" s="4" t="s">
        <v>12</v>
      </c>
      <c r="D654" s="21">
        <v>262900</v>
      </c>
      <c r="E654" s="4">
        <v>15</v>
      </c>
      <c r="F654" s="4">
        <v>3</v>
      </c>
      <c r="G654" s="4">
        <v>1.1000000000000001</v>
      </c>
      <c r="H654" s="10">
        <v>1400</v>
      </c>
      <c r="I654" s="11">
        <f t="shared" si="20"/>
        <v>187.78571428571428</v>
      </c>
      <c r="J654" s="3" t="str">
        <f t="shared" si="21"/>
        <v>Low</v>
      </c>
    </row>
    <row r="655" spans="1:10">
      <c r="A655" s="7" t="s">
        <v>704</v>
      </c>
      <c r="B655" s="7" t="s">
        <v>42</v>
      </c>
      <c r="C655" s="7" t="s">
        <v>12</v>
      </c>
      <c r="D655" s="22">
        <v>263000</v>
      </c>
      <c r="E655" s="7">
        <v>29</v>
      </c>
      <c r="F655" s="7">
        <v>3</v>
      </c>
      <c r="G655" s="7">
        <v>2</v>
      </c>
      <c r="H655" s="12">
        <v>1287</v>
      </c>
      <c r="I655" s="9">
        <f t="shared" si="20"/>
        <v>204.35120435120436</v>
      </c>
      <c r="J655" s="3" t="str">
        <f t="shared" si="21"/>
        <v>Medium</v>
      </c>
    </row>
    <row r="656" spans="1:10">
      <c r="A656" s="4" t="s">
        <v>705</v>
      </c>
      <c r="B656" s="4" t="s">
        <v>77</v>
      </c>
      <c r="C656" s="4" t="s">
        <v>12</v>
      </c>
      <c r="D656" s="21">
        <v>263000</v>
      </c>
      <c r="E656" s="4">
        <v>18</v>
      </c>
      <c r="F656" s="4">
        <v>3</v>
      </c>
      <c r="G656" s="4">
        <v>2</v>
      </c>
      <c r="H656" s="10">
        <v>1594</v>
      </c>
      <c r="I656" s="11">
        <f t="shared" si="20"/>
        <v>164.99372647427853</v>
      </c>
      <c r="J656" s="3" t="str">
        <f t="shared" si="21"/>
        <v>Low</v>
      </c>
    </row>
    <row r="657" spans="1:10">
      <c r="A657" s="7" t="s">
        <v>706</v>
      </c>
      <c r="B657" s="7" t="s">
        <v>29</v>
      </c>
      <c r="C657" s="7" t="s">
        <v>12</v>
      </c>
      <c r="D657" s="22">
        <v>264000</v>
      </c>
      <c r="E657" s="7">
        <v>7</v>
      </c>
      <c r="F657" s="7">
        <v>3</v>
      </c>
      <c r="G657" s="7">
        <v>2</v>
      </c>
      <c r="H657" s="12">
        <v>1340</v>
      </c>
      <c r="I657" s="9">
        <f t="shared" si="20"/>
        <v>197.01492537313433</v>
      </c>
      <c r="J657" s="3" t="str">
        <f t="shared" si="21"/>
        <v>Low</v>
      </c>
    </row>
    <row r="658" spans="1:10">
      <c r="A658" s="4" t="s">
        <v>707</v>
      </c>
      <c r="B658" s="4" t="s">
        <v>212</v>
      </c>
      <c r="C658" s="4" t="s">
        <v>12</v>
      </c>
      <c r="D658" s="21">
        <v>264000</v>
      </c>
      <c r="E658" s="4">
        <v>15</v>
      </c>
      <c r="F658" s="4">
        <v>3</v>
      </c>
      <c r="G658" s="4">
        <v>1.1000000000000001</v>
      </c>
      <c r="H658" s="10">
        <v>1091</v>
      </c>
      <c r="I658" s="11">
        <f t="shared" si="20"/>
        <v>241.97983501374887</v>
      </c>
      <c r="J658" s="3" t="str">
        <f t="shared" si="21"/>
        <v>Medium</v>
      </c>
    </row>
    <row r="659" spans="1:10">
      <c r="A659" s="7" t="s">
        <v>708</v>
      </c>
      <c r="B659" s="7" t="s">
        <v>11</v>
      </c>
      <c r="C659" s="7" t="s">
        <v>12</v>
      </c>
      <c r="D659" s="22">
        <v>264000</v>
      </c>
      <c r="E659" s="7">
        <v>135</v>
      </c>
      <c r="F659" s="7">
        <v>3</v>
      </c>
      <c r="G659" s="7">
        <v>2</v>
      </c>
      <c r="H659" s="12">
        <v>1670</v>
      </c>
      <c r="I659" s="9">
        <f t="shared" si="20"/>
        <v>158.08383233532933</v>
      </c>
      <c r="J659" s="3" t="str">
        <f t="shared" si="21"/>
        <v>Low</v>
      </c>
    </row>
    <row r="660" spans="1:10">
      <c r="A660" s="4" t="s">
        <v>709</v>
      </c>
      <c r="B660" s="4" t="s">
        <v>212</v>
      </c>
      <c r="C660" s="4" t="s">
        <v>12</v>
      </c>
      <c r="D660" s="21">
        <v>264710</v>
      </c>
      <c r="E660" s="4">
        <v>8</v>
      </c>
      <c r="F660" s="4">
        <v>3</v>
      </c>
      <c r="G660" s="4">
        <v>1</v>
      </c>
      <c r="H660" s="10">
        <v>1100</v>
      </c>
      <c r="I660" s="11">
        <f t="shared" si="20"/>
        <v>240.64545454545456</v>
      </c>
      <c r="J660" s="3" t="str">
        <f t="shared" si="21"/>
        <v>Medium</v>
      </c>
    </row>
    <row r="661" spans="1:10">
      <c r="A661" s="7" t="s">
        <v>710</v>
      </c>
      <c r="B661" s="7" t="s">
        <v>282</v>
      </c>
      <c r="C661" s="7" t="s">
        <v>12</v>
      </c>
      <c r="D661" s="22">
        <v>265000</v>
      </c>
      <c r="E661" s="7">
        <v>163</v>
      </c>
      <c r="F661" s="7">
        <v>3</v>
      </c>
      <c r="G661" s="7">
        <v>2</v>
      </c>
      <c r="H661" s="12">
        <v>1052</v>
      </c>
      <c r="I661" s="9">
        <f t="shared" si="20"/>
        <v>251.90114068441065</v>
      </c>
      <c r="J661" s="3" t="str">
        <f t="shared" si="21"/>
        <v>Medium</v>
      </c>
    </row>
    <row r="662" spans="1:10">
      <c r="A662" s="4" t="s">
        <v>711</v>
      </c>
      <c r="B662" s="4" t="s">
        <v>11</v>
      </c>
      <c r="C662" s="4" t="s">
        <v>12</v>
      </c>
      <c r="D662" s="21">
        <v>265000</v>
      </c>
      <c r="E662" s="4">
        <v>31</v>
      </c>
      <c r="F662" s="4">
        <v>3</v>
      </c>
      <c r="G662" s="4">
        <v>1.1000000000000001</v>
      </c>
      <c r="H662" s="10">
        <v>1367</v>
      </c>
      <c r="I662" s="11">
        <f t="shared" si="20"/>
        <v>193.85515727871251</v>
      </c>
      <c r="J662" s="3" t="str">
        <f t="shared" si="21"/>
        <v>Low</v>
      </c>
    </row>
    <row r="663" spans="1:10">
      <c r="A663" s="7" t="s">
        <v>712</v>
      </c>
      <c r="B663" s="7" t="s">
        <v>42</v>
      </c>
      <c r="C663" s="7" t="s">
        <v>12</v>
      </c>
      <c r="D663" s="22">
        <v>265000</v>
      </c>
      <c r="E663" s="7">
        <v>13</v>
      </c>
      <c r="F663" s="7">
        <v>3</v>
      </c>
      <c r="G663" s="7">
        <v>2</v>
      </c>
      <c r="H663" s="7">
        <v>990</v>
      </c>
      <c r="I663" s="9">
        <f t="shared" si="20"/>
        <v>267.67676767676767</v>
      </c>
      <c r="J663" s="3" t="str">
        <f t="shared" si="21"/>
        <v>Medium</v>
      </c>
    </row>
    <row r="664" spans="1:10">
      <c r="A664" s="4" t="s">
        <v>713</v>
      </c>
      <c r="B664" s="4" t="s">
        <v>42</v>
      </c>
      <c r="C664" s="4" t="s">
        <v>12</v>
      </c>
      <c r="D664" s="21">
        <v>265000</v>
      </c>
      <c r="E664" s="4">
        <v>41</v>
      </c>
      <c r="F664" s="4">
        <v>3</v>
      </c>
      <c r="G664" s="4">
        <v>1.1000000000000001</v>
      </c>
      <c r="H664" s="10">
        <v>1008</v>
      </c>
      <c r="I664" s="11">
        <f t="shared" si="20"/>
        <v>262.89682539682542</v>
      </c>
      <c r="J664" s="3" t="str">
        <f t="shared" si="21"/>
        <v>Medium</v>
      </c>
    </row>
    <row r="665" spans="1:10">
      <c r="A665" s="7" t="s">
        <v>714</v>
      </c>
      <c r="B665" s="7" t="s">
        <v>73</v>
      </c>
      <c r="C665" s="7" t="s">
        <v>12</v>
      </c>
      <c r="D665" s="22">
        <v>265000</v>
      </c>
      <c r="E665" s="7">
        <v>8</v>
      </c>
      <c r="F665" s="7">
        <v>4</v>
      </c>
      <c r="G665" s="7">
        <v>2.1</v>
      </c>
      <c r="H665" s="12">
        <v>2480</v>
      </c>
      <c r="I665" s="9">
        <f t="shared" si="20"/>
        <v>106.85483870967742</v>
      </c>
      <c r="J665" s="3" t="str">
        <f t="shared" si="21"/>
        <v>Low</v>
      </c>
    </row>
    <row r="666" spans="1:10">
      <c r="A666" s="4" t="s">
        <v>715</v>
      </c>
      <c r="B666" s="4" t="s">
        <v>298</v>
      </c>
      <c r="C666" s="4" t="s">
        <v>12</v>
      </c>
      <c r="D666" s="21">
        <v>265000</v>
      </c>
      <c r="E666" s="4">
        <v>2</v>
      </c>
      <c r="F666" s="4">
        <v>4</v>
      </c>
      <c r="G666" s="4">
        <v>1.1000000000000001</v>
      </c>
      <c r="H666" s="10">
        <v>1404</v>
      </c>
      <c r="I666" s="11">
        <f t="shared" si="20"/>
        <v>188.74643874643874</v>
      </c>
      <c r="J666" s="3" t="str">
        <f t="shared" si="21"/>
        <v>Low</v>
      </c>
    </row>
    <row r="667" spans="1:10">
      <c r="A667" s="7" t="s">
        <v>716</v>
      </c>
      <c r="B667" s="7" t="s">
        <v>11</v>
      </c>
      <c r="C667" s="7" t="s">
        <v>12</v>
      </c>
      <c r="D667" s="22">
        <v>265000</v>
      </c>
      <c r="E667" s="7">
        <v>2</v>
      </c>
      <c r="F667" s="7">
        <v>3</v>
      </c>
      <c r="G667" s="7">
        <v>1.1000000000000001</v>
      </c>
      <c r="H667" s="12">
        <v>1100</v>
      </c>
      <c r="I667" s="9">
        <f t="shared" si="20"/>
        <v>240.90909090909091</v>
      </c>
      <c r="J667" s="3" t="str">
        <f t="shared" si="21"/>
        <v>Medium</v>
      </c>
    </row>
    <row r="668" spans="1:10">
      <c r="A668" s="4" t="s">
        <v>717</v>
      </c>
      <c r="B668" s="4" t="s">
        <v>93</v>
      </c>
      <c r="C668" s="4" t="s">
        <v>12</v>
      </c>
      <c r="D668" s="21">
        <v>265000</v>
      </c>
      <c r="E668" s="4">
        <v>4</v>
      </c>
      <c r="F668" s="4">
        <v>4</v>
      </c>
      <c r="G668" s="4">
        <v>1</v>
      </c>
      <c r="H668" s="10">
        <v>1116</v>
      </c>
      <c r="I668" s="11">
        <f t="shared" si="20"/>
        <v>237.45519713261649</v>
      </c>
      <c r="J668" s="3" t="str">
        <f t="shared" si="21"/>
        <v>Medium</v>
      </c>
    </row>
    <row r="669" spans="1:10">
      <c r="A669" s="7" t="s">
        <v>711</v>
      </c>
      <c r="B669" s="7" t="s">
        <v>11</v>
      </c>
      <c r="C669" s="7" t="s">
        <v>12</v>
      </c>
      <c r="D669" s="22">
        <v>265000</v>
      </c>
      <c r="E669" s="7">
        <v>37</v>
      </c>
      <c r="F669" s="7">
        <v>3</v>
      </c>
      <c r="G669" s="7">
        <v>1.1000000000000001</v>
      </c>
      <c r="H669" s="12">
        <v>1367</v>
      </c>
      <c r="I669" s="9">
        <f t="shared" si="20"/>
        <v>193.85515727871251</v>
      </c>
      <c r="J669" s="3" t="str">
        <f t="shared" si="21"/>
        <v>Low</v>
      </c>
    </row>
    <row r="670" spans="1:10">
      <c r="A670" s="4" t="s">
        <v>718</v>
      </c>
      <c r="B670" s="4" t="s">
        <v>11</v>
      </c>
      <c r="C670" s="4" t="s">
        <v>12</v>
      </c>
      <c r="D670" s="21">
        <v>265000</v>
      </c>
      <c r="E670" s="4">
        <v>21</v>
      </c>
      <c r="F670" s="4">
        <v>3</v>
      </c>
      <c r="G670" s="4">
        <v>1.1000000000000001</v>
      </c>
      <c r="H670" s="10">
        <v>1384</v>
      </c>
      <c r="I670" s="11">
        <f t="shared" si="20"/>
        <v>191.47398843930637</v>
      </c>
      <c r="J670" s="3" t="str">
        <f t="shared" si="21"/>
        <v>Low</v>
      </c>
    </row>
    <row r="671" spans="1:10">
      <c r="A671" s="7" t="s">
        <v>719</v>
      </c>
      <c r="B671" s="7" t="s">
        <v>11</v>
      </c>
      <c r="C671" s="7" t="s">
        <v>12</v>
      </c>
      <c r="D671" s="22">
        <v>265000</v>
      </c>
      <c r="E671" s="7">
        <v>5</v>
      </c>
      <c r="F671" s="7">
        <v>4</v>
      </c>
      <c r="G671" s="7">
        <v>1.1000000000000001</v>
      </c>
      <c r="H671" s="12">
        <v>1740</v>
      </c>
      <c r="I671" s="9">
        <f t="shared" si="20"/>
        <v>152.29885057471265</v>
      </c>
      <c r="J671" s="3" t="str">
        <f t="shared" si="21"/>
        <v>Low</v>
      </c>
    </row>
    <row r="672" spans="1:10">
      <c r="A672" s="4" t="s">
        <v>720</v>
      </c>
      <c r="B672" s="4" t="s">
        <v>36</v>
      </c>
      <c r="C672" s="4" t="s">
        <v>12</v>
      </c>
      <c r="D672" s="21">
        <v>265000</v>
      </c>
      <c r="E672" s="4">
        <v>69</v>
      </c>
      <c r="F672" s="4">
        <v>4</v>
      </c>
      <c r="G672" s="4">
        <v>2.1</v>
      </c>
      <c r="H672" s="10">
        <v>1607</v>
      </c>
      <c r="I672" s="11">
        <f t="shared" si="20"/>
        <v>164.90354698195395</v>
      </c>
      <c r="J672" s="3" t="str">
        <f t="shared" si="21"/>
        <v>Low</v>
      </c>
    </row>
    <row r="673" spans="1:10">
      <c r="A673" s="7" t="s">
        <v>721</v>
      </c>
      <c r="B673" s="7" t="s">
        <v>363</v>
      </c>
      <c r="C673" s="7" t="s">
        <v>12</v>
      </c>
      <c r="D673" s="22">
        <v>265000</v>
      </c>
      <c r="E673" s="7">
        <v>112</v>
      </c>
      <c r="F673" s="7">
        <v>3</v>
      </c>
      <c r="G673" s="7">
        <v>1</v>
      </c>
      <c r="H673" s="12">
        <v>1100</v>
      </c>
      <c r="I673" s="9">
        <f t="shared" si="20"/>
        <v>240.90909090909091</v>
      </c>
      <c r="J673" s="3" t="str">
        <f t="shared" si="21"/>
        <v>Medium</v>
      </c>
    </row>
    <row r="674" spans="1:10">
      <c r="A674" s="4" t="s">
        <v>722</v>
      </c>
      <c r="B674" s="4" t="s">
        <v>131</v>
      </c>
      <c r="C674" s="4" t="s">
        <v>12</v>
      </c>
      <c r="D674" s="21">
        <v>265000</v>
      </c>
      <c r="E674" s="4">
        <v>7</v>
      </c>
      <c r="F674" s="4">
        <v>2</v>
      </c>
      <c r="G674" s="4">
        <v>1.1000000000000001</v>
      </c>
      <c r="H674" s="10">
        <v>1000</v>
      </c>
      <c r="I674" s="11">
        <f t="shared" si="20"/>
        <v>265</v>
      </c>
      <c r="J674" s="3" t="str">
        <f t="shared" si="21"/>
        <v>Medium</v>
      </c>
    </row>
    <row r="675" spans="1:10">
      <c r="A675" s="7" t="s">
        <v>723</v>
      </c>
      <c r="B675" s="7" t="s">
        <v>131</v>
      </c>
      <c r="C675" s="7" t="s">
        <v>12</v>
      </c>
      <c r="D675" s="22">
        <v>267500</v>
      </c>
      <c r="E675" s="7">
        <v>5</v>
      </c>
      <c r="F675" s="7">
        <v>3</v>
      </c>
      <c r="G675" s="7">
        <v>1</v>
      </c>
      <c r="H675" s="12">
        <v>1000</v>
      </c>
      <c r="I675" s="9">
        <f t="shared" si="20"/>
        <v>267.5</v>
      </c>
      <c r="J675" s="3" t="str">
        <f t="shared" si="21"/>
        <v>Medium</v>
      </c>
    </row>
    <row r="676" spans="1:10">
      <c r="A676" s="4" t="s">
        <v>724</v>
      </c>
      <c r="B676" s="4" t="s">
        <v>398</v>
      </c>
      <c r="C676" s="4" t="s">
        <v>12</v>
      </c>
      <c r="D676" s="21">
        <v>267500</v>
      </c>
      <c r="E676" s="4">
        <v>105</v>
      </c>
      <c r="F676" s="4">
        <v>3</v>
      </c>
      <c r="G676" s="4">
        <v>1</v>
      </c>
      <c r="H676" s="10">
        <v>1520</v>
      </c>
      <c r="I676" s="11">
        <f t="shared" si="20"/>
        <v>175.98684210526315</v>
      </c>
      <c r="J676" s="3" t="str">
        <f t="shared" si="21"/>
        <v>Low</v>
      </c>
    </row>
    <row r="677" spans="1:10">
      <c r="A677" s="7" t="s">
        <v>725</v>
      </c>
      <c r="B677" s="7" t="s">
        <v>11</v>
      </c>
      <c r="C677" s="7" t="s">
        <v>12</v>
      </c>
      <c r="D677" s="22">
        <v>268000</v>
      </c>
      <c r="E677" s="7">
        <v>5</v>
      </c>
      <c r="F677" s="7">
        <v>3</v>
      </c>
      <c r="G677" s="7">
        <v>2</v>
      </c>
      <c r="H677" s="12">
        <v>1378</v>
      </c>
      <c r="I677" s="9">
        <f t="shared" si="20"/>
        <v>194.48476052249637</v>
      </c>
      <c r="J677" s="3" t="str">
        <f t="shared" si="21"/>
        <v>Low</v>
      </c>
    </row>
    <row r="678" spans="1:10">
      <c r="A678" s="4" t="s">
        <v>726</v>
      </c>
      <c r="B678" s="4" t="s">
        <v>83</v>
      </c>
      <c r="C678" s="4" t="s">
        <v>12</v>
      </c>
      <c r="D678" s="21">
        <v>269000</v>
      </c>
      <c r="E678" s="4">
        <v>11</v>
      </c>
      <c r="F678" s="4">
        <v>3</v>
      </c>
      <c r="G678" s="4">
        <v>1.1000000000000001</v>
      </c>
      <c r="H678" s="10">
        <v>1246</v>
      </c>
      <c r="I678" s="11">
        <f t="shared" si="20"/>
        <v>215.8908507223114</v>
      </c>
      <c r="J678" s="3" t="str">
        <f t="shared" si="21"/>
        <v>Medium</v>
      </c>
    </row>
    <row r="679" spans="1:10">
      <c r="A679" s="7" t="s">
        <v>727</v>
      </c>
      <c r="B679" s="7" t="s">
        <v>728</v>
      </c>
      <c r="C679" s="7" t="s">
        <v>12</v>
      </c>
      <c r="D679" s="22">
        <v>269000</v>
      </c>
      <c r="E679" s="7">
        <v>256</v>
      </c>
      <c r="F679" s="7">
        <v>2</v>
      </c>
      <c r="G679" s="7">
        <v>1</v>
      </c>
      <c r="H679" s="7">
        <v>981</v>
      </c>
      <c r="I679" s="9">
        <f t="shared" si="20"/>
        <v>274.2099898063201</v>
      </c>
      <c r="J679" s="3" t="str">
        <f t="shared" si="21"/>
        <v>Medium</v>
      </c>
    </row>
    <row r="680" spans="1:10">
      <c r="A680" s="4" t="s">
        <v>729</v>
      </c>
      <c r="B680" s="4" t="s">
        <v>11</v>
      </c>
      <c r="C680" s="4" t="s">
        <v>12</v>
      </c>
      <c r="D680" s="21">
        <v>269000</v>
      </c>
      <c r="E680" s="4">
        <v>68</v>
      </c>
      <c r="F680" s="4">
        <v>3</v>
      </c>
      <c r="G680" s="4">
        <v>2</v>
      </c>
      <c r="H680" s="10">
        <v>1700</v>
      </c>
      <c r="I680" s="11">
        <f t="shared" si="20"/>
        <v>158.23529411764707</v>
      </c>
      <c r="J680" s="3" t="str">
        <f t="shared" si="21"/>
        <v>Low</v>
      </c>
    </row>
    <row r="681" spans="1:10">
      <c r="A681" s="7" t="s">
        <v>730</v>
      </c>
      <c r="B681" s="7" t="s">
        <v>83</v>
      </c>
      <c r="C681" s="7" t="s">
        <v>12</v>
      </c>
      <c r="D681" s="22">
        <v>269900</v>
      </c>
      <c r="E681" s="7">
        <v>23</v>
      </c>
      <c r="F681" s="7">
        <v>3</v>
      </c>
      <c r="G681" s="7">
        <v>2.1</v>
      </c>
      <c r="H681" s="12">
        <v>1877</v>
      </c>
      <c r="I681" s="9">
        <f t="shared" si="20"/>
        <v>143.79328716036227</v>
      </c>
      <c r="J681" s="3" t="str">
        <f t="shared" si="21"/>
        <v>Low</v>
      </c>
    </row>
    <row r="682" spans="1:10">
      <c r="A682" s="4" t="s">
        <v>731</v>
      </c>
      <c r="B682" s="4" t="s">
        <v>14</v>
      </c>
      <c r="C682" s="4" t="s">
        <v>12</v>
      </c>
      <c r="D682" s="21">
        <v>269990</v>
      </c>
      <c r="E682" s="4">
        <v>120</v>
      </c>
      <c r="F682" s="4">
        <v>4</v>
      </c>
      <c r="G682" s="4">
        <v>3</v>
      </c>
      <c r="H682" s="10">
        <v>2014</v>
      </c>
      <c r="I682" s="11">
        <f t="shared" si="20"/>
        <v>134.0566037735849</v>
      </c>
      <c r="J682" s="3" t="str">
        <f t="shared" si="21"/>
        <v>Low</v>
      </c>
    </row>
    <row r="683" spans="1:10">
      <c r="A683" s="7" t="s">
        <v>732</v>
      </c>
      <c r="B683" s="7" t="s">
        <v>73</v>
      </c>
      <c r="C683" s="7" t="s">
        <v>12</v>
      </c>
      <c r="D683" s="22">
        <v>270000</v>
      </c>
      <c r="E683" s="7">
        <v>5</v>
      </c>
      <c r="F683" s="7">
        <v>3</v>
      </c>
      <c r="G683" s="7">
        <v>2</v>
      </c>
      <c r="H683" s="12">
        <v>1304</v>
      </c>
      <c r="I683" s="9">
        <f t="shared" si="20"/>
        <v>207.05521472392638</v>
      </c>
      <c r="J683" s="3" t="str">
        <f t="shared" si="21"/>
        <v>Medium</v>
      </c>
    </row>
    <row r="684" spans="1:10">
      <c r="A684" s="4" t="s">
        <v>733</v>
      </c>
      <c r="B684" s="4" t="s">
        <v>25</v>
      </c>
      <c r="C684" s="4" t="s">
        <v>12</v>
      </c>
      <c r="D684" s="21">
        <v>270000</v>
      </c>
      <c r="E684" s="4">
        <v>29</v>
      </c>
      <c r="F684" s="4">
        <v>4</v>
      </c>
      <c r="G684" s="4">
        <v>2</v>
      </c>
      <c r="H684" s="10">
        <v>2005</v>
      </c>
      <c r="I684" s="11">
        <f t="shared" si="20"/>
        <v>134.66334164588528</v>
      </c>
      <c r="J684" s="3" t="str">
        <f t="shared" si="21"/>
        <v>Low</v>
      </c>
    </row>
    <row r="685" spans="1:10">
      <c r="A685" s="7" t="s">
        <v>734</v>
      </c>
      <c r="B685" s="7" t="s">
        <v>553</v>
      </c>
      <c r="C685" s="7" t="s">
        <v>12</v>
      </c>
      <c r="D685" s="22">
        <v>270000</v>
      </c>
      <c r="E685" s="7">
        <v>8</v>
      </c>
      <c r="F685" s="7">
        <v>4</v>
      </c>
      <c r="G685" s="7">
        <v>1.1000000000000001</v>
      </c>
      <c r="H685" s="12">
        <v>1080</v>
      </c>
      <c r="I685" s="9">
        <f t="shared" si="20"/>
        <v>250</v>
      </c>
      <c r="J685" s="3" t="str">
        <f t="shared" si="21"/>
        <v>Medium</v>
      </c>
    </row>
    <row r="686" spans="1:10">
      <c r="A686" s="4" t="s">
        <v>735</v>
      </c>
      <c r="B686" s="4" t="s">
        <v>117</v>
      </c>
      <c r="C686" s="4" t="s">
        <v>12</v>
      </c>
      <c r="D686" s="21">
        <v>270000</v>
      </c>
      <c r="E686" s="4">
        <v>16</v>
      </c>
      <c r="F686" s="4">
        <v>3</v>
      </c>
      <c r="G686" s="4">
        <v>1.1000000000000001</v>
      </c>
      <c r="H686" s="10">
        <v>1361</v>
      </c>
      <c r="I686" s="11">
        <f t="shared" si="20"/>
        <v>198.38354151359295</v>
      </c>
      <c r="J686" s="3" t="str">
        <f t="shared" si="21"/>
        <v>Low</v>
      </c>
    </row>
    <row r="687" spans="1:10">
      <c r="A687" s="7" t="s">
        <v>736</v>
      </c>
      <c r="B687" s="7" t="s">
        <v>679</v>
      </c>
      <c r="C687" s="7" t="s">
        <v>12</v>
      </c>
      <c r="D687" s="22">
        <v>270000</v>
      </c>
      <c r="E687" s="7">
        <v>0</v>
      </c>
      <c r="F687" s="7">
        <v>3</v>
      </c>
      <c r="G687" s="7">
        <v>1</v>
      </c>
      <c r="H687" s="7">
        <v>916</v>
      </c>
      <c r="I687" s="9">
        <f t="shared" si="20"/>
        <v>294.7598253275109</v>
      </c>
      <c r="J687" s="3" t="str">
        <f t="shared" si="21"/>
        <v>Medium</v>
      </c>
    </row>
    <row r="688" spans="1:10">
      <c r="A688" s="4" t="s">
        <v>737</v>
      </c>
      <c r="B688" s="4" t="s">
        <v>77</v>
      </c>
      <c r="C688" s="4" t="s">
        <v>12</v>
      </c>
      <c r="D688" s="21">
        <v>270000</v>
      </c>
      <c r="E688" s="4">
        <v>7</v>
      </c>
      <c r="F688" s="4">
        <v>3</v>
      </c>
      <c r="G688" s="4">
        <v>2</v>
      </c>
      <c r="H688" s="10">
        <v>1200</v>
      </c>
      <c r="I688" s="11">
        <f t="shared" si="20"/>
        <v>225</v>
      </c>
      <c r="J688" s="3" t="str">
        <f t="shared" si="21"/>
        <v>Medium</v>
      </c>
    </row>
    <row r="689" spans="1:10">
      <c r="A689" s="7" t="s">
        <v>738</v>
      </c>
      <c r="B689" s="7" t="s">
        <v>73</v>
      </c>
      <c r="C689" s="7" t="s">
        <v>12</v>
      </c>
      <c r="D689" s="22">
        <v>270000</v>
      </c>
      <c r="E689" s="7">
        <v>29</v>
      </c>
      <c r="F689" s="7">
        <v>3</v>
      </c>
      <c r="G689" s="7">
        <v>1.1000000000000001</v>
      </c>
      <c r="H689" s="12">
        <v>1240</v>
      </c>
      <c r="I689" s="9">
        <f t="shared" si="20"/>
        <v>217.74193548387098</v>
      </c>
      <c r="J689" s="3" t="str">
        <f t="shared" si="21"/>
        <v>Medium</v>
      </c>
    </row>
    <row r="690" spans="1:10">
      <c r="A690" s="4" t="s">
        <v>739</v>
      </c>
      <c r="B690" s="4" t="s">
        <v>331</v>
      </c>
      <c r="C690" s="4" t="s">
        <v>12</v>
      </c>
      <c r="D690" s="21">
        <v>270000</v>
      </c>
      <c r="E690" s="4">
        <v>9</v>
      </c>
      <c r="F690" s="4">
        <v>3</v>
      </c>
      <c r="G690" s="4">
        <v>2</v>
      </c>
      <c r="H690" s="10">
        <v>1498</v>
      </c>
      <c r="I690" s="11">
        <f t="shared" si="20"/>
        <v>180.24032042723633</v>
      </c>
      <c r="J690" s="3" t="str">
        <f t="shared" si="21"/>
        <v>Low</v>
      </c>
    </row>
    <row r="691" spans="1:10">
      <c r="A691" s="7" t="s">
        <v>740</v>
      </c>
      <c r="B691" s="7" t="s">
        <v>42</v>
      </c>
      <c r="C691" s="7" t="s">
        <v>12</v>
      </c>
      <c r="D691" s="22">
        <v>270000</v>
      </c>
      <c r="E691" s="7">
        <v>7</v>
      </c>
      <c r="F691" s="7">
        <v>3</v>
      </c>
      <c r="G691" s="7">
        <v>1.1000000000000001</v>
      </c>
      <c r="H691" s="12">
        <v>1125</v>
      </c>
      <c r="I691" s="9">
        <f t="shared" si="20"/>
        <v>240</v>
      </c>
      <c r="J691" s="3" t="str">
        <f t="shared" si="21"/>
        <v>Medium</v>
      </c>
    </row>
    <row r="692" spans="1:10">
      <c r="A692" s="4" t="s">
        <v>741</v>
      </c>
      <c r="B692" s="4" t="s">
        <v>70</v>
      </c>
      <c r="C692" s="4" t="s">
        <v>12</v>
      </c>
      <c r="D692" s="21">
        <v>270000</v>
      </c>
      <c r="E692" s="4">
        <v>6</v>
      </c>
      <c r="F692" s="4">
        <v>3</v>
      </c>
      <c r="G692" s="4">
        <v>3</v>
      </c>
      <c r="H692" s="10">
        <v>1361</v>
      </c>
      <c r="I692" s="11">
        <f t="shared" si="20"/>
        <v>198.38354151359295</v>
      </c>
      <c r="J692" s="3" t="str">
        <f t="shared" si="21"/>
        <v>Low</v>
      </c>
    </row>
    <row r="693" spans="1:10">
      <c r="A693" s="7" t="s">
        <v>742</v>
      </c>
      <c r="B693" s="7" t="s">
        <v>11</v>
      </c>
      <c r="C693" s="7" t="s">
        <v>12</v>
      </c>
      <c r="D693" s="22">
        <v>270000</v>
      </c>
      <c r="E693" s="7">
        <v>69</v>
      </c>
      <c r="F693" s="7">
        <v>3</v>
      </c>
      <c r="G693" s="7">
        <v>1.1000000000000001</v>
      </c>
      <c r="H693" s="12">
        <v>1610</v>
      </c>
      <c r="I693" s="9">
        <f t="shared" si="20"/>
        <v>167.70186335403727</v>
      </c>
      <c r="J693" s="3" t="str">
        <f t="shared" si="21"/>
        <v>Low</v>
      </c>
    </row>
    <row r="694" spans="1:10">
      <c r="A694" s="4" t="s">
        <v>743</v>
      </c>
      <c r="B694" s="4" t="s">
        <v>131</v>
      </c>
      <c r="C694" s="4" t="s">
        <v>12</v>
      </c>
      <c r="D694" s="21">
        <v>270000</v>
      </c>
      <c r="E694" s="4">
        <v>12</v>
      </c>
      <c r="F694" s="4">
        <v>3</v>
      </c>
      <c r="G694" s="4">
        <v>3</v>
      </c>
      <c r="H694" s="4">
        <v>867</v>
      </c>
      <c r="I694" s="11">
        <f t="shared" si="20"/>
        <v>311.41868512110727</v>
      </c>
      <c r="J694" s="3" t="str">
        <f t="shared" si="21"/>
        <v>High</v>
      </c>
    </row>
    <row r="695" spans="1:10">
      <c r="A695" s="7" t="s">
        <v>744</v>
      </c>
      <c r="B695" s="7" t="s">
        <v>77</v>
      </c>
      <c r="C695" s="7" t="s">
        <v>12</v>
      </c>
      <c r="D695" s="22">
        <v>270000</v>
      </c>
      <c r="E695" s="7">
        <v>3</v>
      </c>
      <c r="F695" s="7">
        <v>3</v>
      </c>
      <c r="G695" s="7">
        <v>2</v>
      </c>
      <c r="H695" s="7">
        <v>925</v>
      </c>
      <c r="I695" s="9">
        <f t="shared" si="20"/>
        <v>291.89189189189187</v>
      </c>
      <c r="J695" s="3" t="str">
        <f t="shared" si="21"/>
        <v>Medium</v>
      </c>
    </row>
    <row r="696" spans="1:10">
      <c r="A696" s="4" t="s">
        <v>745</v>
      </c>
      <c r="B696" s="4" t="s">
        <v>268</v>
      </c>
      <c r="C696" s="4" t="s">
        <v>12</v>
      </c>
      <c r="D696" s="21">
        <v>270000</v>
      </c>
      <c r="E696" s="4">
        <v>53</v>
      </c>
      <c r="F696" s="4">
        <v>3</v>
      </c>
      <c r="G696" s="4">
        <v>1</v>
      </c>
      <c r="H696" s="10">
        <v>1981</v>
      </c>
      <c r="I696" s="11">
        <f t="shared" si="20"/>
        <v>136.29480060575466</v>
      </c>
      <c r="J696" s="3" t="str">
        <f t="shared" si="21"/>
        <v>Low</v>
      </c>
    </row>
    <row r="697" spans="1:10">
      <c r="A697" s="7" t="s">
        <v>746</v>
      </c>
      <c r="B697" s="7" t="s">
        <v>11</v>
      </c>
      <c r="C697" s="7" t="s">
        <v>12</v>
      </c>
      <c r="D697" s="22">
        <v>270000</v>
      </c>
      <c r="E697" s="7">
        <v>38</v>
      </c>
      <c r="F697" s="7">
        <v>4</v>
      </c>
      <c r="G697" s="7">
        <v>2.1</v>
      </c>
      <c r="H697" s="12">
        <v>1464</v>
      </c>
      <c r="I697" s="9">
        <f t="shared" si="20"/>
        <v>184.42622950819671</v>
      </c>
      <c r="J697" s="3" t="str">
        <f t="shared" si="21"/>
        <v>Low</v>
      </c>
    </row>
    <row r="698" spans="1:10">
      <c r="A698" s="4" t="s">
        <v>747</v>
      </c>
      <c r="B698" s="4" t="s">
        <v>131</v>
      </c>
      <c r="C698" s="4" t="s">
        <v>12</v>
      </c>
      <c r="D698" s="21">
        <v>270000</v>
      </c>
      <c r="E698" s="4">
        <v>102</v>
      </c>
      <c r="F698" s="4">
        <v>3</v>
      </c>
      <c r="G698" s="4">
        <v>2</v>
      </c>
      <c r="H698" s="4">
        <v>1105</v>
      </c>
      <c r="I698" s="11">
        <f t="shared" si="20"/>
        <v>244.34389140271495</v>
      </c>
      <c r="J698" s="3" t="str">
        <f t="shared" si="21"/>
        <v>Medium</v>
      </c>
    </row>
    <row r="699" spans="1:10">
      <c r="A699" s="7" t="s">
        <v>748</v>
      </c>
      <c r="B699" s="7" t="s">
        <v>398</v>
      </c>
      <c r="C699" s="7" t="s">
        <v>12</v>
      </c>
      <c r="D699" s="22">
        <v>270619</v>
      </c>
      <c r="E699" s="7">
        <v>57</v>
      </c>
      <c r="F699" s="7">
        <v>3</v>
      </c>
      <c r="G699" s="7">
        <v>2</v>
      </c>
      <c r="H699" s="12">
        <v>1356</v>
      </c>
      <c r="I699" s="9">
        <f t="shared" si="20"/>
        <v>199.57153392330383</v>
      </c>
      <c r="J699" s="3" t="str">
        <f t="shared" si="21"/>
        <v>Low</v>
      </c>
    </row>
    <row r="700" spans="1:10">
      <c r="A700" s="4" t="s">
        <v>749</v>
      </c>
      <c r="B700" s="4" t="s">
        <v>11</v>
      </c>
      <c r="C700" s="4" t="s">
        <v>12</v>
      </c>
      <c r="D700" s="21">
        <v>271000</v>
      </c>
      <c r="E700" s="4">
        <v>8</v>
      </c>
      <c r="F700" s="4">
        <v>3</v>
      </c>
      <c r="G700" s="4">
        <v>2</v>
      </c>
      <c r="H700" s="10">
        <v>1427</v>
      </c>
      <c r="I700" s="11">
        <f t="shared" si="20"/>
        <v>189.90889978976875</v>
      </c>
      <c r="J700" s="3" t="str">
        <f t="shared" si="21"/>
        <v>Low</v>
      </c>
    </row>
    <row r="701" spans="1:10">
      <c r="A701" s="7" t="s">
        <v>750</v>
      </c>
      <c r="B701" s="7" t="s">
        <v>11</v>
      </c>
      <c r="C701" s="7" t="s">
        <v>12</v>
      </c>
      <c r="D701" s="22">
        <v>271500</v>
      </c>
      <c r="E701" s="7">
        <v>40</v>
      </c>
      <c r="F701" s="7">
        <v>3</v>
      </c>
      <c r="G701" s="7">
        <v>1.1000000000000001</v>
      </c>
      <c r="H701" s="12">
        <v>1394</v>
      </c>
      <c r="I701" s="9">
        <f t="shared" si="20"/>
        <v>194.76327116212337</v>
      </c>
      <c r="J701" s="3" t="str">
        <f t="shared" si="21"/>
        <v>Low</v>
      </c>
    </row>
    <row r="702" spans="1:10">
      <c r="A702" s="4" t="s">
        <v>751</v>
      </c>
      <c r="B702" s="4" t="s">
        <v>70</v>
      </c>
      <c r="C702" s="4" t="s">
        <v>12</v>
      </c>
      <c r="D702" s="21">
        <v>272000</v>
      </c>
      <c r="E702" s="4">
        <v>5</v>
      </c>
      <c r="F702" s="4">
        <v>3</v>
      </c>
      <c r="G702" s="4">
        <v>1.1000000000000001</v>
      </c>
      <c r="H702" s="10">
        <v>1422</v>
      </c>
      <c r="I702" s="11">
        <f t="shared" si="20"/>
        <v>191.27988748241913</v>
      </c>
      <c r="J702" s="3" t="str">
        <f t="shared" si="21"/>
        <v>Low</v>
      </c>
    </row>
    <row r="703" spans="1:10">
      <c r="A703" s="7" t="s">
        <v>752</v>
      </c>
      <c r="B703" s="7" t="s">
        <v>212</v>
      </c>
      <c r="C703" s="7" t="s">
        <v>12</v>
      </c>
      <c r="D703" s="22">
        <v>273500</v>
      </c>
      <c r="E703" s="7">
        <v>2</v>
      </c>
      <c r="F703" s="7">
        <v>3</v>
      </c>
      <c r="G703" s="7">
        <v>1.1000000000000001</v>
      </c>
      <c r="H703" s="12">
        <v>1218</v>
      </c>
      <c r="I703" s="9">
        <f t="shared" si="20"/>
        <v>224.54844006568143</v>
      </c>
      <c r="J703" s="3" t="str">
        <f t="shared" si="21"/>
        <v>Medium</v>
      </c>
    </row>
    <row r="704" spans="1:10">
      <c r="A704" s="4" t="s">
        <v>753</v>
      </c>
      <c r="B704" s="4" t="s">
        <v>212</v>
      </c>
      <c r="C704" s="4" t="s">
        <v>12</v>
      </c>
      <c r="D704" s="21">
        <v>274000</v>
      </c>
      <c r="E704" s="4">
        <v>55</v>
      </c>
      <c r="F704" s="4">
        <v>3</v>
      </c>
      <c r="G704" s="4">
        <v>1</v>
      </c>
      <c r="H704" s="10">
        <v>1303</v>
      </c>
      <c r="I704" s="11">
        <f t="shared" si="20"/>
        <v>210.28396009209516</v>
      </c>
      <c r="J704" s="3" t="str">
        <f t="shared" si="21"/>
        <v>Medium</v>
      </c>
    </row>
    <row r="705" spans="1:10">
      <c r="A705" s="7" t="s">
        <v>754</v>
      </c>
      <c r="B705" s="7" t="s">
        <v>645</v>
      </c>
      <c r="C705" s="7" t="s">
        <v>12</v>
      </c>
      <c r="D705" s="22">
        <v>274900</v>
      </c>
      <c r="E705" s="7">
        <v>4</v>
      </c>
      <c r="F705" s="7">
        <v>3</v>
      </c>
      <c r="G705" s="7">
        <v>1.1000000000000001</v>
      </c>
      <c r="H705" s="12">
        <v>1150</v>
      </c>
      <c r="I705" s="9">
        <f t="shared" si="20"/>
        <v>239.04347826086956</v>
      </c>
      <c r="J705" s="3" t="str">
        <f t="shared" si="21"/>
        <v>Medium</v>
      </c>
    </row>
    <row r="706" spans="1:10">
      <c r="A706" s="4" t="s">
        <v>755</v>
      </c>
      <c r="B706" s="4" t="s">
        <v>29</v>
      </c>
      <c r="C706" s="4" t="s">
        <v>12</v>
      </c>
      <c r="D706" s="21">
        <v>275000</v>
      </c>
      <c r="E706" s="4">
        <v>5</v>
      </c>
      <c r="F706" s="4">
        <v>3</v>
      </c>
      <c r="G706" s="4">
        <v>1</v>
      </c>
      <c r="H706" s="10">
        <v>1177</v>
      </c>
      <c r="I706" s="11">
        <f t="shared" ref="I706:I769" si="22">D706/H706</f>
        <v>233.64485981308411</v>
      </c>
      <c r="J706" s="3" t="str">
        <f t="shared" ref="J706:J769" si="23">IF(I706 &gt; 300, "High", IF(AND(I706 &lt;= 300, I706 &gt; 200), "Medium", "Low"))</f>
        <v>Medium</v>
      </c>
    </row>
    <row r="707" spans="1:10">
      <c r="A707" s="7" t="s">
        <v>756</v>
      </c>
      <c r="B707" s="7" t="s">
        <v>268</v>
      </c>
      <c r="C707" s="7" t="s">
        <v>12</v>
      </c>
      <c r="D707" s="22">
        <v>275000</v>
      </c>
      <c r="E707" s="7">
        <v>1</v>
      </c>
      <c r="F707" s="7">
        <v>3</v>
      </c>
      <c r="G707" s="7">
        <v>1.1000000000000001</v>
      </c>
      <c r="H707" s="12">
        <v>1056</v>
      </c>
      <c r="I707" s="9">
        <f t="shared" si="22"/>
        <v>260.41666666666669</v>
      </c>
      <c r="J707" s="3" t="str">
        <f t="shared" si="23"/>
        <v>Medium</v>
      </c>
    </row>
    <row r="708" spans="1:10">
      <c r="A708" s="4" t="s">
        <v>757</v>
      </c>
      <c r="B708" s="4" t="s">
        <v>131</v>
      </c>
      <c r="C708" s="4" t="s">
        <v>12</v>
      </c>
      <c r="D708" s="21">
        <v>275000</v>
      </c>
      <c r="E708" s="4">
        <v>14</v>
      </c>
      <c r="F708" s="4">
        <v>3</v>
      </c>
      <c r="G708" s="4">
        <v>2</v>
      </c>
      <c r="H708" s="10">
        <v>1176</v>
      </c>
      <c r="I708" s="11">
        <f t="shared" si="22"/>
        <v>233.84353741496599</v>
      </c>
      <c r="J708" s="3" t="str">
        <f t="shared" si="23"/>
        <v>Medium</v>
      </c>
    </row>
    <row r="709" spans="1:10">
      <c r="A709" s="7" t="s">
        <v>758</v>
      </c>
      <c r="B709" s="7" t="s">
        <v>282</v>
      </c>
      <c r="C709" s="7" t="s">
        <v>12</v>
      </c>
      <c r="D709" s="22">
        <v>275000</v>
      </c>
      <c r="E709" s="7">
        <v>3</v>
      </c>
      <c r="F709" s="7">
        <v>3</v>
      </c>
      <c r="G709" s="7">
        <v>1</v>
      </c>
      <c r="H709" s="12">
        <v>1100</v>
      </c>
      <c r="I709" s="9">
        <f t="shared" si="22"/>
        <v>250</v>
      </c>
      <c r="J709" s="3" t="str">
        <f t="shared" si="23"/>
        <v>Medium</v>
      </c>
    </row>
    <row r="710" spans="1:10">
      <c r="A710" s="4" t="s">
        <v>759</v>
      </c>
      <c r="B710" s="4" t="s">
        <v>363</v>
      </c>
      <c r="C710" s="4" t="s">
        <v>12</v>
      </c>
      <c r="D710" s="21">
        <v>275000</v>
      </c>
      <c r="E710" s="4">
        <v>35</v>
      </c>
      <c r="F710" s="4">
        <v>3</v>
      </c>
      <c r="G710" s="4">
        <v>1</v>
      </c>
      <c r="H710" s="10">
        <v>1100</v>
      </c>
      <c r="I710" s="11">
        <f t="shared" si="22"/>
        <v>250</v>
      </c>
      <c r="J710" s="3" t="str">
        <f t="shared" si="23"/>
        <v>Medium</v>
      </c>
    </row>
    <row r="711" spans="1:10">
      <c r="A711" s="7" t="s">
        <v>760</v>
      </c>
      <c r="B711" s="7" t="s">
        <v>298</v>
      </c>
      <c r="C711" s="7" t="s">
        <v>12</v>
      </c>
      <c r="D711" s="22">
        <v>275000</v>
      </c>
      <c r="E711" s="7">
        <v>10</v>
      </c>
      <c r="F711" s="7">
        <v>3</v>
      </c>
      <c r="G711" s="7">
        <v>2</v>
      </c>
      <c r="H711" s="12">
        <v>1854</v>
      </c>
      <c r="I711" s="9">
        <f t="shared" si="22"/>
        <v>148.32793959007552</v>
      </c>
      <c r="J711" s="3" t="str">
        <f t="shared" si="23"/>
        <v>Low</v>
      </c>
    </row>
    <row r="712" spans="1:10">
      <c r="A712" s="4" t="s">
        <v>761</v>
      </c>
      <c r="B712" s="4" t="s">
        <v>73</v>
      </c>
      <c r="C712" s="4" t="s">
        <v>12</v>
      </c>
      <c r="D712" s="21">
        <v>275000</v>
      </c>
      <c r="E712" s="4">
        <v>20</v>
      </c>
      <c r="F712" s="4">
        <v>3</v>
      </c>
      <c r="G712" s="4">
        <v>1.1000000000000001</v>
      </c>
      <c r="H712" s="10">
        <v>1595</v>
      </c>
      <c r="I712" s="11">
        <f t="shared" si="22"/>
        <v>172.41379310344828</v>
      </c>
      <c r="J712" s="3" t="str">
        <f t="shared" si="23"/>
        <v>Low</v>
      </c>
    </row>
    <row r="713" spans="1:10">
      <c r="A713" s="7" t="s">
        <v>762</v>
      </c>
      <c r="B713" s="7" t="s">
        <v>83</v>
      </c>
      <c r="C713" s="7" t="s">
        <v>12</v>
      </c>
      <c r="D713" s="22">
        <v>275000</v>
      </c>
      <c r="E713" s="7">
        <v>6</v>
      </c>
      <c r="F713" s="7">
        <v>3</v>
      </c>
      <c r="G713" s="7">
        <v>2.1</v>
      </c>
      <c r="H713" s="12">
        <v>1717</v>
      </c>
      <c r="I713" s="9">
        <f t="shared" si="22"/>
        <v>160.16307513104252</v>
      </c>
      <c r="J713" s="3" t="str">
        <f t="shared" si="23"/>
        <v>Low</v>
      </c>
    </row>
    <row r="714" spans="1:10">
      <c r="A714" s="4" t="s">
        <v>763</v>
      </c>
      <c r="B714" s="4" t="s">
        <v>212</v>
      </c>
      <c r="C714" s="4" t="s">
        <v>12</v>
      </c>
      <c r="D714" s="21">
        <v>275000</v>
      </c>
      <c r="E714" s="4">
        <v>143</v>
      </c>
      <c r="F714" s="4">
        <v>3</v>
      </c>
      <c r="G714" s="4">
        <v>1.1000000000000001</v>
      </c>
      <c r="H714" s="10">
        <v>1436</v>
      </c>
      <c r="I714" s="11">
        <f t="shared" si="22"/>
        <v>191.50417827298051</v>
      </c>
      <c r="J714" s="3" t="str">
        <f t="shared" si="23"/>
        <v>Low</v>
      </c>
    </row>
    <row r="715" spans="1:10">
      <c r="A715" s="7" t="s">
        <v>764</v>
      </c>
      <c r="B715" s="7" t="s">
        <v>54</v>
      </c>
      <c r="C715" s="7" t="s">
        <v>12</v>
      </c>
      <c r="D715" s="22">
        <v>275000</v>
      </c>
      <c r="E715" s="7">
        <v>191</v>
      </c>
      <c r="F715" s="7">
        <v>4</v>
      </c>
      <c r="G715" s="7">
        <v>2</v>
      </c>
      <c r="H715" s="12">
        <v>2831</v>
      </c>
      <c r="I715" s="9">
        <f t="shared" si="22"/>
        <v>97.138820204874605</v>
      </c>
      <c r="J715" s="3" t="str">
        <f t="shared" si="23"/>
        <v>Low</v>
      </c>
    </row>
    <row r="716" spans="1:10">
      <c r="A716" s="4" t="s">
        <v>765</v>
      </c>
      <c r="B716" s="4" t="s">
        <v>54</v>
      </c>
      <c r="C716" s="4" t="s">
        <v>12</v>
      </c>
      <c r="D716" s="21">
        <v>275000</v>
      </c>
      <c r="E716" s="4">
        <v>266</v>
      </c>
      <c r="F716" s="4">
        <v>4</v>
      </c>
      <c r="G716" s="4">
        <v>2</v>
      </c>
      <c r="H716" s="10">
        <v>2831</v>
      </c>
      <c r="I716" s="11">
        <f t="shared" si="22"/>
        <v>97.138820204874605</v>
      </c>
      <c r="J716" s="3" t="str">
        <f t="shared" si="23"/>
        <v>Low</v>
      </c>
    </row>
    <row r="717" spans="1:10">
      <c r="A717" s="7" t="s">
        <v>766</v>
      </c>
      <c r="B717" s="7" t="s">
        <v>14</v>
      </c>
      <c r="C717" s="7" t="s">
        <v>12</v>
      </c>
      <c r="D717" s="22">
        <v>275990</v>
      </c>
      <c r="E717" s="7">
        <v>78</v>
      </c>
      <c r="F717" s="7">
        <v>4</v>
      </c>
      <c r="G717" s="7">
        <v>3</v>
      </c>
      <c r="H717" s="12">
        <v>1774</v>
      </c>
      <c r="I717" s="9">
        <f t="shared" si="22"/>
        <v>155.57497181510709</v>
      </c>
      <c r="J717" s="3" t="str">
        <f t="shared" si="23"/>
        <v>Low</v>
      </c>
    </row>
    <row r="718" spans="1:10">
      <c r="A718" s="4" t="s">
        <v>767</v>
      </c>
      <c r="B718" s="4" t="s">
        <v>282</v>
      </c>
      <c r="C718" s="4" t="s">
        <v>12</v>
      </c>
      <c r="D718" s="21">
        <v>278000</v>
      </c>
      <c r="E718" s="4">
        <v>144</v>
      </c>
      <c r="F718" s="4">
        <v>3</v>
      </c>
      <c r="G718" s="4">
        <v>1</v>
      </c>
      <c r="H718" s="10">
        <v>1103</v>
      </c>
      <c r="I718" s="11">
        <f t="shared" si="22"/>
        <v>252.03989120580235</v>
      </c>
      <c r="J718" s="3" t="str">
        <f t="shared" si="23"/>
        <v>Medium</v>
      </c>
    </row>
    <row r="719" spans="1:10">
      <c r="A719" s="7" t="s">
        <v>768</v>
      </c>
      <c r="B719" s="7" t="s">
        <v>398</v>
      </c>
      <c r="C719" s="7" t="s">
        <v>12</v>
      </c>
      <c r="D719" s="22">
        <v>278500</v>
      </c>
      <c r="E719" s="7">
        <v>3</v>
      </c>
      <c r="F719" s="7">
        <v>3</v>
      </c>
      <c r="G719" s="7">
        <v>1.1000000000000001</v>
      </c>
      <c r="H719" s="12">
        <v>1459</v>
      </c>
      <c r="I719" s="9">
        <f t="shared" si="22"/>
        <v>190.88416723783413</v>
      </c>
      <c r="J719" s="3" t="str">
        <f t="shared" si="23"/>
        <v>Low</v>
      </c>
    </row>
    <row r="720" spans="1:10">
      <c r="A720" s="4" t="s">
        <v>769</v>
      </c>
      <c r="B720" s="4" t="s">
        <v>80</v>
      </c>
      <c r="C720" s="4" t="s">
        <v>12</v>
      </c>
      <c r="D720" s="21">
        <v>279000</v>
      </c>
      <c r="E720" s="4">
        <v>25</v>
      </c>
      <c r="F720" s="4">
        <v>3</v>
      </c>
      <c r="G720" s="4">
        <v>2</v>
      </c>
      <c r="H720" s="10">
        <v>1248</v>
      </c>
      <c r="I720" s="11">
        <f t="shared" si="22"/>
        <v>223.55769230769232</v>
      </c>
      <c r="J720" s="3" t="str">
        <f t="shared" si="23"/>
        <v>Medium</v>
      </c>
    </row>
    <row r="721" spans="1:10">
      <c r="A721" s="7" t="s">
        <v>770</v>
      </c>
      <c r="B721" s="7" t="s">
        <v>11</v>
      </c>
      <c r="C721" s="7" t="s">
        <v>12</v>
      </c>
      <c r="D721" s="22">
        <v>279000</v>
      </c>
      <c r="E721" s="7">
        <v>88</v>
      </c>
      <c r="F721" s="7">
        <v>3</v>
      </c>
      <c r="G721" s="7">
        <v>2</v>
      </c>
      <c r="H721" s="12">
        <v>2056</v>
      </c>
      <c r="I721" s="9">
        <f t="shared" si="22"/>
        <v>135.70038910505838</v>
      </c>
      <c r="J721" s="3" t="str">
        <f t="shared" si="23"/>
        <v>Low</v>
      </c>
    </row>
    <row r="722" spans="1:10">
      <c r="A722" s="4" t="s">
        <v>771</v>
      </c>
      <c r="B722" s="4" t="s">
        <v>70</v>
      </c>
      <c r="C722" s="4" t="s">
        <v>12</v>
      </c>
      <c r="D722" s="21">
        <v>280000</v>
      </c>
      <c r="E722" s="4">
        <v>6</v>
      </c>
      <c r="F722" s="4">
        <v>2</v>
      </c>
      <c r="G722" s="4">
        <v>2</v>
      </c>
      <c r="H722" s="10">
        <v>1050</v>
      </c>
      <c r="I722" s="11">
        <f t="shared" si="22"/>
        <v>266.66666666666669</v>
      </c>
      <c r="J722" s="3" t="str">
        <f t="shared" si="23"/>
        <v>Medium</v>
      </c>
    </row>
    <row r="723" spans="1:10">
      <c r="A723" s="7" t="s">
        <v>772</v>
      </c>
      <c r="B723" s="7" t="s">
        <v>25</v>
      </c>
      <c r="C723" s="7" t="s">
        <v>12</v>
      </c>
      <c r="D723" s="22">
        <v>280000</v>
      </c>
      <c r="E723" s="7">
        <v>7</v>
      </c>
      <c r="F723" s="7">
        <v>3</v>
      </c>
      <c r="G723" s="7">
        <v>2</v>
      </c>
      <c r="H723" s="12">
        <v>1212</v>
      </c>
      <c r="I723" s="9">
        <f t="shared" si="22"/>
        <v>231.02310231023102</v>
      </c>
      <c r="J723" s="3" t="str">
        <f t="shared" si="23"/>
        <v>Medium</v>
      </c>
    </row>
    <row r="724" spans="1:10">
      <c r="A724" s="4" t="s">
        <v>773</v>
      </c>
      <c r="B724" s="4" t="s">
        <v>131</v>
      </c>
      <c r="C724" s="4" t="s">
        <v>12</v>
      </c>
      <c r="D724" s="21">
        <v>280000</v>
      </c>
      <c r="E724" s="4">
        <v>6</v>
      </c>
      <c r="F724" s="4">
        <v>3</v>
      </c>
      <c r="G724" s="4">
        <v>1</v>
      </c>
      <c r="H724" s="10">
        <v>1124</v>
      </c>
      <c r="I724" s="11">
        <f t="shared" si="22"/>
        <v>249.11032028469751</v>
      </c>
      <c r="J724" s="3" t="str">
        <f t="shared" si="23"/>
        <v>Medium</v>
      </c>
    </row>
    <row r="725" spans="1:10">
      <c r="A725" s="7" t="s">
        <v>774</v>
      </c>
      <c r="B725" s="7" t="s">
        <v>80</v>
      </c>
      <c r="C725" s="7" t="s">
        <v>12</v>
      </c>
      <c r="D725" s="22">
        <v>280000</v>
      </c>
      <c r="E725" s="7">
        <v>4</v>
      </c>
      <c r="F725" s="7">
        <v>3</v>
      </c>
      <c r="G725" s="7">
        <v>2</v>
      </c>
      <c r="H725" s="12">
        <v>1665</v>
      </c>
      <c r="I725" s="9">
        <f t="shared" si="22"/>
        <v>168.16816816816817</v>
      </c>
      <c r="J725" s="3" t="str">
        <f t="shared" si="23"/>
        <v>Low</v>
      </c>
    </row>
    <row r="726" spans="1:10">
      <c r="A726" s="4" t="s">
        <v>775</v>
      </c>
      <c r="B726" s="4" t="s">
        <v>56</v>
      </c>
      <c r="C726" s="4" t="s">
        <v>12</v>
      </c>
      <c r="D726" s="21">
        <v>280000</v>
      </c>
      <c r="E726" s="4">
        <v>17</v>
      </c>
      <c r="F726" s="4">
        <v>3</v>
      </c>
      <c r="G726" s="4">
        <v>1.1000000000000001</v>
      </c>
      <c r="H726" s="10">
        <v>1144</v>
      </c>
      <c r="I726" s="11">
        <f t="shared" si="22"/>
        <v>244.75524475524475</v>
      </c>
      <c r="J726" s="3" t="str">
        <f t="shared" si="23"/>
        <v>Medium</v>
      </c>
    </row>
    <row r="727" spans="1:10">
      <c r="A727" s="7" t="s">
        <v>776</v>
      </c>
      <c r="B727" s="7" t="s">
        <v>117</v>
      </c>
      <c r="C727" s="7" t="s">
        <v>12</v>
      </c>
      <c r="D727" s="22">
        <v>280000</v>
      </c>
      <c r="E727" s="7">
        <v>6</v>
      </c>
      <c r="F727" s="7">
        <v>3</v>
      </c>
      <c r="G727" s="7">
        <v>2</v>
      </c>
      <c r="H727" s="12">
        <v>1978</v>
      </c>
      <c r="I727" s="9">
        <f t="shared" si="22"/>
        <v>141.55712841253791</v>
      </c>
      <c r="J727" s="3" t="str">
        <f t="shared" si="23"/>
        <v>Low</v>
      </c>
    </row>
    <row r="728" spans="1:10">
      <c r="A728" s="4" t="s">
        <v>777</v>
      </c>
      <c r="B728" s="4" t="s">
        <v>77</v>
      </c>
      <c r="C728" s="4" t="s">
        <v>12</v>
      </c>
      <c r="D728" s="21">
        <v>280000</v>
      </c>
      <c r="E728" s="4">
        <v>55</v>
      </c>
      <c r="F728" s="4">
        <v>3</v>
      </c>
      <c r="G728" s="4">
        <v>1</v>
      </c>
      <c r="H728" s="10">
        <v>1765</v>
      </c>
      <c r="I728" s="11">
        <f t="shared" si="22"/>
        <v>158.64022662889519</v>
      </c>
      <c r="J728" s="3" t="str">
        <f t="shared" si="23"/>
        <v>Low</v>
      </c>
    </row>
    <row r="729" spans="1:10">
      <c r="A729" s="7" t="s">
        <v>778</v>
      </c>
      <c r="B729" s="7" t="s">
        <v>25</v>
      </c>
      <c r="C729" s="7" t="s">
        <v>12</v>
      </c>
      <c r="D729" s="22">
        <v>280000</v>
      </c>
      <c r="E729" s="7">
        <v>53</v>
      </c>
      <c r="F729" s="7">
        <v>4</v>
      </c>
      <c r="G729" s="7">
        <v>1.1000000000000001</v>
      </c>
      <c r="H729" s="12">
        <v>1780</v>
      </c>
      <c r="I729" s="9">
        <f t="shared" si="22"/>
        <v>157.30337078651687</v>
      </c>
      <c r="J729" s="3" t="str">
        <f t="shared" si="23"/>
        <v>Low</v>
      </c>
    </row>
    <row r="730" spans="1:10">
      <c r="A730" s="4" t="s">
        <v>779</v>
      </c>
      <c r="B730" s="4" t="s">
        <v>54</v>
      </c>
      <c r="C730" s="4" t="s">
        <v>12</v>
      </c>
      <c r="D730" s="21">
        <v>280000</v>
      </c>
      <c r="E730" s="4">
        <v>7</v>
      </c>
      <c r="F730" s="4">
        <v>4</v>
      </c>
      <c r="G730" s="4">
        <v>3</v>
      </c>
      <c r="H730" s="10">
        <v>2607</v>
      </c>
      <c r="I730" s="11">
        <f t="shared" si="22"/>
        <v>107.40314537782892</v>
      </c>
      <c r="J730" s="3" t="str">
        <f t="shared" si="23"/>
        <v>Low</v>
      </c>
    </row>
    <row r="731" spans="1:10">
      <c r="A731" s="7" t="s">
        <v>780</v>
      </c>
      <c r="B731" s="7" t="s">
        <v>331</v>
      </c>
      <c r="C731" s="7" t="s">
        <v>12</v>
      </c>
      <c r="D731" s="22">
        <v>280000</v>
      </c>
      <c r="E731" s="7">
        <v>7</v>
      </c>
      <c r="F731" s="7">
        <v>4</v>
      </c>
      <c r="G731" s="7">
        <v>1.1000000000000001</v>
      </c>
      <c r="H731" s="12">
        <v>1326</v>
      </c>
      <c r="I731" s="9">
        <f t="shared" si="22"/>
        <v>211.16138763197586</v>
      </c>
      <c r="J731" s="3" t="str">
        <f t="shared" si="23"/>
        <v>Medium</v>
      </c>
    </row>
    <row r="732" spans="1:10">
      <c r="A732" s="4" t="s">
        <v>781</v>
      </c>
      <c r="B732" s="4" t="s">
        <v>73</v>
      </c>
      <c r="C732" s="4" t="s">
        <v>12</v>
      </c>
      <c r="D732" s="21">
        <v>280000</v>
      </c>
      <c r="E732" s="4">
        <v>53</v>
      </c>
      <c r="F732" s="4">
        <v>3</v>
      </c>
      <c r="G732" s="4">
        <v>1.1000000000000001</v>
      </c>
      <c r="H732" s="10">
        <v>1566</v>
      </c>
      <c r="I732" s="11">
        <f t="shared" si="22"/>
        <v>178.79948914431674</v>
      </c>
      <c r="J732" s="3" t="str">
        <f t="shared" si="23"/>
        <v>Low</v>
      </c>
    </row>
    <row r="733" spans="1:10">
      <c r="A733" s="7" t="s">
        <v>782</v>
      </c>
      <c r="B733" s="7" t="s">
        <v>73</v>
      </c>
      <c r="C733" s="7" t="s">
        <v>12</v>
      </c>
      <c r="D733" s="22">
        <v>280000</v>
      </c>
      <c r="E733" s="7">
        <v>76</v>
      </c>
      <c r="F733" s="7">
        <v>3</v>
      </c>
      <c r="G733" s="7">
        <v>2</v>
      </c>
      <c r="H733" s="12">
        <v>1557</v>
      </c>
      <c r="I733" s="9">
        <f t="shared" si="22"/>
        <v>179.83301220295439</v>
      </c>
      <c r="J733" s="3" t="str">
        <f t="shared" si="23"/>
        <v>Low</v>
      </c>
    </row>
    <row r="734" spans="1:10">
      <c r="A734" s="4" t="s">
        <v>783</v>
      </c>
      <c r="B734" s="4" t="s">
        <v>318</v>
      </c>
      <c r="C734" s="4" t="s">
        <v>12</v>
      </c>
      <c r="D734" s="21">
        <v>280000</v>
      </c>
      <c r="E734" s="4">
        <v>44</v>
      </c>
      <c r="F734" s="4">
        <v>3</v>
      </c>
      <c r="G734" s="4">
        <v>2</v>
      </c>
      <c r="H734" s="10">
        <v>1439</v>
      </c>
      <c r="I734" s="11">
        <f t="shared" si="22"/>
        <v>194.57956914523976</v>
      </c>
      <c r="J734" s="3" t="str">
        <f t="shared" si="23"/>
        <v>Low</v>
      </c>
    </row>
    <row r="735" spans="1:10">
      <c r="A735" s="7" t="s">
        <v>784</v>
      </c>
      <c r="B735" s="7" t="s">
        <v>83</v>
      </c>
      <c r="C735" s="7" t="s">
        <v>12</v>
      </c>
      <c r="D735" s="22">
        <v>280000</v>
      </c>
      <c r="E735" s="7">
        <v>75</v>
      </c>
      <c r="F735" s="7">
        <v>3</v>
      </c>
      <c r="G735" s="7">
        <v>2</v>
      </c>
      <c r="H735" s="12">
        <v>1187</v>
      </c>
      <c r="I735" s="9">
        <f t="shared" si="22"/>
        <v>235.88879528222409</v>
      </c>
      <c r="J735" s="3" t="str">
        <f t="shared" si="23"/>
        <v>Medium</v>
      </c>
    </row>
    <row r="736" spans="1:10">
      <c r="A736" s="4" t="s">
        <v>785</v>
      </c>
      <c r="B736" s="4" t="s">
        <v>131</v>
      </c>
      <c r="C736" s="4" t="s">
        <v>12</v>
      </c>
      <c r="D736" s="21">
        <v>280000</v>
      </c>
      <c r="E736" s="4">
        <v>252</v>
      </c>
      <c r="F736" s="4">
        <v>3</v>
      </c>
      <c r="G736" s="4">
        <v>2</v>
      </c>
      <c r="H736" s="4">
        <v>807</v>
      </c>
      <c r="I736" s="11">
        <f t="shared" si="22"/>
        <v>346.96406443618338</v>
      </c>
      <c r="J736" s="3" t="str">
        <f t="shared" si="23"/>
        <v>High</v>
      </c>
    </row>
    <row r="737" spans="1:10">
      <c r="A737" s="7" t="s">
        <v>786</v>
      </c>
      <c r="B737" s="7" t="s">
        <v>11</v>
      </c>
      <c r="C737" s="7" t="s">
        <v>12</v>
      </c>
      <c r="D737" s="22">
        <v>281000</v>
      </c>
      <c r="E737" s="7">
        <v>24</v>
      </c>
      <c r="F737" s="7">
        <v>2</v>
      </c>
      <c r="G737" s="7">
        <v>1.1000000000000001</v>
      </c>
      <c r="H737" s="12">
        <v>1378</v>
      </c>
      <c r="I737" s="9">
        <f t="shared" si="22"/>
        <v>203.91872278664732</v>
      </c>
      <c r="J737" s="3" t="str">
        <f t="shared" si="23"/>
        <v>Medium</v>
      </c>
    </row>
    <row r="738" spans="1:10">
      <c r="A738" s="4" t="s">
        <v>787</v>
      </c>
      <c r="B738" s="4" t="s">
        <v>282</v>
      </c>
      <c r="C738" s="4" t="s">
        <v>12</v>
      </c>
      <c r="D738" s="21">
        <v>281000</v>
      </c>
      <c r="E738" s="4">
        <v>69</v>
      </c>
      <c r="F738" s="4">
        <v>3</v>
      </c>
      <c r="G738" s="4">
        <v>1.1000000000000001</v>
      </c>
      <c r="H738" s="10">
        <v>1394</v>
      </c>
      <c r="I738" s="11">
        <f t="shared" si="22"/>
        <v>201.57819225251077</v>
      </c>
      <c r="J738" s="3" t="str">
        <f t="shared" si="23"/>
        <v>Medium</v>
      </c>
    </row>
    <row r="739" spans="1:10">
      <c r="A739" s="7" t="s">
        <v>788</v>
      </c>
      <c r="B739" s="7" t="s">
        <v>282</v>
      </c>
      <c r="C739" s="7" t="s">
        <v>12</v>
      </c>
      <c r="D739" s="22">
        <v>282000</v>
      </c>
      <c r="E739" s="7">
        <v>4</v>
      </c>
      <c r="F739" s="7">
        <v>3</v>
      </c>
      <c r="G739" s="7">
        <v>1</v>
      </c>
      <c r="H739" s="12">
        <v>1007</v>
      </c>
      <c r="I739" s="9">
        <f t="shared" si="22"/>
        <v>280.03972194637538</v>
      </c>
      <c r="J739" s="3" t="str">
        <f t="shared" si="23"/>
        <v>Medium</v>
      </c>
    </row>
    <row r="740" spans="1:10">
      <c r="A740" s="4" t="s">
        <v>789</v>
      </c>
      <c r="B740" s="4" t="s">
        <v>42</v>
      </c>
      <c r="C740" s="4" t="s">
        <v>12</v>
      </c>
      <c r="D740" s="21">
        <v>282000</v>
      </c>
      <c r="E740" s="4">
        <v>3</v>
      </c>
      <c r="F740" s="4">
        <v>3</v>
      </c>
      <c r="G740" s="4">
        <v>1.1000000000000001</v>
      </c>
      <c r="H740" s="10">
        <v>1440</v>
      </c>
      <c r="I740" s="11">
        <f t="shared" si="22"/>
        <v>195.83333333333334</v>
      </c>
      <c r="J740" s="3" t="str">
        <f t="shared" si="23"/>
        <v>Low</v>
      </c>
    </row>
    <row r="741" spans="1:10">
      <c r="A741" s="7" t="s">
        <v>790</v>
      </c>
      <c r="B741" s="7" t="s">
        <v>18</v>
      </c>
      <c r="C741" s="7" t="s">
        <v>12</v>
      </c>
      <c r="D741" s="22">
        <v>282000</v>
      </c>
      <c r="E741" s="7">
        <v>13</v>
      </c>
      <c r="F741" s="7">
        <v>2</v>
      </c>
      <c r="G741" s="7">
        <v>2</v>
      </c>
      <c r="H741" s="12">
        <v>1339</v>
      </c>
      <c r="I741" s="9">
        <f t="shared" si="22"/>
        <v>210.604929051531</v>
      </c>
      <c r="J741" s="3" t="str">
        <f t="shared" si="23"/>
        <v>Medium</v>
      </c>
    </row>
    <row r="742" spans="1:10">
      <c r="A742" s="4" t="s">
        <v>791</v>
      </c>
      <c r="B742" s="4" t="s">
        <v>363</v>
      </c>
      <c r="C742" s="4" t="s">
        <v>12</v>
      </c>
      <c r="D742" s="21">
        <v>282250</v>
      </c>
      <c r="E742" s="4">
        <v>14</v>
      </c>
      <c r="F742" s="4">
        <v>3</v>
      </c>
      <c r="G742" s="4">
        <v>1.1000000000000001</v>
      </c>
      <c r="H742" s="10">
        <v>1015</v>
      </c>
      <c r="I742" s="11">
        <f t="shared" si="22"/>
        <v>278.07881773399015</v>
      </c>
      <c r="J742" s="3" t="str">
        <f t="shared" si="23"/>
        <v>Medium</v>
      </c>
    </row>
    <row r="743" spans="1:10">
      <c r="A743" s="7" t="s">
        <v>792</v>
      </c>
      <c r="B743" s="7" t="s">
        <v>268</v>
      </c>
      <c r="C743" s="7" t="s">
        <v>12</v>
      </c>
      <c r="D743" s="22">
        <v>282500</v>
      </c>
      <c r="E743" s="7">
        <v>13</v>
      </c>
      <c r="F743" s="7">
        <v>3</v>
      </c>
      <c r="G743" s="7">
        <v>3</v>
      </c>
      <c r="H743" s="12">
        <v>1500</v>
      </c>
      <c r="I743" s="9">
        <f t="shared" si="22"/>
        <v>188.33333333333334</v>
      </c>
      <c r="J743" s="3" t="str">
        <f t="shared" si="23"/>
        <v>Low</v>
      </c>
    </row>
    <row r="744" spans="1:10">
      <c r="A744" s="4" t="s">
        <v>793</v>
      </c>
      <c r="B744" s="4" t="s">
        <v>42</v>
      </c>
      <c r="C744" s="4" t="s">
        <v>12</v>
      </c>
      <c r="D744" s="21">
        <v>283000</v>
      </c>
      <c r="E744" s="4">
        <v>6</v>
      </c>
      <c r="F744" s="4">
        <v>4</v>
      </c>
      <c r="G744" s="4">
        <v>2.1</v>
      </c>
      <c r="H744" s="10">
        <v>1460</v>
      </c>
      <c r="I744" s="11">
        <f t="shared" si="22"/>
        <v>193.83561643835617</v>
      </c>
      <c r="J744" s="3" t="str">
        <f t="shared" si="23"/>
        <v>Low</v>
      </c>
    </row>
    <row r="745" spans="1:10">
      <c r="A745" s="7" t="s">
        <v>794</v>
      </c>
      <c r="B745" s="7" t="s">
        <v>131</v>
      </c>
      <c r="C745" s="7" t="s">
        <v>12</v>
      </c>
      <c r="D745" s="22">
        <v>284000</v>
      </c>
      <c r="E745" s="7">
        <v>4</v>
      </c>
      <c r="F745" s="7">
        <v>3</v>
      </c>
      <c r="G745" s="7">
        <v>1</v>
      </c>
      <c r="H745" s="7">
        <v>997</v>
      </c>
      <c r="I745" s="9">
        <f t="shared" si="22"/>
        <v>284.85456369107322</v>
      </c>
      <c r="J745" s="3" t="str">
        <f t="shared" si="23"/>
        <v>Medium</v>
      </c>
    </row>
    <row r="746" spans="1:10">
      <c r="A746" s="4" t="s">
        <v>795</v>
      </c>
      <c r="B746" s="4" t="s">
        <v>73</v>
      </c>
      <c r="C746" s="4" t="s">
        <v>12</v>
      </c>
      <c r="D746" s="21">
        <v>285000</v>
      </c>
      <c r="E746" s="4">
        <v>4</v>
      </c>
      <c r="F746" s="4">
        <v>3</v>
      </c>
      <c r="G746" s="4">
        <v>1.1000000000000001</v>
      </c>
      <c r="H746" s="10">
        <v>1692</v>
      </c>
      <c r="I746" s="11">
        <f t="shared" si="22"/>
        <v>168.43971631205673</v>
      </c>
      <c r="J746" s="3" t="str">
        <f t="shared" si="23"/>
        <v>Low</v>
      </c>
    </row>
    <row r="747" spans="1:10">
      <c r="A747" s="7" t="s">
        <v>796</v>
      </c>
      <c r="B747" s="7" t="s">
        <v>70</v>
      </c>
      <c r="C747" s="7" t="s">
        <v>12</v>
      </c>
      <c r="D747" s="22">
        <v>285000</v>
      </c>
      <c r="E747" s="7">
        <v>3</v>
      </c>
      <c r="F747" s="7">
        <v>3</v>
      </c>
      <c r="G747" s="7">
        <v>2</v>
      </c>
      <c r="H747" s="12">
        <v>1533</v>
      </c>
      <c r="I747" s="9">
        <f t="shared" si="22"/>
        <v>185.90998043052838</v>
      </c>
      <c r="J747" s="3" t="str">
        <f t="shared" si="23"/>
        <v>Low</v>
      </c>
    </row>
    <row r="748" spans="1:10">
      <c r="A748" s="4" t="s">
        <v>797</v>
      </c>
      <c r="B748" s="4" t="s">
        <v>73</v>
      </c>
      <c r="C748" s="4" t="s">
        <v>12</v>
      </c>
      <c r="D748" s="21">
        <v>285000</v>
      </c>
      <c r="E748" s="4">
        <v>13</v>
      </c>
      <c r="F748" s="4">
        <v>4</v>
      </c>
      <c r="G748" s="4">
        <v>2.1</v>
      </c>
      <c r="H748" s="10">
        <v>1919</v>
      </c>
      <c r="I748" s="11">
        <f t="shared" si="22"/>
        <v>148.51485148514851</v>
      </c>
      <c r="J748" s="3" t="str">
        <f t="shared" si="23"/>
        <v>Low</v>
      </c>
    </row>
    <row r="749" spans="1:10">
      <c r="A749" s="7" t="s">
        <v>798</v>
      </c>
      <c r="B749" s="7" t="s">
        <v>11</v>
      </c>
      <c r="C749" s="7" t="s">
        <v>12</v>
      </c>
      <c r="D749" s="22">
        <v>285000</v>
      </c>
      <c r="E749" s="7">
        <v>36</v>
      </c>
      <c r="F749" s="7">
        <v>5</v>
      </c>
      <c r="G749" s="7">
        <v>4</v>
      </c>
      <c r="H749" s="12">
        <v>1364</v>
      </c>
      <c r="I749" s="9">
        <f t="shared" si="22"/>
        <v>208.94428152492668</v>
      </c>
      <c r="J749" s="3" t="str">
        <f t="shared" si="23"/>
        <v>Medium</v>
      </c>
    </row>
    <row r="750" spans="1:10">
      <c r="A750" s="4" t="s">
        <v>799</v>
      </c>
      <c r="B750" s="4" t="s">
        <v>80</v>
      </c>
      <c r="C750" s="4" t="s">
        <v>12</v>
      </c>
      <c r="D750" s="21">
        <v>285000</v>
      </c>
      <c r="E750" s="4">
        <v>10</v>
      </c>
      <c r="F750" s="4">
        <v>3</v>
      </c>
      <c r="G750" s="4">
        <v>2</v>
      </c>
      <c r="H750" s="10">
        <v>1400</v>
      </c>
      <c r="I750" s="11">
        <f t="shared" si="22"/>
        <v>203.57142857142858</v>
      </c>
      <c r="J750" s="3" t="str">
        <f t="shared" si="23"/>
        <v>Medium</v>
      </c>
    </row>
    <row r="751" spans="1:10">
      <c r="A751" s="7" t="s">
        <v>800</v>
      </c>
      <c r="B751" s="7" t="s">
        <v>42</v>
      </c>
      <c r="C751" s="7" t="s">
        <v>12</v>
      </c>
      <c r="D751" s="22">
        <v>285000</v>
      </c>
      <c r="E751" s="7">
        <v>3</v>
      </c>
      <c r="F751" s="7">
        <v>3</v>
      </c>
      <c r="G751" s="7">
        <v>2</v>
      </c>
      <c r="H751" s="12">
        <v>1013</v>
      </c>
      <c r="I751" s="9">
        <f t="shared" si="22"/>
        <v>281.3425468904245</v>
      </c>
      <c r="J751" s="3" t="str">
        <f t="shared" si="23"/>
        <v>Medium</v>
      </c>
    </row>
    <row r="752" spans="1:10">
      <c r="A752" s="4" t="s">
        <v>801</v>
      </c>
      <c r="B752" s="4" t="s">
        <v>131</v>
      </c>
      <c r="C752" s="4" t="s">
        <v>12</v>
      </c>
      <c r="D752" s="21">
        <v>285000</v>
      </c>
      <c r="E752" s="4">
        <v>19</v>
      </c>
      <c r="F752" s="4">
        <v>3</v>
      </c>
      <c r="G752" s="4">
        <v>1</v>
      </c>
      <c r="H752" s="4">
        <v>989</v>
      </c>
      <c r="I752" s="11">
        <f t="shared" si="22"/>
        <v>288.16986855409505</v>
      </c>
      <c r="J752" s="3" t="str">
        <f t="shared" si="23"/>
        <v>Medium</v>
      </c>
    </row>
    <row r="753" spans="1:10">
      <c r="A753" s="7" t="s">
        <v>802</v>
      </c>
      <c r="B753" s="7" t="s">
        <v>70</v>
      </c>
      <c r="C753" s="7" t="s">
        <v>12</v>
      </c>
      <c r="D753" s="22">
        <v>285000</v>
      </c>
      <c r="E753" s="7">
        <v>11</v>
      </c>
      <c r="F753" s="7">
        <v>3</v>
      </c>
      <c r="G753" s="7">
        <v>1.1000000000000001</v>
      </c>
      <c r="H753" s="12">
        <v>1390</v>
      </c>
      <c r="I753" s="9">
        <f t="shared" si="22"/>
        <v>205.03597122302159</v>
      </c>
      <c r="J753" s="3" t="str">
        <f t="shared" si="23"/>
        <v>Medium</v>
      </c>
    </row>
    <row r="754" spans="1:10">
      <c r="A754" s="4" t="s">
        <v>803</v>
      </c>
      <c r="B754" s="4" t="s">
        <v>77</v>
      </c>
      <c r="C754" s="4" t="s">
        <v>12</v>
      </c>
      <c r="D754" s="21">
        <v>285000</v>
      </c>
      <c r="E754" s="4">
        <v>8</v>
      </c>
      <c r="F754" s="4">
        <v>3</v>
      </c>
      <c r="G754" s="4">
        <v>1.1000000000000001</v>
      </c>
      <c r="H754" s="10">
        <v>1386</v>
      </c>
      <c r="I754" s="11">
        <f t="shared" si="22"/>
        <v>205.62770562770564</v>
      </c>
      <c r="J754" s="3" t="str">
        <f t="shared" si="23"/>
        <v>Medium</v>
      </c>
    </row>
    <row r="755" spans="1:10">
      <c r="A755" s="7" t="s">
        <v>804</v>
      </c>
      <c r="B755" s="7" t="s">
        <v>11</v>
      </c>
      <c r="C755" s="7" t="s">
        <v>12</v>
      </c>
      <c r="D755" s="22">
        <v>285000</v>
      </c>
      <c r="E755" s="7">
        <v>34</v>
      </c>
      <c r="F755" s="7">
        <v>3</v>
      </c>
      <c r="G755" s="7">
        <v>2.1</v>
      </c>
      <c r="H755" s="12">
        <v>1786</v>
      </c>
      <c r="I755" s="9">
        <f t="shared" si="22"/>
        <v>159.57446808510639</v>
      </c>
      <c r="J755" s="3" t="str">
        <f t="shared" si="23"/>
        <v>Low</v>
      </c>
    </row>
    <row r="756" spans="1:10">
      <c r="A756" s="4" t="s">
        <v>805</v>
      </c>
      <c r="B756" s="4" t="s">
        <v>11</v>
      </c>
      <c r="C756" s="4" t="s">
        <v>12</v>
      </c>
      <c r="D756" s="21">
        <v>285000</v>
      </c>
      <c r="E756" s="4">
        <v>25</v>
      </c>
      <c r="F756" s="4">
        <v>3</v>
      </c>
      <c r="G756" s="4">
        <v>2</v>
      </c>
      <c r="H756" s="10">
        <v>1127</v>
      </c>
      <c r="I756" s="11">
        <f t="shared" si="22"/>
        <v>252.88376220053237</v>
      </c>
      <c r="J756" s="3" t="str">
        <f t="shared" si="23"/>
        <v>Medium</v>
      </c>
    </row>
    <row r="757" spans="1:10">
      <c r="A757" s="7" t="s">
        <v>806</v>
      </c>
      <c r="B757" s="7" t="s">
        <v>11</v>
      </c>
      <c r="C757" s="7" t="s">
        <v>12</v>
      </c>
      <c r="D757" s="22">
        <v>285000</v>
      </c>
      <c r="E757" s="7">
        <v>37</v>
      </c>
      <c r="F757" s="7">
        <v>3</v>
      </c>
      <c r="G757" s="7">
        <v>1.1000000000000001</v>
      </c>
      <c r="H757" s="12">
        <v>2100</v>
      </c>
      <c r="I757" s="9">
        <f t="shared" si="22"/>
        <v>135.71428571428572</v>
      </c>
      <c r="J757" s="3" t="str">
        <f t="shared" si="23"/>
        <v>Low</v>
      </c>
    </row>
    <row r="758" spans="1:10">
      <c r="A758" s="4" t="s">
        <v>807</v>
      </c>
      <c r="B758" s="4" t="s">
        <v>363</v>
      </c>
      <c r="C758" s="4" t="s">
        <v>12</v>
      </c>
      <c r="D758" s="21">
        <v>285000</v>
      </c>
      <c r="E758" s="4">
        <v>53</v>
      </c>
      <c r="F758" s="4">
        <v>4</v>
      </c>
      <c r="G758" s="4">
        <v>1</v>
      </c>
      <c r="H758" s="10">
        <v>1245</v>
      </c>
      <c r="I758" s="11">
        <f t="shared" si="22"/>
        <v>228.9156626506024</v>
      </c>
      <c r="J758" s="3" t="str">
        <f t="shared" si="23"/>
        <v>Medium</v>
      </c>
    </row>
    <row r="759" spans="1:10">
      <c r="A759" s="7" t="s">
        <v>808</v>
      </c>
      <c r="B759" s="7" t="s">
        <v>131</v>
      </c>
      <c r="C759" s="7" t="s">
        <v>12</v>
      </c>
      <c r="D759" s="22">
        <v>285000</v>
      </c>
      <c r="E759" s="7">
        <v>8</v>
      </c>
      <c r="F759" s="7">
        <v>3</v>
      </c>
      <c r="G759" s="7">
        <v>1.1000000000000001</v>
      </c>
      <c r="H759" s="12">
        <v>1314</v>
      </c>
      <c r="I759" s="9">
        <f t="shared" si="22"/>
        <v>216.89497716894977</v>
      </c>
      <c r="J759" s="3" t="str">
        <f t="shared" si="23"/>
        <v>Medium</v>
      </c>
    </row>
    <row r="760" spans="1:10">
      <c r="A760" s="4" t="s">
        <v>809</v>
      </c>
      <c r="B760" s="4" t="s">
        <v>73</v>
      </c>
      <c r="C760" s="4" t="s">
        <v>12</v>
      </c>
      <c r="D760" s="21">
        <v>285000</v>
      </c>
      <c r="E760" s="4">
        <v>116</v>
      </c>
      <c r="F760" s="4">
        <v>3</v>
      </c>
      <c r="G760" s="4">
        <v>1.1000000000000001</v>
      </c>
      <c r="H760" s="10">
        <v>1663</v>
      </c>
      <c r="I760" s="11">
        <f t="shared" si="22"/>
        <v>171.37702946482261</v>
      </c>
      <c r="J760" s="3" t="str">
        <f t="shared" si="23"/>
        <v>Low</v>
      </c>
    </row>
    <row r="761" spans="1:10">
      <c r="A761" s="7" t="s">
        <v>810</v>
      </c>
      <c r="B761" s="7" t="s">
        <v>14</v>
      </c>
      <c r="C761" s="7" t="s">
        <v>12</v>
      </c>
      <c r="D761" s="22">
        <v>285000</v>
      </c>
      <c r="E761" s="7">
        <v>97</v>
      </c>
      <c r="F761" s="7">
        <v>4</v>
      </c>
      <c r="G761" s="7">
        <v>2.1</v>
      </c>
      <c r="H761" s="12">
        <v>2014</v>
      </c>
      <c r="I761" s="9">
        <f t="shared" si="22"/>
        <v>141.50943396226415</v>
      </c>
      <c r="J761" s="3" t="str">
        <f t="shared" si="23"/>
        <v>Low</v>
      </c>
    </row>
    <row r="762" spans="1:10">
      <c r="A762" s="4" t="s">
        <v>811</v>
      </c>
      <c r="B762" s="4" t="s">
        <v>212</v>
      </c>
      <c r="C762" s="4" t="s">
        <v>12</v>
      </c>
      <c r="D762" s="21">
        <v>285000</v>
      </c>
      <c r="E762" s="4">
        <v>109</v>
      </c>
      <c r="F762" s="4">
        <v>4</v>
      </c>
      <c r="G762" s="4">
        <v>1.1000000000000001</v>
      </c>
      <c r="H762" s="10">
        <v>1346</v>
      </c>
      <c r="I762" s="11">
        <f t="shared" si="22"/>
        <v>211.73848439821694</v>
      </c>
      <c r="J762" s="3" t="str">
        <f t="shared" si="23"/>
        <v>Medium</v>
      </c>
    </row>
    <row r="763" spans="1:10">
      <c r="A763" s="7" t="s">
        <v>812</v>
      </c>
      <c r="B763" s="7" t="s">
        <v>212</v>
      </c>
      <c r="C763" s="7" t="s">
        <v>12</v>
      </c>
      <c r="D763" s="22">
        <v>285000</v>
      </c>
      <c r="E763" s="7">
        <v>208</v>
      </c>
      <c r="F763" s="7">
        <v>3</v>
      </c>
      <c r="G763" s="7">
        <v>1</v>
      </c>
      <c r="H763" s="12">
        <v>1280</v>
      </c>
      <c r="I763" s="9">
        <f t="shared" si="22"/>
        <v>222.65625</v>
      </c>
      <c r="J763" s="3" t="str">
        <f t="shared" si="23"/>
        <v>Medium</v>
      </c>
    </row>
    <row r="764" spans="1:10">
      <c r="A764" s="4" t="s">
        <v>813</v>
      </c>
      <c r="B764" s="4" t="s">
        <v>11</v>
      </c>
      <c r="C764" s="4" t="s">
        <v>12</v>
      </c>
      <c r="D764" s="21">
        <v>286200</v>
      </c>
      <c r="E764" s="4">
        <v>4</v>
      </c>
      <c r="F764" s="4">
        <v>4</v>
      </c>
      <c r="G764" s="4">
        <v>2.1</v>
      </c>
      <c r="H764" s="10">
        <v>1820</v>
      </c>
      <c r="I764" s="11">
        <f t="shared" si="22"/>
        <v>157.25274725274724</v>
      </c>
      <c r="J764" s="3" t="str">
        <f t="shared" si="23"/>
        <v>Low</v>
      </c>
    </row>
    <row r="765" spans="1:10">
      <c r="A765" s="7" t="s">
        <v>814</v>
      </c>
      <c r="B765" s="7" t="s">
        <v>18</v>
      </c>
      <c r="C765" s="7" t="s">
        <v>12</v>
      </c>
      <c r="D765" s="22">
        <v>287000</v>
      </c>
      <c r="E765" s="7">
        <v>5</v>
      </c>
      <c r="F765" s="7">
        <v>3</v>
      </c>
      <c r="G765" s="7">
        <v>2</v>
      </c>
      <c r="H765" s="12">
        <v>1152</v>
      </c>
      <c r="I765" s="9">
        <f t="shared" si="22"/>
        <v>249.13194444444446</v>
      </c>
      <c r="J765" s="3" t="str">
        <f t="shared" si="23"/>
        <v>Medium</v>
      </c>
    </row>
    <row r="766" spans="1:10">
      <c r="A766" s="4" t="s">
        <v>815</v>
      </c>
      <c r="B766" s="4" t="s">
        <v>381</v>
      </c>
      <c r="C766" s="4" t="s">
        <v>12</v>
      </c>
      <c r="D766" s="21">
        <v>287000</v>
      </c>
      <c r="E766" s="4">
        <v>6</v>
      </c>
      <c r="F766" s="4">
        <v>4</v>
      </c>
      <c r="G766" s="4">
        <v>2</v>
      </c>
      <c r="H766" s="10">
        <v>1692</v>
      </c>
      <c r="I766" s="11">
        <f t="shared" si="22"/>
        <v>169.62174940898345</v>
      </c>
      <c r="J766" s="3" t="str">
        <f t="shared" si="23"/>
        <v>Low</v>
      </c>
    </row>
    <row r="767" spans="1:10">
      <c r="A767" s="7" t="s">
        <v>816</v>
      </c>
      <c r="B767" s="7" t="s">
        <v>817</v>
      </c>
      <c r="C767" s="7" t="s">
        <v>12</v>
      </c>
      <c r="D767" s="22">
        <v>287450</v>
      </c>
      <c r="E767" s="7">
        <v>87</v>
      </c>
      <c r="F767" s="7">
        <v>3</v>
      </c>
      <c r="G767" s="7">
        <v>1.1000000000000001</v>
      </c>
      <c r="H767" s="12">
        <v>1551</v>
      </c>
      <c r="I767" s="9">
        <f t="shared" si="22"/>
        <v>185.33204384268214</v>
      </c>
      <c r="J767" s="3" t="str">
        <f t="shared" si="23"/>
        <v>Low</v>
      </c>
    </row>
    <row r="768" spans="1:10">
      <c r="A768" s="4" t="s">
        <v>818</v>
      </c>
      <c r="B768" s="4" t="s">
        <v>14</v>
      </c>
      <c r="C768" s="4" t="s">
        <v>12</v>
      </c>
      <c r="D768" s="21">
        <v>287990</v>
      </c>
      <c r="E768" s="4">
        <v>269</v>
      </c>
      <c r="F768" s="4">
        <v>4</v>
      </c>
      <c r="G768" s="4">
        <v>2.1</v>
      </c>
      <c r="H768" s="10">
        <v>2009</v>
      </c>
      <c r="I768" s="11">
        <f t="shared" si="22"/>
        <v>143.34992533598805</v>
      </c>
      <c r="J768" s="3" t="str">
        <f t="shared" si="23"/>
        <v>Low</v>
      </c>
    </row>
    <row r="769" spans="1:10">
      <c r="A769" s="7" t="s">
        <v>819</v>
      </c>
      <c r="B769" s="7" t="s">
        <v>728</v>
      </c>
      <c r="C769" s="7" t="s">
        <v>12</v>
      </c>
      <c r="D769" s="22">
        <v>288000</v>
      </c>
      <c r="E769" s="7">
        <v>3</v>
      </c>
      <c r="F769" s="7">
        <v>2</v>
      </c>
      <c r="G769" s="7">
        <v>1</v>
      </c>
      <c r="H769" s="12">
        <v>1050</v>
      </c>
      <c r="I769" s="9">
        <f t="shared" si="22"/>
        <v>274.28571428571428</v>
      </c>
      <c r="J769" s="3" t="str">
        <f t="shared" si="23"/>
        <v>Medium</v>
      </c>
    </row>
    <row r="770" spans="1:10">
      <c r="A770" s="4" t="s">
        <v>820</v>
      </c>
      <c r="B770" s="4" t="s">
        <v>29</v>
      </c>
      <c r="C770" s="4" t="s">
        <v>12</v>
      </c>
      <c r="D770" s="21">
        <v>288900</v>
      </c>
      <c r="E770" s="4">
        <v>48</v>
      </c>
      <c r="F770" s="4">
        <v>3</v>
      </c>
      <c r="G770" s="4">
        <v>2</v>
      </c>
      <c r="H770" s="10">
        <v>1139</v>
      </c>
      <c r="I770" s="11">
        <f t="shared" ref="I770:I833" si="24">D770/H770</f>
        <v>253.64354697102721</v>
      </c>
      <c r="J770" s="3" t="str">
        <f t="shared" ref="J770:J833" si="25">IF(I770 &gt; 300, "High", IF(AND(I770 &lt;= 300, I770 &gt; 200), "Medium", "Low"))</f>
        <v>Medium</v>
      </c>
    </row>
    <row r="771" spans="1:10">
      <c r="A771" s="7" t="s">
        <v>821</v>
      </c>
      <c r="B771" s="7" t="s">
        <v>11</v>
      </c>
      <c r="C771" s="7" t="s">
        <v>12</v>
      </c>
      <c r="D771" s="22">
        <v>289000</v>
      </c>
      <c r="E771" s="7">
        <v>4</v>
      </c>
      <c r="F771" s="7">
        <v>3</v>
      </c>
      <c r="G771" s="7">
        <v>2</v>
      </c>
      <c r="H771" s="12">
        <v>1578</v>
      </c>
      <c r="I771" s="9">
        <f t="shared" si="24"/>
        <v>183.14321926489228</v>
      </c>
      <c r="J771" s="3" t="str">
        <f t="shared" si="25"/>
        <v>Low</v>
      </c>
    </row>
    <row r="772" spans="1:10">
      <c r="A772" s="4" t="s">
        <v>822</v>
      </c>
      <c r="B772" s="4" t="s">
        <v>823</v>
      </c>
      <c r="C772" s="4" t="s">
        <v>12</v>
      </c>
      <c r="D772" s="21">
        <v>289900</v>
      </c>
      <c r="E772" s="4">
        <v>27</v>
      </c>
      <c r="F772" s="4">
        <v>3</v>
      </c>
      <c r="G772" s="4">
        <v>1</v>
      </c>
      <c r="H772" s="10">
        <v>1032</v>
      </c>
      <c r="I772" s="11">
        <f t="shared" si="24"/>
        <v>280.91085271317831</v>
      </c>
      <c r="J772" s="3" t="str">
        <f t="shared" si="25"/>
        <v>Medium</v>
      </c>
    </row>
    <row r="773" spans="1:10">
      <c r="A773" s="7" t="s">
        <v>824</v>
      </c>
      <c r="B773" s="7" t="s">
        <v>117</v>
      </c>
      <c r="C773" s="7" t="s">
        <v>12</v>
      </c>
      <c r="D773" s="22">
        <v>289900</v>
      </c>
      <c r="E773" s="7">
        <v>161</v>
      </c>
      <c r="F773" s="7">
        <v>3</v>
      </c>
      <c r="G773" s="7">
        <v>2</v>
      </c>
      <c r="H773" s="12">
        <v>2302</v>
      </c>
      <c r="I773" s="9">
        <f t="shared" si="24"/>
        <v>125.93397046046915</v>
      </c>
      <c r="J773" s="3" t="str">
        <f t="shared" si="25"/>
        <v>Low</v>
      </c>
    </row>
    <row r="774" spans="1:10">
      <c r="A774" s="4" t="s">
        <v>825</v>
      </c>
      <c r="B774" s="4" t="s">
        <v>282</v>
      </c>
      <c r="C774" s="4" t="s">
        <v>12</v>
      </c>
      <c r="D774" s="21">
        <v>290000</v>
      </c>
      <c r="E774" s="4">
        <v>4</v>
      </c>
      <c r="F774" s="4">
        <v>3</v>
      </c>
      <c r="G774" s="4">
        <v>2</v>
      </c>
      <c r="H774" s="10">
        <v>1196</v>
      </c>
      <c r="I774" s="11">
        <f t="shared" si="24"/>
        <v>242.47491638795987</v>
      </c>
      <c r="J774" s="3" t="str">
        <f t="shared" si="25"/>
        <v>Medium</v>
      </c>
    </row>
    <row r="775" spans="1:10">
      <c r="A775" s="7" t="s">
        <v>826</v>
      </c>
      <c r="B775" s="7" t="s">
        <v>83</v>
      </c>
      <c r="C775" s="7" t="s">
        <v>12</v>
      </c>
      <c r="D775" s="22">
        <v>290000</v>
      </c>
      <c r="E775" s="7">
        <v>4</v>
      </c>
      <c r="F775" s="7">
        <v>3</v>
      </c>
      <c r="G775" s="7">
        <v>2.1</v>
      </c>
      <c r="H775" s="12">
        <v>1892</v>
      </c>
      <c r="I775" s="9">
        <f t="shared" si="24"/>
        <v>153.27695560253699</v>
      </c>
      <c r="J775" s="3" t="str">
        <f t="shared" si="25"/>
        <v>Low</v>
      </c>
    </row>
    <row r="776" spans="1:10">
      <c r="A776" s="4" t="s">
        <v>827</v>
      </c>
      <c r="B776" s="4" t="s">
        <v>131</v>
      </c>
      <c r="C776" s="4" t="s">
        <v>12</v>
      </c>
      <c r="D776" s="21">
        <v>290000</v>
      </c>
      <c r="E776" s="4">
        <v>7</v>
      </c>
      <c r="F776" s="4">
        <v>3</v>
      </c>
      <c r="G776" s="4">
        <v>1</v>
      </c>
      <c r="H776" s="10">
        <v>1152</v>
      </c>
      <c r="I776" s="11">
        <f t="shared" si="24"/>
        <v>251.73611111111111</v>
      </c>
      <c r="J776" s="3" t="str">
        <f t="shared" si="25"/>
        <v>Medium</v>
      </c>
    </row>
    <row r="777" spans="1:10">
      <c r="A777" s="7" t="s">
        <v>828</v>
      </c>
      <c r="B777" s="7" t="s">
        <v>553</v>
      </c>
      <c r="C777" s="7" t="s">
        <v>12</v>
      </c>
      <c r="D777" s="22">
        <v>290000</v>
      </c>
      <c r="E777" s="7">
        <v>2</v>
      </c>
      <c r="F777" s="7">
        <v>3</v>
      </c>
      <c r="G777" s="7">
        <v>1.1000000000000001</v>
      </c>
      <c r="H777" s="12">
        <v>1018</v>
      </c>
      <c r="I777" s="9">
        <f t="shared" si="24"/>
        <v>284.87229862475442</v>
      </c>
      <c r="J777" s="3" t="str">
        <f t="shared" si="25"/>
        <v>Medium</v>
      </c>
    </row>
    <row r="778" spans="1:10">
      <c r="A778" s="4" t="s">
        <v>829</v>
      </c>
      <c r="B778" s="4" t="s">
        <v>11</v>
      </c>
      <c r="C778" s="4" t="s">
        <v>12</v>
      </c>
      <c r="D778" s="21">
        <v>290000</v>
      </c>
      <c r="E778" s="4">
        <v>38</v>
      </c>
      <c r="F778" s="4">
        <v>5</v>
      </c>
      <c r="G778" s="4">
        <v>2.1</v>
      </c>
      <c r="H778" s="10">
        <v>2100</v>
      </c>
      <c r="I778" s="11">
        <f t="shared" si="24"/>
        <v>138.0952380952381</v>
      </c>
      <c r="J778" s="3" t="str">
        <f t="shared" si="25"/>
        <v>Low</v>
      </c>
    </row>
    <row r="779" spans="1:10">
      <c r="A779" s="7" t="s">
        <v>830</v>
      </c>
      <c r="B779" s="7" t="s">
        <v>56</v>
      </c>
      <c r="C779" s="7" t="s">
        <v>12</v>
      </c>
      <c r="D779" s="22">
        <v>290000</v>
      </c>
      <c r="E779" s="7">
        <v>17</v>
      </c>
      <c r="F779" s="7">
        <v>3</v>
      </c>
      <c r="G779" s="7">
        <v>1.1000000000000001</v>
      </c>
      <c r="H779" s="7">
        <v>650</v>
      </c>
      <c r="I779" s="9">
        <f t="shared" si="24"/>
        <v>446.15384615384613</v>
      </c>
      <c r="J779" s="3" t="str">
        <f t="shared" si="25"/>
        <v>High</v>
      </c>
    </row>
    <row r="780" spans="1:10">
      <c r="A780" s="4" t="s">
        <v>831</v>
      </c>
      <c r="B780" s="4" t="s">
        <v>11</v>
      </c>
      <c r="C780" s="4" t="s">
        <v>12</v>
      </c>
      <c r="D780" s="21">
        <v>290000</v>
      </c>
      <c r="E780" s="4">
        <v>6</v>
      </c>
      <c r="F780" s="4">
        <v>3</v>
      </c>
      <c r="G780" s="4">
        <v>2</v>
      </c>
      <c r="H780" s="10">
        <v>1778</v>
      </c>
      <c r="I780" s="11">
        <f t="shared" si="24"/>
        <v>163.10461192350957</v>
      </c>
      <c r="J780" s="3" t="str">
        <f t="shared" si="25"/>
        <v>Low</v>
      </c>
    </row>
    <row r="781" spans="1:10">
      <c r="A781" s="7" t="s">
        <v>832</v>
      </c>
      <c r="B781" s="7" t="s">
        <v>11</v>
      </c>
      <c r="C781" s="7" t="s">
        <v>12</v>
      </c>
      <c r="D781" s="22">
        <v>290000</v>
      </c>
      <c r="E781" s="7">
        <v>25</v>
      </c>
      <c r="F781" s="7">
        <v>3</v>
      </c>
      <c r="G781" s="7">
        <v>2</v>
      </c>
      <c r="H781" s="12">
        <v>1351</v>
      </c>
      <c r="I781" s="9">
        <f t="shared" si="24"/>
        <v>214.65581051073278</v>
      </c>
      <c r="J781" s="3" t="str">
        <f t="shared" si="25"/>
        <v>Medium</v>
      </c>
    </row>
    <row r="782" spans="1:10">
      <c r="A782" s="4" t="s">
        <v>833</v>
      </c>
      <c r="B782" s="4" t="s">
        <v>80</v>
      </c>
      <c r="C782" s="4" t="s">
        <v>12</v>
      </c>
      <c r="D782" s="21">
        <v>290000</v>
      </c>
      <c r="E782" s="4">
        <v>25</v>
      </c>
      <c r="F782" s="4">
        <v>3</v>
      </c>
      <c r="G782" s="4">
        <v>1.1000000000000001</v>
      </c>
      <c r="H782" s="10">
        <v>1008</v>
      </c>
      <c r="I782" s="11">
        <f t="shared" si="24"/>
        <v>287.69841269841271</v>
      </c>
      <c r="J782" s="3" t="str">
        <f t="shared" si="25"/>
        <v>Medium</v>
      </c>
    </row>
    <row r="783" spans="1:10">
      <c r="A783" s="7" t="s">
        <v>834</v>
      </c>
      <c r="B783" s="7" t="s">
        <v>11</v>
      </c>
      <c r="C783" s="7" t="s">
        <v>12</v>
      </c>
      <c r="D783" s="22">
        <v>290000</v>
      </c>
      <c r="E783" s="7">
        <v>75</v>
      </c>
      <c r="F783" s="7">
        <v>3</v>
      </c>
      <c r="G783" s="7">
        <v>1.1000000000000001</v>
      </c>
      <c r="H783" s="12">
        <v>1636</v>
      </c>
      <c r="I783" s="9">
        <f t="shared" si="24"/>
        <v>177.26161369193153</v>
      </c>
      <c r="J783" s="3" t="str">
        <f t="shared" si="25"/>
        <v>Low</v>
      </c>
    </row>
    <row r="784" spans="1:10">
      <c r="A784" s="4" t="s">
        <v>835</v>
      </c>
      <c r="B784" s="4" t="s">
        <v>131</v>
      </c>
      <c r="C784" s="4" t="s">
        <v>12</v>
      </c>
      <c r="D784" s="21">
        <v>290000</v>
      </c>
      <c r="E784" s="4">
        <v>84</v>
      </c>
      <c r="F784" s="4">
        <v>4</v>
      </c>
      <c r="G784" s="4">
        <v>1</v>
      </c>
      <c r="H784" s="10">
        <v>1494</v>
      </c>
      <c r="I784" s="11">
        <f t="shared" si="24"/>
        <v>194.10977242302545</v>
      </c>
      <c r="J784" s="3" t="str">
        <f t="shared" si="25"/>
        <v>Low</v>
      </c>
    </row>
    <row r="785" spans="1:10">
      <c r="A785" s="7" t="s">
        <v>836</v>
      </c>
      <c r="B785" s="7" t="s">
        <v>14</v>
      </c>
      <c r="C785" s="7" t="s">
        <v>12</v>
      </c>
      <c r="D785" s="22">
        <v>290000</v>
      </c>
      <c r="E785" s="7">
        <v>144</v>
      </c>
      <c r="F785" s="7">
        <v>3</v>
      </c>
      <c r="G785" s="7">
        <v>2</v>
      </c>
      <c r="H785" s="12">
        <v>1628</v>
      </c>
      <c r="I785" s="9">
        <f t="shared" si="24"/>
        <v>178.13267813267814</v>
      </c>
      <c r="J785" s="3" t="str">
        <f t="shared" si="25"/>
        <v>Low</v>
      </c>
    </row>
    <row r="786" spans="1:10">
      <c r="A786" s="4" t="s">
        <v>837</v>
      </c>
      <c r="B786" s="4" t="s">
        <v>363</v>
      </c>
      <c r="C786" s="4" t="s">
        <v>12</v>
      </c>
      <c r="D786" s="21">
        <v>291000</v>
      </c>
      <c r="E786" s="4">
        <v>4</v>
      </c>
      <c r="F786" s="4">
        <v>3</v>
      </c>
      <c r="G786" s="4">
        <v>1</v>
      </c>
      <c r="H786" s="4">
        <v>968</v>
      </c>
      <c r="I786" s="11">
        <f t="shared" si="24"/>
        <v>300.61983471074382</v>
      </c>
      <c r="J786" s="3" t="str">
        <f t="shared" si="25"/>
        <v>High</v>
      </c>
    </row>
    <row r="787" spans="1:10">
      <c r="A787" s="7" t="s">
        <v>838</v>
      </c>
      <c r="B787" s="7" t="s">
        <v>70</v>
      </c>
      <c r="C787" s="7" t="s">
        <v>12</v>
      </c>
      <c r="D787" s="22">
        <v>291000</v>
      </c>
      <c r="E787" s="7">
        <v>7</v>
      </c>
      <c r="F787" s="7">
        <v>3</v>
      </c>
      <c r="G787" s="7">
        <v>1.1000000000000001</v>
      </c>
      <c r="H787" s="12">
        <v>1204</v>
      </c>
      <c r="I787" s="9">
        <f t="shared" si="24"/>
        <v>241.69435215946845</v>
      </c>
      <c r="J787" s="3" t="str">
        <f t="shared" si="25"/>
        <v>Medium</v>
      </c>
    </row>
    <row r="788" spans="1:10">
      <c r="A788" s="4" t="s">
        <v>839</v>
      </c>
      <c r="B788" s="4" t="s">
        <v>553</v>
      </c>
      <c r="C788" s="4" t="s">
        <v>12</v>
      </c>
      <c r="D788" s="21">
        <v>291500</v>
      </c>
      <c r="E788" s="4">
        <v>17</v>
      </c>
      <c r="F788" s="4">
        <v>3</v>
      </c>
      <c r="G788" s="4">
        <v>1.1000000000000001</v>
      </c>
      <c r="H788" s="10">
        <v>1030</v>
      </c>
      <c r="I788" s="11">
        <f t="shared" si="24"/>
        <v>283.00970873786406</v>
      </c>
      <c r="J788" s="3" t="str">
        <f t="shared" si="25"/>
        <v>Medium</v>
      </c>
    </row>
    <row r="789" spans="1:10">
      <c r="A789" s="7" t="s">
        <v>840</v>
      </c>
      <c r="B789" s="7" t="s">
        <v>131</v>
      </c>
      <c r="C789" s="7" t="s">
        <v>12</v>
      </c>
      <c r="D789" s="22">
        <v>292000</v>
      </c>
      <c r="E789" s="7">
        <v>10</v>
      </c>
      <c r="F789" s="7">
        <v>2</v>
      </c>
      <c r="G789" s="7">
        <v>1</v>
      </c>
      <c r="H789" s="7">
        <v>968</v>
      </c>
      <c r="I789" s="9">
        <f t="shared" si="24"/>
        <v>301.65289256198349</v>
      </c>
      <c r="J789" s="3" t="str">
        <f t="shared" si="25"/>
        <v>High</v>
      </c>
    </row>
    <row r="790" spans="1:10">
      <c r="A790" s="4" t="s">
        <v>841</v>
      </c>
      <c r="B790" s="4" t="s">
        <v>282</v>
      </c>
      <c r="C790" s="4" t="s">
        <v>12</v>
      </c>
      <c r="D790" s="21">
        <v>292000</v>
      </c>
      <c r="E790" s="4">
        <v>81</v>
      </c>
      <c r="F790" s="4">
        <v>3</v>
      </c>
      <c r="G790" s="4">
        <v>1</v>
      </c>
      <c r="H790" s="10">
        <v>1028</v>
      </c>
      <c r="I790" s="11">
        <f t="shared" si="24"/>
        <v>284.04669260700388</v>
      </c>
      <c r="J790" s="3" t="str">
        <f t="shared" si="25"/>
        <v>Medium</v>
      </c>
    </row>
    <row r="791" spans="1:10">
      <c r="A791" s="7" t="s">
        <v>842</v>
      </c>
      <c r="B791" s="7" t="s">
        <v>25</v>
      </c>
      <c r="C791" s="7" t="s">
        <v>12</v>
      </c>
      <c r="D791" s="22">
        <v>292500</v>
      </c>
      <c r="E791" s="7">
        <v>33</v>
      </c>
      <c r="F791" s="7">
        <v>3</v>
      </c>
      <c r="G791" s="7">
        <v>1.1000000000000001</v>
      </c>
      <c r="H791" s="12">
        <v>1900</v>
      </c>
      <c r="I791" s="9">
        <f t="shared" si="24"/>
        <v>153.94736842105263</v>
      </c>
      <c r="J791" s="3" t="str">
        <f t="shared" si="25"/>
        <v>Low</v>
      </c>
    </row>
    <row r="792" spans="1:10">
      <c r="A792" s="4" t="s">
        <v>843</v>
      </c>
      <c r="B792" s="4" t="s">
        <v>131</v>
      </c>
      <c r="C792" s="4" t="s">
        <v>12</v>
      </c>
      <c r="D792" s="21">
        <v>292500</v>
      </c>
      <c r="E792" s="4">
        <v>12</v>
      </c>
      <c r="F792" s="4">
        <v>3</v>
      </c>
      <c r="G792" s="4">
        <v>2</v>
      </c>
      <c r="H792" s="10">
        <v>1010</v>
      </c>
      <c r="I792" s="11">
        <f t="shared" si="24"/>
        <v>289.60396039603961</v>
      </c>
      <c r="J792" s="3" t="str">
        <f t="shared" si="25"/>
        <v>Medium</v>
      </c>
    </row>
    <row r="793" spans="1:10">
      <c r="A793" s="7" t="s">
        <v>844</v>
      </c>
      <c r="B793" s="7" t="s">
        <v>363</v>
      </c>
      <c r="C793" s="7" t="s">
        <v>12</v>
      </c>
      <c r="D793" s="22">
        <v>292500</v>
      </c>
      <c r="E793" s="7">
        <v>6</v>
      </c>
      <c r="F793" s="7">
        <v>3</v>
      </c>
      <c r="G793" s="7">
        <v>2</v>
      </c>
      <c r="H793" s="12">
        <v>1069</v>
      </c>
      <c r="I793" s="9">
        <f t="shared" si="24"/>
        <v>273.62020579981294</v>
      </c>
      <c r="J793" s="3" t="str">
        <f t="shared" si="25"/>
        <v>Medium</v>
      </c>
    </row>
    <row r="794" spans="1:10">
      <c r="A794" s="4" t="s">
        <v>845</v>
      </c>
      <c r="B794" s="4" t="s">
        <v>131</v>
      </c>
      <c r="C794" s="4" t="s">
        <v>12</v>
      </c>
      <c r="D794" s="21">
        <v>293000</v>
      </c>
      <c r="E794" s="4">
        <v>22</v>
      </c>
      <c r="F794" s="4">
        <v>3</v>
      </c>
      <c r="G794" s="4">
        <v>2</v>
      </c>
      <c r="H794" s="10">
        <v>1099</v>
      </c>
      <c r="I794" s="11">
        <f t="shared" si="24"/>
        <v>266.60600545950865</v>
      </c>
      <c r="J794" s="3" t="str">
        <f t="shared" si="25"/>
        <v>Medium</v>
      </c>
    </row>
    <row r="795" spans="1:10">
      <c r="A795" s="7" t="s">
        <v>846</v>
      </c>
      <c r="B795" s="7" t="s">
        <v>388</v>
      </c>
      <c r="C795" s="7" t="s">
        <v>12</v>
      </c>
      <c r="D795" s="22">
        <v>293846</v>
      </c>
      <c r="E795" s="7">
        <v>33</v>
      </c>
      <c r="F795" s="7">
        <v>3</v>
      </c>
      <c r="G795" s="7">
        <v>2</v>
      </c>
      <c r="H795" s="12">
        <v>1689</v>
      </c>
      <c r="I795" s="9">
        <f t="shared" si="24"/>
        <v>173.97631734754293</v>
      </c>
      <c r="J795" s="3" t="str">
        <f t="shared" si="25"/>
        <v>Low</v>
      </c>
    </row>
    <row r="796" spans="1:10">
      <c r="A796" s="4" t="s">
        <v>847</v>
      </c>
      <c r="B796" s="4" t="s">
        <v>282</v>
      </c>
      <c r="C796" s="4" t="s">
        <v>12</v>
      </c>
      <c r="D796" s="21">
        <v>294900</v>
      </c>
      <c r="E796" s="4">
        <v>4</v>
      </c>
      <c r="F796" s="4">
        <v>3</v>
      </c>
      <c r="G796" s="4">
        <v>1.1000000000000001</v>
      </c>
      <c r="H796" s="10">
        <v>1075</v>
      </c>
      <c r="I796" s="11">
        <f t="shared" si="24"/>
        <v>274.32558139534882</v>
      </c>
      <c r="J796" s="3" t="str">
        <f t="shared" si="25"/>
        <v>Medium</v>
      </c>
    </row>
    <row r="797" spans="1:10">
      <c r="A797" s="7" t="s">
        <v>848</v>
      </c>
      <c r="B797" s="7" t="s">
        <v>131</v>
      </c>
      <c r="C797" s="7" t="s">
        <v>12</v>
      </c>
      <c r="D797" s="22">
        <v>295000</v>
      </c>
      <c r="E797" s="7">
        <v>29</v>
      </c>
      <c r="F797" s="7">
        <v>3</v>
      </c>
      <c r="G797" s="7">
        <v>1.1000000000000001</v>
      </c>
      <c r="H797" s="12">
        <v>1279</v>
      </c>
      <c r="I797" s="9">
        <f t="shared" si="24"/>
        <v>230.64894448788115</v>
      </c>
      <c r="J797" s="3" t="str">
        <f t="shared" si="25"/>
        <v>Medium</v>
      </c>
    </row>
    <row r="798" spans="1:10">
      <c r="A798" s="4" t="s">
        <v>849</v>
      </c>
      <c r="B798" s="4" t="s">
        <v>70</v>
      </c>
      <c r="C798" s="4" t="s">
        <v>12</v>
      </c>
      <c r="D798" s="21">
        <v>295000</v>
      </c>
      <c r="E798" s="4">
        <v>10</v>
      </c>
      <c r="F798" s="4">
        <v>3</v>
      </c>
      <c r="G798" s="4">
        <v>2.1</v>
      </c>
      <c r="H798" s="4">
        <v>804</v>
      </c>
      <c r="I798" s="11">
        <f t="shared" si="24"/>
        <v>366.91542288557213</v>
      </c>
      <c r="J798" s="3" t="str">
        <f t="shared" si="25"/>
        <v>High</v>
      </c>
    </row>
    <row r="799" spans="1:10">
      <c r="A799" s="7" t="s">
        <v>850</v>
      </c>
      <c r="B799" s="7" t="s">
        <v>131</v>
      </c>
      <c r="C799" s="7" t="s">
        <v>12</v>
      </c>
      <c r="D799" s="22">
        <v>295000</v>
      </c>
      <c r="E799" s="7">
        <v>8</v>
      </c>
      <c r="F799" s="7">
        <v>3</v>
      </c>
      <c r="G799" s="7">
        <v>1.1000000000000001</v>
      </c>
      <c r="H799" s="12">
        <v>1279</v>
      </c>
      <c r="I799" s="9">
        <f t="shared" si="24"/>
        <v>230.64894448788115</v>
      </c>
      <c r="J799" s="3" t="str">
        <f t="shared" si="25"/>
        <v>Medium</v>
      </c>
    </row>
    <row r="800" spans="1:10">
      <c r="A800" s="4" t="s">
        <v>851</v>
      </c>
      <c r="B800" s="4" t="s">
        <v>70</v>
      </c>
      <c r="C800" s="4" t="s">
        <v>12</v>
      </c>
      <c r="D800" s="21">
        <v>295000</v>
      </c>
      <c r="E800" s="4">
        <v>24</v>
      </c>
      <c r="F800" s="4">
        <v>3</v>
      </c>
      <c r="G800" s="4">
        <v>2.1</v>
      </c>
      <c r="H800" s="10">
        <v>1275</v>
      </c>
      <c r="I800" s="11">
        <f t="shared" si="24"/>
        <v>231.37254901960785</v>
      </c>
      <c r="J800" s="3" t="str">
        <f t="shared" si="25"/>
        <v>Medium</v>
      </c>
    </row>
    <row r="801" spans="1:10">
      <c r="A801" s="7" t="s">
        <v>852</v>
      </c>
      <c r="B801" s="7" t="s">
        <v>18</v>
      </c>
      <c r="C801" s="7" t="s">
        <v>12</v>
      </c>
      <c r="D801" s="22">
        <v>295000</v>
      </c>
      <c r="E801" s="7">
        <v>89</v>
      </c>
      <c r="F801" s="7">
        <v>3</v>
      </c>
      <c r="G801" s="7">
        <v>1</v>
      </c>
      <c r="H801" s="12">
        <v>1120</v>
      </c>
      <c r="I801" s="9">
        <f t="shared" si="24"/>
        <v>263.39285714285717</v>
      </c>
      <c r="J801" s="3" t="str">
        <f t="shared" si="25"/>
        <v>Medium</v>
      </c>
    </row>
    <row r="802" spans="1:10">
      <c r="A802" s="4" t="s">
        <v>853</v>
      </c>
      <c r="B802" s="4" t="s">
        <v>18</v>
      </c>
      <c r="C802" s="4" t="s">
        <v>12</v>
      </c>
      <c r="D802" s="21">
        <v>295000</v>
      </c>
      <c r="E802" s="4">
        <v>29</v>
      </c>
      <c r="F802" s="4">
        <v>3</v>
      </c>
      <c r="G802" s="4">
        <v>1.1000000000000001</v>
      </c>
      <c r="H802" s="10">
        <v>1044</v>
      </c>
      <c r="I802" s="11">
        <f t="shared" si="24"/>
        <v>282.56704980842915</v>
      </c>
      <c r="J802" s="3" t="str">
        <f t="shared" si="25"/>
        <v>Medium</v>
      </c>
    </row>
    <row r="803" spans="1:10">
      <c r="A803" s="7" t="s">
        <v>854</v>
      </c>
      <c r="B803" s="7" t="s">
        <v>553</v>
      </c>
      <c r="C803" s="7" t="s">
        <v>12</v>
      </c>
      <c r="D803" s="22">
        <v>295000</v>
      </c>
      <c r="E803" s="7">
        <v>98</v>
      </c>
      <c r="F803" s="7">
        <v>3</v>
      </c>
      <c r="G803" s="7">
        <v>1.1000000000000001</v>
      </c>
      <c r="H803" s="12">
        <v>1303</v>
      </c>
      <c r="I803" s="9">
        <f t="shared" si="24"/>
        <v>226.4006139677667</v>
      </c>
      <c r="J803" s="3" t="str">
        <f t="shared" si="25"/>
        <v>Medium</v>
      </c>
    </row>
    <row r="804" spans="1:10">
      <c r="A804" s="4" t="s">
        <v>855</v>
      </c>
      <c r="B804" s="4" t="s">
        <v>54</v>
      </c>
      <c r="C804" s="4" t="s">
        <v>12</v>
      </c>
      <c r="D804" s="21">
        <v>295000</v>
      </c>
      <c r="E804" s="4">
        <v>33</v>
      </c>
      <c r="F804" s="4">
        <v>3</v>
      </c>
      <c r="G804" s="4">
        <v>2.1</v>
      </c>
      <c r="H804" s="10">
        <v>1835</v>
      </c>
      <c r="I804" s="11">
        <f t="shared" si="24"/>
        <v>160.76294277929156</v>
      </c>
      <c r="J804" s="3" t="str">
        <f t="shared" si="25"/>
        <v>Low</v>
      </c>
    </row>
    <row r="805" spans="1:10">
      <c r="A805" s="7" t="s">
        <v>856</v>
      </c>
      <c r="B805" s="7" t="s">
        <v>14</v>
      </c>
      <c r="C805" s="7" t="s">
        <v>12</v>
      </c>
      <c r="D805" s="22">
        <v>296990</v>
      </c>
      <c r="E805" s="7">
        <v>44</v>
      </c>
      <c r="F805" s="7">
        <v>4</v>
      </c>
      <c r="G805" s="7">
        <v>2.1</v>
      </c>
      <c r="H805" s="12">
        <v>2014</v>
      </c>
      <c r="I805" s="9">
        <f t="shared" si="24"/>
        <v>147.46276067527307</v>
      </c>
      <c r="J805" s="3" t="str">
        <f t="shared" si="25"/>
        <v>Low</v>
      </c>
    </row>
    <row r="806" spans="1:10">
      <c r="A806" s="4" t="s">
        <v>857</v>
      </c>
      <c r="B806" s="4" t="s">
        <v>282</v>
      </c>
      <c r="C806" s="4" t="s">
        <v>12</v>
      </c>
      <c r="D806" s="21">
        <v>297000</v>
      </c>
      <c r="E806" s="4">
        <v>55</v>
      </c>
      <c r="F806" s="4">
        <v>3</v>
      </c>
      <c r="G806" s="4">
        <v>2</v>
      </c>
      <c r="H806" s="10">
        <v>1199</v>
      </c>
      <c r="I806" s="11">
        <f t="shared" si="24"/>
        <v>247.70642201834863</v>
      </c>
      <c r="J806" s="3" t="str">
        <f t="shared" si="25"/>
        <v>Medium</v>
      </c>
    </row>
    <row r="807" spans="1:10">
      <c r="A807" s="7" t="s">
        <v>858</v>
      </c>
      <c r="B807" s="7" t="s">
        <v>117</v>
      </c>
      <c r="C807" s="7" t="s">
        <v>12</v>
      </c>
      <c r="D807" s="22">
        <v>297500</v>
      </c>
      <c r="E807" s="7">
        <v>6</v>
      </c>
      <c r="F807" s="7">
        <v>3</v>
      </c>
      <c r="G807" s="7">
        <v>1.1000000000000001</v>
      </c>
      <c r="H807" s="12">
        <v>1110</v>
      </c>
      <c r="I807" s="9">
        <f t="shared" si="24"/>
        <v>268.01801801801804</v>
      </c>
      <c r="J807" s="3" t="str">
        <f t="shared" si="25"/>
        <v>Medium</v>
      </c>
    </row>
    <row r="808" spans="1:10">
      <c r="A808" s="4" t="s">
        <v>859</v>
      </c>
      <c r="B808" s="4" t="s">
        <v>11</v>
      </c>
      <c r="C808" s="4" t="s">
        <v>12</v>
      </c>
      <c r="D808" s="21">
        <v>298000</v>
      </c>
      <c r="E808" s="4">
        <v>53</v>
      </c>
      <c r="F808" s="4">
        <v>3</v>
      </c>
      <c r="G808" s="4">
        <v>2.1</v>
      </c>
      <c r="H808" s="10">
        <v>1640</v>
      </c>
      <c r="I808" s="11">
        <f t="shared" si="24"/>
        <v>181.70731707317074</v>
      </c>
      <c r="J808" s="3" t="str">
        <f t="shared" si="25"/>
        <v>Low</v>
      </c>
    </row>
    <row r="809" spans="1:10">
      <c r="A809" s="7" t="s">
        <v>860</v>
      </c>
      <c r="B809" s="7" t="s">
        <v>131</v>
      </c>
      <c r="C809" s="7" t="s">
        <v>12</v>
      </c>
      <c r="D809" s="22">
        <v>298500</v>
      </c>
      <c r="E809" s="7">
        <v>22</v>
      </c>
      <c r="F809" s="7">
        <v>3</v>
      </c>
      <c r="G809" s="7">
        <v>2</v>
      </c>
      <c r="H809" s="12">
        <v>1298</v>
      </c>
      <c r="I809" s="9">
        <f t="shared" si="24"/>
        <v>229.96918335901387</v>
      </c>
      <c r="J809" s="3" t="str">
        <f t="shared" si="25"/>
        <v>Medium</v>
      </c>
    </row>
    <row r="810" spans="1:10">
      <c r="A810" s="4" t="s">
        <v>861</v>
      </c>
      <c r="B810" s="4" t="s">
        <v>131</v>
      </c>
      <c r="C810" s="4" t="s">
        <v>12</v>
      </c>
      <c r="D810" s="21">
        <v>299000</v>
      </c>
      <c r="E810" s="4">
        <v>7</v>
      </c>
      <c r="F810" s="4">
        <v>3</v>
      </c>
      <c r="G810" s="4">
        <v>2</v>
      </c>
      <c r="H810" s="10">
        <v>1088</v>
      </c>
      <c r="I810" s="11">
        <f t="shared" si="24"/>
        <v>274.81617647058823</v>
      </c>
      <c r="J810" s="3" t="str">
        <f t="shared" si="25"/>
        <v>Medium</v>
      </c>
    </row>
    <row r="811" spans="1:10">
      <c r="A811" s="7" t="s">
        <v>862</v>
      </c>
      <c r="B811" s="7" t="s">
        <v>11</v>
      </c>
      <c r="C811" s="7" t="s">
        <v>12</v>
      </c>
      <c r="D811" s="22">
        <v>299000</v>
      </c>
      <c r="E811" s="7">
        <v>6</v>
      </c>
      <c r="F811" s="7">
        <v>3</v>
      </c>
      <c r="G811" s="7">
        <v>2</v>
      </c>
      <c r="H811" s="12">
        <v>1430</v>
      </c>
      <c r="I811" s="9">
        <f t="shared" si="24"/>
        <v>209.09090909090909</v>
      </c>
      <c r="J811" s="3" t="str">
        <f t="shared" si="25"/>
        <v>Medium</v>
      </c>
    </row>
    <row r="812" spans="1:10">
      <c r="A812" s="4" t="s">
        <v>863</v>
      </c>
      <c r="B812" s="4" t="s">
        <v>77</v>
      </c>
      <c r="C812" s="4" t="s">
        <v>12</v>
      </c>
      <c r="D812" s="21">
        <v>299000</v>
      </c>
      <c r="E812" s="4">
        <v>3</v>
      </c>
      <c r="F812" s="4">
        <v>3</v>
      </c>
      <c r="G812" s="4">
        <v>1.1000000000000001</v>
      </c>
      <c r="H812" s="10">
        <v>1200</v>
      </c>
      <c r="I812" s="11">
        <f t="shared" si="24"/>
        <v>249.16666666666666</v>
      </c>
      <c r="J812" s="3" t="str">
        <f t="shared" si="25"/>
        <v>Medium</v>
      </c>
    </row>
    <row r="813" spans="1:10">
      <c r="A813" s="7" t="s">
        <v>864</v>
      </c>
      <c r="B813" s="7" t="s">
        <v>282</v>
      </c>
      <c r="C813" s="7" t="s">
        <v>12</v>
      </c>
      <c r="D813" s="22">
        <v>299000</v>
      </c>
      <c r="E813" s="7">
        <v>39</v>
      </c>
      <c r="F813" s="7">
        <v>3</v>
      </c>
      <c r="G813" s="7">
        <v>2</v>
      </c>
      <c r="H813" s="12">
        <v>1201</v>
      </c>
      <c r="I813" s="9">
        <f t="shared" si="24"/>
        <v>248.95920066611157</v>
      </c>
      <c r="J813" s="3" t="str">
        <f t="shared" si="25"/>
        <v>Medium</v>
      </c>
    </row>
    <row r="814" spans="1:10">
      <c r="A814" s="4" t="s">
        <v>865</v>
      </c>
      <c r="B814" s="4" t="s">
        <v>11</v>
      </c>
      <c r="C814" s="4" t="s">
        <v>12</v>
      </c>
      <c r="D814" s="21">
        <v>299000</v>
      </c>
      <c r="E814" s="4">
        <v>7</v>
      </c>
      <c r="F814" s="4">
        <v>3</v>
      </c>
      <c r="G814" s="4">
        <v>2.1</v>
      </c>
      <c r="H814" s="10">
        <v>1656</v>
      </c>
      <c r="I814" s="11">
        <f t="shared" si="24"/>
        <v>180.55555555555554</v>
      </c>
      <c r="J814" s="3" t="str">
        <f t="shared" si="25"/>
        <v>Low</v>
      </c>
    </row>
    <row r="815" spans="1:10">
      <c r="A815" s="7" t="s">
        <v>866</v>
      </c>
      <c r="B815" s="7" t="s">
        <v>867</v>
      </c>
      <c r="C815" s="7" t="s">
        <v>12</v>
      </c>
      <c r="D815" s="22">
        <v>299655</v>
      </c>
      <c r="E815" s="7">
        <v>9</v>
      </c>
      <c r="F815" s="7">
        <v>4</v>
      </c>
      <c r="G815" s="7">
        <v>2.1</v>
      </c>
      <c r="H815" s="12">
        <v>2062</v>
      </c>
      <c r="I815" s="9">
        <f t="shared" si="24"/>
        <v>145.32250242483028</v>
      </c>
      <c r="J815" s="3" t="str">
        <f t="shared" si="25"/>
        <v>Low</v>
      </c>
    </row>
    <row r="816" spans="1:10">
      <c r="A816" s="4" t="s">
        <v>868</v>
      </c>
      <c r="B816" s="4" t="s">
        <v>73</v>
      </c>
      <c r="C816" s="4" t="s">
        <v>12</v>
      </c>
      <c r="D816" s="21">
        <v>299900</v>
      </c>
      <c r="E816" s="4">
        <v>28</v>
      </c>
      <c r="F816" s="4">
        <v>3</v>
      </c>
      <c r="G816" s="4">
        <v>1.2</v>
      </c>
      <c r="H816" s="10">
        <v>1747</v>
      </c>
      <c r="I816" s="11">
        <f t="shared" si="24"/>
        <v>171.66571265025757</v>
      </c>
      <c r="J816" s="3" t="str">
        <f t="shared" si="25"/>
        <v>Low</v>
      </c>
    </row>
    <row r="817" spans="1:10">
      <c r="A817" s="7" t="s">
        <v>869</v>
      </c>
      <c r="B817" s="7" t="s">
        <v>56</v>
      </c>
      <c r="C817" s="7" t="s">
        <v>12</v>
      </c>
      <c r="D817" s="22">
        <v>299900</v>
      </c>
      <c r="E817" s="7">
        <v>65</v>
      </c>
      <c r="F817" s="7">
        <v>3</v>
      </c>
      <c r="G817" s="7">
        <v>1.1000000000000001</v>
      </c>
      <c r="H817" s="12">
        <v>1667</v>
      </c>
      <c r="I817" s="9">
        <f t="shared" si="24"/>
        <v>179.90401919616076</v>
      </c>
      <c r="J817" s="3" t="str">
        <f t="shared" si="25"/>
        <v>Low</v>
      </c>
    </row>
    <row r="818" spans="1:10">
      <c r="A818" s="4" t="s">
        <v>870</v>
      </c>
      <c r="B818" s="4" t="s">
        <v>83</v>
      </c>
      <c r="C818" s="4" t="s">
        <v>12</v>
      </c>
      <c r="D818" s="21">
        <v>299900</v>
      </c>
      <c r="E818" s="4">
        <v>15</v>
      </c>
      <c r="F818" s="4">
        <v>3</v>
      </c>
      <c r="G818" s="4">
        <v>2</v>
      </c>
      <c r="H818" s="10">
        <v>1777</v>
      </c>
      <c r="I818" s="11">
        <f t="shared" si="24"/>
        <v>168.76758581879571</v>
      </c>
      <c r="J818" s="3" t="str">
        <f t="shared" si="25"/>
        <v>Low</v>
      </c>
    </row>
    <row r="819" spans="1:10">
      <c r="A819" s="7" t="s">
        <v>871</v>
      </c>
      <c r="B819" s="7" t="s">
        <v>11</v>
      </c>
      <c r="C819" s="7" t="s">
        <v>12</v>
      </c>
      <c r="D819" s="22">
        <v>299900</v>
      </c>
      <c r="E819" s="7">
        <v>30</v>
      </c>
      <c r="F819" s="7">
        <v>4</v>
      </c>
      <c r="G819" s="7">
        <v>1.1000000000000001</v>
      </c>
      <c r="H819" s="12">
        <v>1707</v>
      </c>
      <c r="I819" s="9">
        <f t="shared" si="24"/>
        <v>175.68834212067955</v>
      </c>
      <c r="J819" s="3" t="str">
        <f t="shared" si="25"/>
        <v>Low</v>
      </c>
    </row>
    <row r="820" spans="1:10">
      <c r="A820" s="4" t="s">
        <v>872</v>
      </c>
      <c r="B820" s="4" t="s">
        <v>282</v>
      </c>
      <c r="C820" s="4" t="s">
        <v>12</v>
      </c>
      <c r="D820" s="21">
        <v>300000</v>
      </c>
      <c r="E820" s="4">
        <v>5</v>
      </c>
      <c r="F820" s="4">
        <v>3</v>
      </c>
      <c r="G820" s="4">
        <v>1</v>
      </c>
      <c r="H820" s="10">
        <v>1047</v>
      </c>
      <c r="I820" s="11">
        <f t="shared" si="24"/>
        <v>286.53295128939828</v>
      </c>
      <c r="J820" s="3" t="str">
        <f t="shared" si="25"/>
        <v>Medium</v>
      </c>
    </row>
    <row r="821" spans="1:10">
      <c r="A821" s="7" t="s">
        <v>873</v>
      </c>
      <c r="B821" s="7" t="s">
        <v>11</v>
      </c>
      <c r="C821" s="7" t="s">
        <v>12</v>
      </c>
      <c r="D821" s="22">
        <v>300000</v>
      </c>
      <c r="E821" s="7">
        <v>4</v>
      </c>
      <c r="F821" s="7">
        <v>3</v>
      </c>
      <c r="G821" s="7">
        <v>1.1000000000000001</v>
      </c>
      <c r="H821" s="12">
        <v>1585</v>
      </c>
      <c r="I821" s="9">
        <f t="shared" si="24"/>
        <v>189.2744479495268</v>
      </c>
      <c r="J821" s="3" t="str">
        <f t="shared" si="25"/>
        <v>Low</v>
      </c>
    </row>
    <row r="822" spans="1:10">
      <c r="A822" s="4" t="s">
        <v>874</v>
      </c>
      <c r="B822" s="4" t="s">
        <v>131</v>
      </c>
      <c r="C822" s="4" t="s">
        <v>12</v>
      </c>
      <c r="D822" s="21">
        <v>300000</v>
      </c>
      <c r="E822" s="4">
        <v>61</v>
      </c>
      <c r="F822" s="4">
        <v>4</v>
      </c>
      <c r="G822" s="4">
        <v>1.1000000000000001</v>
      </c>
      <c r="H822" s="10">
        <v>1462</v>
      </c>
      <c r="I822" s="11">
        <f t="shared" si="24"/>
        <v>205.19835841313269</v>
      </c>
      <c r="J822" s="3" t="str">
        <f t="shared" si="25"/>
        <v>Medium</v>
      </c>
    </row>
    <row r="823" spans="1:10">
      <c r="A823" s="7" t="s">
        <v>875</v>
      </c>
      <c r="B823" s="7" t="s">
        <v>131</v>
      </c>
      <c r="C823" s="7" t="s">
        <v>12</v>
      </c>
      <c r="D823" s="22">
        <v>300000</v>
      </c>
      <c r="E823" s="7">
        <v>14</v>
      </c>
      <c r="F823" s="7">
        <v>3</v>
      </c>
      <c r="G823" s="7">
        <v>2</v>
      </c>
      <c r="H823" s="12">
        <v>1053</v>
      </c>
      <c r="I823" s="9">
        <f t="shared" si="24"/>
        <v>284.90028490028487</v>
      </c>
      <c r="J823" s="3" t="str">
        <f t="shared" si="25"/>
        <v>Medium</v>
      </c>
    </row>
    <row r="824" spans="1:10">
      <c r="A824" s="4" t="s">
        <v>876</v>
      </c>
      <c r="B824" s="4" t="s">
        <v>131</v>
      </c>
      <c r="C824" s="4" t="s">
        <v>12</v>
      </c>
      <c r="D824" s="21">
        <v>300000</v>
      </c>
      <c r="E824" s="4">
        <v>8</v>
      </c>
      <c r="F824" s="4">
        <v>3</v>
      </c>
      <c r="G824" s="4">
        <v>2</v>
      </c>
      <c r="H824" s="10">
        <v>1091</v>
      </c>
      <c r="I824" s="11">
        <f t="shared" si="24"/>
        <v>274.97708524289641</v>
      </c>
      <c r="J824" s="3" t="str">
        <f t="shared" si="25"/>
        <v>Medium</v>
      </c>
    </row>
    <row r="825" spans="1:10">
      <c r="A825" s="7" t="s">
        <v>877</v>
      </c>
      <c r="B825" s="7" t="s">
        <v>878</v>
      </c>
      <c r="C825" s="7" t="s">
        <v>12</v>
      </c>
      <c r="D825" s="22">
        <v>300000</v>
      </c>
      <c r="E825" s="7">
        <v>8</v>
      </c>
      <c r="F825" s="7">
        <v>3</v>
      </c>
      <c r="G825" s="7">
        <v>1.1000000000000001</v>
      </c>
      <c r="H825" s="12">
        <v>1530</v>
      </c>
      <c r="I825" s="9">
        <f t="shared" si="24"/>
        <v>196.07843137254903</v>
      </c>
      <c r="J825" s="3" t="str">
        <f t="shared" si="25"/>
        <v>Low</v>
      </c>
    </row>
    <row r="826" spans="1:10">
      <c r="A826" s="4" t="s">
        <v>879</v>
      </c>
      <c r="B826" s="4" t="s">
        <v>18</v>
      </c>
      <c r="C826" s="4" t="s">
        <v>12</v>
      </c>
      <c r="D826" s="21">
        <v>300000</v>
      </c>
      <c r="E826" s="4">
        <v>5</v>
      </c>
      <c r="F826" s="4">
        <v>4</v>
      </c>
      <c r="G826" s="4">
        <v>3</v>
      </c>
      <c r="H826" s="10">
        <v>1691</v>
      </c>
      <c r="I826" s="11">
        <f t="shared" si="24"/>
        <v>177.40981667652278</v>
      </c>
      <c r="J826" s="3" t="str">
        <f t="shared" si="25"/>
        <v>Low</v>
      </c>
    </row>
    <row r="827" spans="1:10">
      <c r="A827" s="7" t="s">
        <v>880</v>
      </c>
      <c r="B827" s="7" t="s">
        <v>363</v>
      </c>
      <c r="C827" s="7" t="s">
        <v>12</v>
      </c>
      <c r="D827" s="22">
        <v>300000</v>
      </c>
      <c r="E827" s="7">
        <v>23</v>
      </c>
      <c r="F827" s="7">
        <v>0</v>
      </c>
      <c r="G827" s="7">
        <v>0.1</v>
      </c>
      <c r="H827" s="12">
        <v>1000</v>
      </c>
      <c r="I827" s="9">
        <f t="shared" si="24"/>
        <v>300</v>
      </c>
      <c r="J827" s="3" t="str">
        <f t="shared" si="25"/>
        <v>Medium</v>
      </c>
    </row>
    <row r="828" spans="1:10">
      <c r="A828" s="4" t="s">
        <v>881</v>
      </c>
      <c r="B828" s="4" t="s">
        <v>80</v>
      </c>
      <c r="C828" s="4" t="s">
        <v>12</v>
      </c>
      <c r="D828" s="21">
        <v>300000</v>
      </c>
      <c r="E828" s="4">
        <v>4</v>
      </c>
      <c r="F828" s="4">
        <v>3</v>
      </c>
      <c r="G828" s="4">
        <v>2.1</v>
      </c>
      <c r="H828" s="10">
        <v>1200</v>
      </c>
      <c r="I828" s="11">
        <f t="shared" si="24"/>
        <v>250</v>
      </c>
      <c r="J828" s="3" t="str">
        <f t="shared" si="25"/>
        <v>Medium</v>
      </c>
    </row>
    <row r="829" spans="1:10">
      <c r="A829" s="7" t="s">
        <v>882</v>
      </c>
      <c r="B829" s="7" t="s">
        <v>70</v>
      </c>
      <c r="C829" s="7" t="s">
        <v>12</v>
      </c>
      <c r="D829" s="22">
        <v>300000</v>
      </c>
      <c r="E829" s="7">
        <v>26</v>
      </c>
      <c r="F829" s="7">
        <v>2</v>
      </c>
      <c r="G829" s="7">
        <v>1.1000000000000001</v>
      </c>
      <c r="H829" s="12">
        <v>1378</v>
      </c>
      <c r="I829" s="9">
        <f t="shared" si="24"/>
        <v>217.70682148040638</v>
      </c>
      <c r="J829" s="3" t="str">
        <f t="shared" si="25"/>
        <v>Medium</v>
      </c>
    </row>
    <row r="830" spans="1:10">
      <c r="A830" s="4" t="s">
        <v>883</v>
      </c>
      <c r="B830" s="4" t="s">
        <v>553</v>
      </c>
      <c r="C830" s="4" t="s">
        <v>12</v>
      </c>
      <c r="D830" s="21">
        <v>300000</v>
      </c>
      <c r="E830" s="4">
        <v>5</v>
      </c>
      <c r="F830" s="4">
        <v>3</v>
      </c>
      <c r="G830" s="4">
        <v>2</v>
      </c>
      <c r="H830" s="10">
        <v>1025</v>
      </c>
      <c r="I830" s="11">
        <f t="shared" si="24"/>
        <v>292.6829268292683</v>
      </c>
      <c r="J830" s="3" t="str">
        <f t="shared" si="25"/>
        <v>Medium</v>
      </c>
    </row>
    <row r="831" spans="1:10">
      <c r="A831" s="7" t="s">
        <v>884</v>
      </c>
      <c r="B831" s="7" t="s">
        <v>474</v>
      </c>
      <c r="C831" s="7" t="s">
        <v>12</v>
      </c>
      <c r="D831" s="22">
        <v>300000</v>
      </c>
      <c r="E831" s="7">
        <v>71</v>
      </c>
      <c r="F831" s="7">
        <v>4</v>
      </c>
      <c r="G831" s="7">
        <v>3</v>
      </c>
      <c r="H831" s="12">
        <v>1684</v>
      </c>
      <c r="I831" s="9">
        <f t="shared" si="24"/>
        <v>178.14726840855107</v>
      </c>
      <c r="J831" s="3" t="str">
        <f t="shared" si="25"/>
        <v>Low</v>
      </c>
    </row>
    <row r="832" spans="1:10">
      <c r="A832" s="4" t="s">
        <v>885</v>
      </c>
      <c r="B832" s="4" t="s">
        <v>544</v>
      </c>
      <c r="C832" s="4" t="s">
        <v>12</v>
      </c>
      <c r="D832" s="21">
        <v>300000</v>
      </c>
      <c r="E832" s="4">
        <v>12</v>
      </c>
      <c r="F832" s="4">
        <v>5</v>
      </c>
      <c r="G832" s="4">
        <v>2</v>
      </c>
      <c r="H832" s="10">
        <v>1121</v>
      </c>
      <c r="I832" s="11">
        <f t="shared" si="24"/>
        <v>267.61819803746653</v>
      </c>
      <c r="J832" s="3" t="str">
        <f t="shared" si="25"/>
        <v>Medium</v>
      </c>
    </row>
    <row r="833" spans="1:10">
      <c r="A833" s="7" t="s">
        <v>886</v>
      </c>
      <c r="B833" s="7" t="s">
        <v>93</v>
      </c>
      <c r="C833" s="7" t="s">
        <v>12</v>
      </c>
      <c r="D833" s="22">
        <v>300000</v>
      </c>
      <c r="E833" s="7">
        <v>6</v>
      </c>
      <c r="F833" s="7">
        <v>3</v>
      </c>
      <c r="G833" s="7">
        <v>2</v>
      </c>
      <c r="H833" s="12">
        <v>1464</v>
      </c>
      <c r="I833" s="9">
        <f t="shared" si="24"/>
        <v>204.91803278688525</v>
      </c>
      <c r="J833" s="3" t="str">
        <f t="shared" si="25"/>
        <v>Medium</v>
      </c>
    </row>
    <row r="834" spans="1:10">
      <c r="A834" s="4" t="s">
        <v>880</v>
      </c>
      <c r="B834" s="4" t="s">
        <v>363</v>
      </c>
      <c r="C834" s="4" t="s">
        <v>12</v>
      </c>
      <c r="D834" s="21">
        <v>300000</v>
      </c>
      <c r="E834" s="4">
        <v>7</v>
      </c>
      <c r="F834" s="4">
        <v>3</v>
      </c>
      <c r="G834" s="4">
        <v>2.1</v>
      </c>
      <c r="H834" s="10">
        <v>1250</v>
      </c>
      <c r="I834" s="11">
        <f t="shared" ref="I834:I897" si="26">D834/H834</f>
        <v>240</v>
      </c>
      <c r="J834" s="3" t="str">
        <f t="shared" ref="J834:J897" si="27">IF(I834 &gt; 300, "High", IF(AND(I834 &lt;= 300, I834 &gt; 200), "Medium", "Low"))</f>
        <v>Medium</v>
      </c>
    </row>
    <row r="835" spans="1:10">
      <c r="A835" s="7" t="s">
        <v>887</v>
      </c>
      <c r="B835" s="7" t="s">
        <v>888</v>
      </c>
      <c r="C835" s="7" t="s">
        <v>12</v>
      </c>
      <c r="D835" s="22">
        <v>300000</v>
      </c>
      <c r="E835" s="7">
        <v>29</v>
      </c>
      <c r="F835" s="7">
        <v>4</v>
      </c>
      <c r="G835" s="7">
        <v>1.1000000000000001</v>
      </c>
      <c r="H835" s="12">
        <v>1088</v>
      </c>
      <c r="I835" s="9">
        <f t="shared" si="26"/>
        <v>275.73529411764707</v>
      </c>
      <c r="J835" s="3" t="str">
        <f t="shared" si="27"/>
        <v>Medium</v>
      </c>
    </row>
    <row r="836" spans="1:10">
      <c r="A836" s="4" t="s">
        <v>889</v>
      </c>
      <c r="B836" s="4" t="s">
        <v>823</v>
      </c>
      <c r="C836" s="4" t="s">
        <v>12</v>
      </c>
      <c r="D836" s="21">
        <v>300000</v>
      </c>
      <c r="E836" s="4">
        <v>55</v>
      </c>
      <c r="F836" s="4">
        <v>3</v>
      </c>
      <c r="G836" s="4">
        <v>2</v>
      </c>
      <c r="H836" s="10">
        <v>1537</v>
      </c>
      <c r="I836" s="11">
        <f t="shared" si="26"/>
        <v>195.18542615484711</v>
      </c>
      <c r="J836" s="3" t="str">
        <f t="shared" si="27"/>
        <v>Low</v>
      </c>
    </row>
    <row r="837" spans="1:10">
      <c r="A837" s="7" t="s">
        <v>890</v>
      </c>
      <c r="B837" s="7" t="s">
        <v>73</v>
      </c>
      <c r="C837" s="7" t="s">
        <v>12</v>
      </c>
      <c r="D837" s="22">
        <v>300000</v>
      </c>
      <c r="E837" s="7">
        <v>35</v>
      </c>
      <c r="F837" s="7">
        <v>4</v>
      </c>
      <c r="G837" s="7">
        <v>1.1000000000000001</v>
      </c>
      <c r="H837" s="12">
        <v>2300</v>
      </c>
      <c r="I837" s="9">
        <f t="shared" si="26"/>
        <v>130.43478260869566</v>
      </c>
      <c r="J837" s="3" t="str">
        <f t="shared" si="27"/>
        <v>Low</v>
      </c>
    </row>
    <row r="838" spans="1:10">
      <c r="A838" s="4" t="s">
        <v>891</v>
      </c>
      <c r="B838" s="4" t="s">
        <v>268</v>
      </c>
      <c r="C838" s="4" t="s">
        <v>12</v>
      </c>
      <c r="D838" s="21">
        <v>300000</v>
      </c>
      <c r="E838" s="4">
        <v>65</v>
      </c>
      <c r="F838" s="4">
        <v>3</v>
      </c>
      <c r="G838" s="4">
        <v>2.1</v>
      </c>
      <c r="H838" s="10">
        <v>2246</v>
      </c>
      <c r="I838" s="11">
        <f t="shared" si="26"/>
        <v>133.57079252003561</v>
      </c>
      <c r="J838" s="3" t="str">
        <f t="shared" si="27"/>
        <v>Low</v>
      </c>
    </row>
    <row r="839" spans="1:10">
      <c r="A839" s="7" t="s">
        <v>892</v>
      </c>
      <c r="B839" s="7" t="s">
        <v>318</v>
      </c>
      <c r="C839" s="7" t="s">
        <v>12</v>
      </c>
      <c r="D839" s="22">
        <v>300000</v>
      </c>
      <c r="E839" s="7">
        <v>150</v>
      </c>
      <c r="F839" s="7">
        <v>3</v>
      </c>
      <c r="G839" s="7">
        <v>1.1000000000000001</v>
      </c>
      <c r="H839" s="12">
        <v>1446</v>
      </c>
      <c r="I839" s="9">
        <f t="shared" si="26"/>
        <v>207.46887966804979</v>
      </c>
      <c r="J839" s="3" t="str">
        <f t="shared" si="27"/>
        <v>Medium</v>
      </c>
    </row>
    <row r="840" spans="1:10">
      <c r="A840" s="4" t="s">
        <v>893</v>
      </c>
      <c r="B840" s="4" t="s">
        <v>11</v>
      </c>
      <c r="C840" s="4" t="s">
        <v>12</v>
      </c>
      <c r="D840" s="21">
        <v>300000</v>
      </c>
      <c r="E840" s="4">
        <v>31</v>
      </c>
      <c r="F840" s="4">
        <v>4</v>
      </c>
      <c r="G840" s="4">
        <v>2.1</v>
      </c>
      <c r="H840" s="10">
        <v>2112</v>
      </c>
      <c r="I840" s="11">
        <f t="shared" si="26"/>
        <v>142.04545454545453</v>
      </c>
      <c r="J840" s="3" t="str">
        <f t="shared" si="27"/>
        <v>Low</v>
      </c>
    </row>
    <row r="841" spans="1:10">
      <c r="A841" s="7" t="s">
        <v>894</v>
      </c>
      <c r="B841" s="7" t="s">
        <v>318</v>
      </c>
      <c r="C841" s="7" t="s">
        <v>12</v>
      </c>
      <c r="D841" s="22">
        <v>300000</v>
      </c>
      <c r="E841" s="7">
        <v>115</v>
      </c>
      <c r="F841" s="7">
        <v>3</v>
      </c>
      <c r="G841" s="7">
        <v>2</v>
      </c>
      <c r="H841" s="12">
        <v>2015</v>
      </c>
      <c r="I841" s="9">
        <f t="shared" si="26"/>
        <v>148.8833746898263</v>
      </c>
      <c r="J841" s="3" t="str">
        <f t="shared" si="27"/>
        <v>Low</v>
      </c>
    </row>
    <row r="842" spans="1:10">
      <c r="A842" s="4" t="s">
        <v>895</v>
      </c>
      <c r="B842" s="4" t="s">
        <v>878</v>
      </c>
      <c r="C842" s="4" t="s">
        <v>12</v>
      </c>
      <c r="D842" s="21">
        <v>301000</v>
      </c>
      <c r="E842" s="4">
        <v>5</v>
      </c>
      <c r="F842" s="4">
        <v>3</v>
      </c>
      <c r="G842" s="4">
        <v>1.1000000000000001</v>
      </c>
      <c r="H842" s="10">
        <v>1550</v>
      </c>
      <c r="I842" s="11">
        <f t="shared" si="26"/>
        <v>194.19354838709677</v>
      </c>
      <c r="J842" s="3" t="str">
        <f t="shared" si="27"/>
        <v>Low</v>
      </c>
    </row>
    <row r="843" spans="1:10">
      <c r="A843" s="7" t="s">
        <v>896</v>
      </c>
      <c r="B843" s="7" t="s">
        <v>70</v>
      </c>
      <c r="C843" s="7" t="s">
        <v>12</v>
      </c>
      <c r="D843" s="22">
        <v>301000</v>
      </c>
      <c r="E843" s="7">
        <v>3</v>
      </c>
      <c r="F843" s="7">
        <v>3</v>
      </c>
      <c r="G843" s="7">
        <v>2</v>
      </c>
      <c r="H843" s="12">
        <v>1049</v>
      </c>
      <c r="I843" s="9">
        <f t="shared" si="26"/>
        <v>286.93994280266924</v>
      </c>
      <c r="J843" s="3" t="str">
        <f t="shared" si="27"/>
        <v>Medium</v>
      </c>
    </row>
    <row r="844" spans="1:10">
      <c r="A844" s="4" t="s">
        <v>897</v>
      </c>
      <c r="B844" s="4" t="s">
        <v>268</v>
      </c>
      <c r="C844" s="4" t="s">
        <v>12</v>
      </c>
      <c r="D844" s="21">
        <v>301000</v>
      </c>
      <c r="E844" s="4">
        <v>7</v>
      </c>
      <c r="F844" s="4">
        <v>3</v>
      </c>
      <c r="G844" s="4">
        <v>2</v>
      </c>
      <c r="H844" s="4">
        <v>930</v>
      </c>
      <c r="I844" s="11">
        <f t="shared" si="26"/>
        <v>323.6559139784946</v>
      </c>
      <c r="J844" s="3" t="str">
        <f t="shared" si="27"/>
        <v>High</v>
      </c>
    </row>
    <row r="845" spans="1:10">
      <c r="A845" s="7" t="s">
        <v>898</v>
      </c>
      <c r="B845" s="7" t="s">
        <v>11</v>
      </c>
      <c r="C845" s="7" t="s">
        <v>12</v>
      </c>
      <c r="D845" s="22">
        <v>302000</v>
      </c>
      <c r="E845" s="7">
        <v>6</v>
      </c>
      <c r="F845" s="7">
        <v>3</v>
      </c>
      <c r="G845" s="7">
        <v>2</v>
      </c>
      <c r="H845" s="12">
        <v>1400</v>
      </c>
      <c r="I845" s="9">
        <f t="shared" si="26"/>
        <v>215.71428571428572</v>
      </c>
      <c r="J845" s="3" t="str">
        <f t="shared" si="27"/>
        <v>Medium</v>
      </c>
    </row>
    <row r="846" spans="1:10">
      <c r="A846" s="4" t="s">
        <v>899</v>
      </c>
      <c r="B846" s="4" t="s">
        <v>131</v>
      </c>
      <c r="C846" s="4" t="s">
        <v>12</v>
      </c>
      <c r="D846" s="21">
        <v>302000</v>
      </c>
      <c r="E846" s="4">
        <v>123</v>
      </c>
      <c r="F846" s="4">
        <v>4</v>
      </c>
      <c r="G846" s="4">
        <v>2</v>
      </c>
      <c r="H846" s="10">
        <v>1102</v>
      </c>
      <c r="I846" s="11">
        <f t="shared" si="26"/>
        <v>274.04718693284934</v>
      </c>
      <c r="J846" s="3" t="str">
        <f t="shared" si="27"/>
        <v>Medium</v>
      </c>
    </row>
    <row r="847" spans="1:10">
      <c r="A847" s="7" t="s">
        <v>900</v>
      </c>
      <c r="B847" s="7" t="s">
        <v>56</v>
      </c>
      <c r="C847" s="7" t="s">
        <v>12</v>
      </c>
      <c r="D847" s="22">
        <v>303000</v>
      </c>
      <c r="E847" s="7">
        <v>4</v>
      </c>
      <c r="F847" s="7">
        <v>3</v>
      </c>
      <c r="G847" s="7">
        <v>1.1000000000000001</v>
      </c>
      <c r="H847" s="12">
        <v>1008</v>
      </c>
      <c r="I847" s="9">
        <f t="shared" si="26"/>
        <v>300.59523809523807</v>
      </c>
      <c r="J847" s="3" t="str">
        <f t="shared" si="27"/>
        <v>High</v>
      </c>
    </row>
    <row r="848" spans="1:10">
      <c r="A848" s="4" t="s">
        <v>901</v>
      </c>
      <c r="B848" s="4" t="s">
        <v>11</v>
      </c>
      <c r="C848" s="4" t="s">
        <v>12</v>
      </c>
      <c r="D848" s="21">
        <v>304000</v>
      </c>
      <c r="E848" s="4">
        <v>6</v>
      </c>
      <c r="F848" s="4">
        <v>3</v>
      </c>
      <c r="G848" s="4">
        <v>1.1000000000000001</v>
      </c>
      <c r="H848" s="10">
        <v>1352</v>
      </c>
      <c r="I848" s="11">
        <f t="shared" si="26"/>
        <v>224.85207100591717</v>
      </c>
      <c r="J848" s="3" t="str">
        <f t="shared" si="27"/>
        <v>Medium</v>
      </c>
    </row>
    <row r="849" spans="1:10">
      <c r="A849" s="7" t="s">
        <v>902</v>
      </c>
      <c r="B849" s="7" t="s">
        <v>117</v>
      </c>
      <c r="C849" s="7" t="s">
        <v>12</v>
      </c>
      <c r="D849" s="22">
        <v>304500</v>
      </c>
      <c r="E849" s="7">
        <v>3</v>
      </c>
      <c r="F849" s="7">
        <v>3</v>
      </c>
      <c r="G849" s="7">
        <v>2</v>
      </c>
      <c r="H849" s="12">
        <v>1384</v>
      </c>
      <c r="I849" s="9">
        <f t="shared" si="26"/>
        <v>220.01445086705203</v>
      </c>
      <c r="J849" s="3" t="str">
        <f t="shared" si="27"/>
        <v>Medium</v>
      </c>
    </row>
    <row r="850" spans="1:10">
      <c r="A850" s="4" t="s">
        <v>903</v>
      </c>
      <c r="B850" s="4" t="s">
        <v>268</v>
      </c>
      <c r="C850" s="4" t="s">
        <v>12</v>
      </c>
      <c r="D850" s="21">
        <v>305000</v>
      </c>
      <c r="E850" s="4">
        <v>4</v>
      </c>
      <c r="F850" s="4">
        <v>4</v>
      </c>
      <c r="G850" s="4">
        <v>2.1</v>
      </c>
      <c r="H850" s="10">
        <v>1895</v>
      </c>
      <c r="I850" s="11">
        <f t="shared" si="26"/>
        <v>160.94986807387863</v>
      </c>
      <c r="J850" s="3" t="str">
        <f t="shared" si="27"/>
        <v>Low</v>
      </c>
    </row>
    <row r="851" spans="1:10">
      <c r="A851" s="7" t="s">
        <v>904</v>
      </c>
      <c r="B851" s="7" t="s">
        <v>131</v>
      </c>
      <c r="C851" s="7" t="s">
        <v>12</v>
      </c>
      <c r="D851" s="22">
        <v>305000</v>
      </c>
      <c r="E851" s="7">
        <v>2</v>
      </c>
      <c r="F851" s="7">
        <v>3</v>
      </c>
      <c r="G851" s="7">
        <v>2</v>
      </c>
      <c r="H851" s="12">
        <v>1015</v>
      </c>
      <c r="I851" s="9">
        <f t="shared" si="26"/>
        <v>300.49261083743841</v>
      </c>
      <c r="J851" s="3" t="str">
        <f t="shared" si="27"/>
        <v>High</v>
      </c>
    </row>
    <row r="852" spans="1:10">
      <c r="A852" s="4" t="s">
        <v>905</v>
      </c>
      <c r="B852" s="4" t="s">
        <v>73</v>
      </c>
      <c r="C852" s="4" t="s">
        <v>12</v>
      </c>
      <c r="D852" s="21">
        <v>305000</v>
      </c>
      <c r="E852" s="4">
        <v>79</v>
      </c>
      <c r="F852" s="4">
        <v>4</v>
      </c>
      <c r="G852" s="4">
        <v>2</v>
      </c>
      <c r="H852" s="10">
        <v>2006</v>
      </c>
      <c r="I852" s="11">
        <f t="shared" si="26"/>
        <v>152.04386839481555</v>
      </c>
      <c r="J852" s="3" t="str">
        <f t="shared" si="27"/>
        <v>Low</v>
      </c>
    </row>
    <row r="853" spans="1:10">
      <c r="A853" s="7" t="s">
        <v>906</v>
      </c>
      <c r="B853" s="7" t="s">
        <v>131</v>
      </c>
      <c r="C853" s="7" t="s">
        <v>12</v>
      </c>
      <c r="D853" s="22">
        <v>305000</v>
      </c>
      <c r="E853" s="7">
        <v>37</v>
      </c>
      <c r="F853" s="7">
        <v>3</v>
      </c>
      <c r="G853" s="7">
        <v>1</v>
      </c>
      <c r="H853" s="12">
        <v>1056</v>
      </c>
      <c r="I853" s="9">
        <f t="shared" si="26"/>
        <v>288.82575757575756</v>
      </c>
      <c r="J853" s="3" t="str">
        <f t="shared" si="27"/>
        <v>Medium</v>
      </c>
    </row>
    <row r="854" spans="1:10">
      <c r="A854" s="4" t="s">
        <v>907</v>
      </c>
      <c r="B854" s="4" t="s">
        <v>73</v>
      </c>
      <c r="C854" s="4" t="s">
        <v>12</v>
      </c>
      <c r="D854" s="21">
        <v>305000</v>
      </c>
      <c r="E854" s="4">
        <v>8</v>
      </c>
      <c r="F854" s="4">
        <v>4</v>
      </c>
      <c r="G854" s="4">
        <v>2</v>
      </c>
      <c r="H854" s="10">
        <v>2778</v>
      </c>
      <c r="I854" s="11">
        <f t="shared" si="26"/>
        <v>109.79121670266379</v>
      </c>
      <c r="J854" s="3" t="str">
        <f t="shared" si="27"/>
        <v>Low</v>
      </c>
    </row>
    <row r="855" spans="1:10">
      <c r="A855" s="7" t="s">
        <v>908</v>
      </c>
      <c r="B855" s="7" t="s">
        <v>29</v>
      </c>
      <c r="C855" s="7" t="s">
        <v>12</v>
      </c>
      <c r="D855" s="22">
        <v>305000</v>
      </c>
      <c r="E855" s="7">
        <v>2</v>
      </c>
      <c r="F855" s="7">
        <v>3</v>
      </c>
      <c r="G855" s="7">
        <v>2</v>
      </c>
      <c r="H855" s="12">
        <v>1136</v>
      </c>
      <c r="I855" s="9">
        <f t="shared" si="26"/>
        <v>268.48591549295776</v>
      </c>
      <c r="J855" s="3" t="str">
        <f t="shared" si="27"/>
        <v>Medium</v>
      </c>
    </row>
    <row r="856" spans="1:10">
      <c r="A856" s="4" t="s">
        <v>909</v>
      </c>
      <c r="B856" s="4" t="s">
        <v>25</v>
      </c>
      <c r="C856" s="4" t="s">
        <v>12</v>
      </c>
      <c r="D856" s="21">
        <v>305000</v>
      </c>
      <c r="E856" s="4">
        <v>36</v>
      </c>
      <c r="F856" s="4">
        <v>3</v>
      </c>
      <c r="G856" s="4">
        <v>2</v>
      </c>
      <c r="H856" s="10">
        <v>1544</v>
      </c>
      <c r="I856" s="11">
        <f t="shared" si="26"/>
        <v>197.53886010362694</v>
      </c>
      <c r="J856" s="3" t="str">
        <f t="shared" si="27"/>
        <v>Low</v>
      </c>
    </row>
    <row r="857" spans="1:10">
      <c r="A857" s="7" t="s">
        <v>910</v>
      </c>
      <c r="B857" s="7" t="s">
        <v>70</v>
      </c>
      <c r="C857" s="7" t="s">
        <v>12</v>
      </c>
      <c r="D857" s="22">
        <v>305000</v>
      </c>
      <c r="E857" s="7">
        <v>7</v>
      </c>
      <c r="F857" s="7">
        <v>4</v>
      </c>
      <c r="G857" s="7">
        <v>2</v>
      </c>
      <c r="H857" s="12">
        <v>1684</v>
      </c>
      <c r="I857" s="9">
        <f t="shared" si="26"/>
        <v>181.11638954869358</v>
      </c>
      <c r="J857" s="3" t="str">
        <f t="shared" si="27"/>
        <v>Low</v>
      </c>
    </row>
    <row r="858" spans="1:10">
      <c r="A858" s="4" t="s">
        <v>911</v>
      </c>
      <c r="B858" s="4" t="s">
        <v>131</v>
      </c>
      <c r="C858" s="4" t="s">
        <v>12</v>
      </c>
      <c r="D858" s="21">
        <v>305000</v>
      </c>
      <c r="E858" s="4">
        <v>4</v>
      </c>
      <c r="F858" s="4">
        <v>3</v>
      </c>
      <c r="G858" s="4">
        <v>1.1000000000000001</v>
      </c>
      <c r="H858" s="10">
        <v>1221</v>
      </c>
      <c r="I858" s="11">
        <f t="shared" si="26"/>
        <v>249.79524979524979</v>
      </c>
      <c r="J858" s="3" t="str">
        <f t="shared" si="27"/>
        <v>Medium</v>
      </c>
    </row>
    <row r="859" spans="1:10">
      <c r="A859" s="7" t="s">
        <v>912</v>
      </c>
      <c r="B859" s="7" t="s">
        <v>83</v>
      </c>
      <c r="C859" s="7" t="s">
        <v>12</v>
      </c>
      <c r="D859" s="22">
        <v>305000</v>
      </c>
      <c r="E859" s="7">
        <v>117</v>
      </c>
      <c r="F859" s="7">
        <v>3</v>
      </c>
      <c r="G859" s="7">
        <v>1.1000000000000001</v>
      </c>
      <c r="H859" s="12">
        <v>1620</v>
      </c>
      <c r="I859" s="9">
        <f t="shared" si="26"/>
        <v>188.27160493827159</v>
      </c>
      <c r="J859" s="3" t="str">
        <f t="shared" si="27"/>
        <v>Low</v>
      </c>
    </row>
    <row r="860" spans="1:10">
      <c r="A860" s="4" t="s">
        <v>913</v>
      </c>
      <c r="B860" s="4" t="s">
        <v>80</v>
      </c>
      <c r="C860" s="4" t="s">
        <v>12</v>
      </c>
      <c r="D860" s="21">
        <v>305000</v>
      </c>
      <c r="E860" s="4">
        <v>38</v>
      </c>
      <c r="F860" s="4">
        <v>4</v>
      </c>
      <c r="G860" s="4">
        <v>2.1</v>
      </c>
      <c r="H860" s="10">
        <v>1833</v>
      </c>
      <c r="I860" s="11">
        <f t="shared" si="26"/>
        <v>166.39388979814512</v>
      </c>
      <c r="J860" s="3" t="str">
        <f t="shared" si="27"/>
        <v>Low</v>
      </c>
    </row>
    <row r="861" spans="1:10">
      <c r="A861" s="7" t="s">
        <v>914</v>
      </c>
      <c r="B861" s="7" t="s">
        <v>131</v>
      </c>
      <c r="C861" s="7" t="s">
        <v>12</v>
      </c>
      <c r="D861" s="22">
        <v>306000</v>
      </c>
      <c r="E861" s="7">
        <v>6</v>
      </c>
      <c r="F861" s="7">
        <v>3</v>
      </c>
      <c r="G861" s="7">
        <v>1</v>
      </c>
      <c r="H861" s="7">
        <v>988</v>
      </c>
      <c r="I861" s="9">
        <f t="shared" si="26"/>
        <v>309.71659919028338</v>
      </c>
      <c r="J861" s="3" t="str">
        <f t="shared" si="27"/>
        <v>High</v>
      </c>
    </row>
    <row r="862" spans="1:10">
      <c r="A862" s="4" t="s">
        <v>915</v>
      </c>
      <c r="B862" s="4" t="s">
        <v>56</v>
      </c>
      <c r="C862" s="4" t="s">
        <v>12</v>
      </c>
      <c r="D862" s="21">
        <v>306000</v>
      </c>
      <c r="E862" s="4">
        <v>20</v>
      </c>
      <c r="F862" s="4">
        <v>3</v>
      </c>
      <c r="G862" s="4">
        <v>2.1</v>
      </c>
      <c r="H862" s="10">
        <v>1768</v>
      </c>
      <c r="I862" s="11">
        <f t="shared" si="26"/>
        <v>173.07692307692307</v>
      </c>
      <c r="J862" s="3" t="str">
        <f t="shared" si="27"/>
        <v>Low</v>
      </c>
    </row>
    <row r="863" spans="1:10">
      <c r="A863" s="7" t="s">
        <v>916</v>
      </c>
      <c r="B863" s="7" t="s">
        <v>73</v>
      </c>
      <c r="C863" s="7" t="s">
        <v>12</v>
      </c>
      <c r="D863" s="22">
        <v>306500</v>
      </c>
      <c r="E863" s="7">
        <v>4</v>
      </c>
      <c r="F863" s="7">
        <v>3</v>
      </c>
      <c r="G863" s="7">
        <v>2</v>
      </c>
      <c r="H863" s="12">
        <v>1669</v>
      </c>
      <c r="I863" s="9">
        <f t="shared" si="26"/>
        <v>183.64289994008388</v>
      </c>
      <c r="J863" s="3" t="str">
        <f t="shared" si="27"/>
        <v>Low</v>
      </c>
    </row>
    <row r="864" spans="1:10">
      <c r="A864" s="4" t="s">
        <v>917</v>
      </c>
      <c r="B864" s="4" t="s">
        <v>282</v>
      </c>
      <c r="C864" s="4" t="s">
        <v>12</v>
      </c>
      <c r="D864" s="21">
        <v>306500</v>
      </c>
      <c r="E864" s="4">
        <v>79</v>
      </c>
      <c r="F864" s="4">
        <v>4</v>
      </c>
      <c r="G864" s="4">
        <v>2</v>
      </c>
      <c r="H864" s="10">
        <v>1223</v>
      </c>
      <c r="I864" s="11">
        <f t="shared" si="26"/>
        <v>250.61324611610794</v>
      </c>
      <c r="J864" s="3" t="str">
        <f t="shared" si="27"/>
        <v>Medium</v>
      </c>
    </row>
    <row r="865" spans="1:10">
      <c r="A865" s="7" t="s">
        <v>918</v>
      </c>
      <c r="B865" s="7" t="s">
        <v>14</v>
      </c>
      <c r="C865" s="7" t="s">
        <v>12</v>
      </c>
      <c r="D865" s="22">
        <v>307000</v>
      </c>
      <c r="E865" s="7">
        <v>13</v>
      </c>
      <c r="F865" s="7">
        <v>5</v>
      </c>
      <c r="G865" s="7">
        <v>3</v>
      </c>
      <c r="H865" s="12">
        <v>2256</v>
      </c>
      <c r="I865" s="9">
        <f t="shared" si="26"/>
        <v>136.08156028368793</v>
      </c>
      <c r="J865" s="3" t="str">
        <f t="shared" si="27"/>
        <v>Low</v>
      </c>
    </row>
    <row r="866" spans="1:10">
      <c r="A866" s="4" t="s">
        <v>919</v>
      </c>
      <c r="B866" s="4" t="s">
        <v>73</v>
      </c>
      <c r="C866" s="4" t="s">
        <v>12</v>
      </c>
      <c r="D866" s="21">
        <v>307500</v>
      </c>
      <c r="E866" s="4">
        <v>46</v>
      </c>
      <c r="F866" s="4">
        <v>3</v>
      </c>
      <c r="G866" s="4">
        <v>2.1</v>
      </c>
      <c r="H866" s="10">
        <v>1444</v>
      </c>
      <c r="I866" s="11">
        <f t="shared" si="26"/>
        <v>212.95013850415512</v>
      </c>
      <c r="J866" s="3" t="str">
        <f t="shared" si="27"/>
        <v>Medium</v>
      </c>
    </row>
    <row r="867" spans="1:10">
      <c r="A867" s="7" t="s">
        <v>920</v>
      </c>
      <c r="B867" s="7" t="s">
        <v>70</v>
      </c>
      <c r="C867" s="7" t="s">
        <v>12</v>
      </c>
      <c r="D867" s="22">
        <v>308000</v>
      </c>
      <c r="E867" s="7">
        <v>4</v>
      </c>
      <c r="F867" s="7">
        <v>3</v>
      </c>
      <c r="G867" s="7">
        <v>2.1</v>
      </c>
      <c r="H867" s="12">
        <v>1050</v>
      </c>
      <c r="I867" s="9">
        <f t="shared" si="26"/>
        <v>293.33333333333331</v>
      </c>
      <c r="J867" s="3" t="str">
        <f t="shared" si="27"/>
        <v>Medium</v>
      </c>
    </row>
    <row r="868" spans="1:10">
      <c r="A868" s="4" t="s">
        <v>921</v>
      </c>
      <c r="B868" s="4" t="s">
        <v>29</v>
      </c>
      <c r="C868" s="4" t="s">
        <v>12</v>
      </c>
      <c r="D868" s="21">
        <v>308300</v>
      </c>
      <c r="E868" s="4">
        <v>8</v>
      </c>
      <c r="F868" s="4">
        <v>3</v>
      </c>
      <c r="G868" s="4">
        <v>1.1000000000000001</v>
      </c>
      <c r="H868" s="10">
        <v>1103</v>
      </c>
      <c r="I868" s="11">
        <f t="shared" si="26"/>
        <v>279.51042611060745</v>
      </c>
      <c r="J868" s="3" t="str">
        <f t="shared" si="27"/>
        <v>Medium</v>
      </c>
    </row>
    <row r="869" spans="1:10">
      <c r="A869" s="7" t="s">
        <v>922</v>
      </c>
      <c r="B869" s="7" t="s">
        <v>212</v>
      </c>
      <c r="C869" s="7" t="s">
        <v>12</v>
      </c>
      <c r="D869" s="22">
        <v>308500</v>
      </c>
      <c r="E869" s="7">
        <v>8</v>
      </c>
      <c r="F869" s="7">
        <v>3</v>
      </c>
      <c r="G869" s="7">
        <v>2.1</v>
      </c>
      <c r="H869" s="12">
        <v>1738</v>
      </c>
      <c r="I869" s="9">
        <f t="shared" si="26"/>
        <v>177.50287686996549</v>
      </c>
      <c r="J869" s="3" t="str">
        <f t="shared" si="27"/>
        <v>Low</v>
      </c>
    </row>
    <row r="870" spans="1:10">
      <c r="A870" s="4" t="s">
        <v>923</v>
      </c>
      <c r="B870" s="4" t="s">
        <v>56</v>
      </c>
      <c r="C870" s="4" t="s">
        <v>12</v>
      </c>
      <c r="D870" s="21">
        <v>309000</v>
      </c>
      <c r="E870" s="4">
        <v>7</v>
      </c>
      <c r="F870" s="4">
        <v>3</v>
      </c>
      <c r="G870" s="4">
        <v>3.1</v>
      </c>
      <c r="H870" s="10">
        <v>2340</v>
      </c>
      <c r="I870" s="11">
        <f t="shared" si="26"/>
        <v>132.05128205128204</v>
      </c>
      <c r="J870" s="3" t="str">
        <f t="shared" si="27"/>
        <v>Low</v>
      </c>
    </row>
    <row r="871" spans="1:10">
      <c r="A871" s="7" t="s">
        <v>924</v>
      </c>
      <c r="B871" s="7" t="s">
        <v>29</v>
      </c>
      <c r="C871" s="7" t="s">
        <v>12</v>
      </c>
      <c r="D871" s="22">
        <v>310000</v>
      </c>
      <c r="E871" s="7">
        <v>7</v>
      </c>
      <c r="F871" s="7">
        <v>3</v>
      </c>
      <c r="G871" s="7">
        <v>1.1000000000000001</v>
      </c>
      <c r="H871" s="12">
        <v>1020</v>
      </c>
      <c r="I871" s="9">
        <f t="shared" si="26"/>
        <v>303.92156862745099</v>
      </c>
      <c r="J871" s="3" t="str">
        <f t="shared" si="27"/>
        <v>High</v>
      </c>
    </row>
    <row r="872" spans="1:10">
      <c r="A872" s="4" t="s">
        <v>925</v>
      </c>
      <c r="B872" s="4" t="s">
        <v>56</v>
      </c>
      <c r="C872" s="4" t="s">
        <v>12</v>
      </c>
      <c r="D872" s="21">
        <v>310000</v>
      </c>
      <c r="E872" s="4">
        <v>28</v>
      </c>
      <c r="F872" s="4">
        <v>3</v>
      </c>
      <c r="G872" s="4">
        <v>2</v>
      </c>
      <c r="H872" s="10">
        <v>1607</v>
      </c>
      <c r="I872" s="11">
        <f t="shared" si="26"/>
        <v>192.90603609209708</v>
      </c>
      <c r="J872" s="3" t="str">
        <f t="shared" si="27"/>
        <v>Low</v>
      </c>
    </row>
    <row r="873" spans="1:10">
      <c r="A873" s="7" t="s">
        <v>926</v>
      </c>
      <c r="B873" s="7" t="s">
        <v>388</v>
      </c>
      <c r="C873" s="7" t="s">
        <v>12</v>
      </c>
      <c r="D873" s="22">
        <v>310000</v>
      </c>
      <c r="E873" s="7">
        <v>3</v>
      </c>
      <c r="F873" s="7">
        <v>4</v>
      </c>
      <c r="G873" s="7">
        <v>2.1</v>
      </c>
      <c r="H873" s="12">
        <v>1460</v>
      </c>
      <c r="I873" s="9">
        <f t="shared" si="26"/>
        <v>212.32876712328766</v>
      </c>
      <c r="J873" s="3" t="str">
        <f t="shared" si="27"/>
        <v>Medium</v>
      </c>
    </row>
    <row r="874" spans="1:10">
      <c r="A874" s="4" t="s">
        <v>927</v>
      </c>
      <c r="B874" s="4" t="s">
        <v>36</v>
      </c>
      <c r="C874" s="4" t="s">
        <v>12</v>
      </c>
      <c r="D874" s="21">
        <v>310000</v>
      </c>
      <c r="E874" s="4">
        <v>7</v>
      </c>
      <c r="F874" s="4">
        <v>3</v>
      </c>
      <c r="G874" s="4">
        <v>2.1</v>
      </c>
      <c r="H874" s="10">
        <v>1450</v>
      </c>
      <c r="I874" s="11">
        <f t="shared" si="26"/>
        <v>213.79310344827587</v>
      </c>
      <c r="J874" s="3" t="str">
        <f t="shared" si="27"/>
        <v>Medium</v>
      </c>
    </row>
    <row r="875" spans="1:10">
      <c r="A875" s="7" t="s">
        <v>928</v>
      </c>
      <c r="B875" s="7" t="s">
        <v>18</v>
      </c>
      <c r="C875" s="7" t="s">
        <v>12</v>
      </c>
      <c r="D875" s="22">
        <v>310000</v>
      </c>
      <c r="E875" s="7">
        <v>15</v>
      </c>
      <c r="F875" s="7">
        <v>3</v>
      </c>
      <c r="G875" s="7">
        <v>1</v>
      </c>
      <c r="H875" s="12">
        <v>1216</v>
      </c>
      <c r="I875" s="9">
        <f t="shared" si="26"/>
        <v>254.93421052631578</v>
      </c>
      <c r="J875" s="3" t="str">
        <f t="shared" si="27"/>
        <v>Medium</v>
      </c>
    </row>
    <row r="876" spans="1:10">
      <c r="A876" s="4" t="s">
        <v>929</v>
      </c>
      <c r="B876" s="4" t="s">
        <v>728</v>
      </c>
      <c r="C876" s="4" t="s">
        <v>12</v>
      </c>
      <c r="D876" s="21">
        <v>310000</v>
      </c>
      <c r="E876" s="4">
        <v>0</v>
      </c>
      <c r="F876" s="4">
        <v>3</v>
      </c>
      <c r="G876" s="4">
        <v>1.1000000000000001</v>
      </c>
      <c r="H876" s="10">
        <v>1375</v>
      </c>
      <c r="I876" s="11">
        <f t="shared" si="26"/>
        <v>225.45454545454547</v>
      </c>
      <c r="J876" s="3" t="str">
        <f t="shared" si="27"/>
        <v>Medium</v>
      </c>
    </row>
    <row r="877" spans="1:10">
      <c r="A877" s="7" t="s">
        <v>930</v>
      </c>
      <c r="B877" s="7" t="s">
        <v>54</v>
      </c>
      <c r="C877" s="7" t="s">
        <v>12</v>
      </c>
      <c r="D877" s="22">
        <v>310000</v>
      </c>
      <c r="E877" s="7">
        <v>7</v>
      </c>
      <c r="F877" s="7">
        <v>4</v>
      </c>
      <c r="G877" s="7">
        <v>2.1</v>
      </c>
      <c r="H877" s="12">
        <v>1822</v>
      </c>
      <c r="I877" s="9">
        <f t="shared" si="26"/>
        <v>170.14270032930844</v>
      </c>
      <c r="J877" s="3" t="str">
        <f t="shared" si="27"/>
        <v>Low</v>
      </c>
    </row>
    <row r="878" spans="1:10">
      <c r="A878" s="4" t="s">
        <v>931</v>
      </c>
      <c r="B878" s="4" t="s">
        <v>54</v>
      </c>
      <c r="C878" s="4" t="s">
        <v>12</v>
      </c>
      <c r="D878" s="21">
        <v>310000</v>
      </c>
      <c r="E878" s="4">
        <v>7</v>
      </c>
      <c r="F878" s="4">
        <v>4</v>
      </c>
      <c r="G878" s="4">
        <v>2.1</v>
      </c>
      <c r="H878" s="10">
        <v>1755</v>
      </c>
      <c r="I878" s="11">
        <f t="shared" si="26"/>
        <v>176.63817663817665</v>
      </c>
      <c r="J878" s="3" t="str">
        <f t="shared" si="27"/>
        <v>Low</v>
      </c>
    </row>
    <row r="879" spans="1:10">
      <c r="A879" s="7" t="s">
        <v>932</v>
      </c>
      <c r="B879" s="7" t="s">
        <v>131</v>
      </c>
      <c r="C879" s="7" t="s">
        <v>12</v>
      </c>
      <c r="D879" s="22">
        <v>310000</v>
      </c>
      <c r="E879" s="7">
        <v>7</v>
      </c>
      <c r="F879" s="7">
        <v>3</v>
      </c>
      <c r="G879" s="7">
        <v>1</v>
      </c>
      <c r="H879" s="12">
        <v>1009</v>
      </c>
      <c r="I879" s="9">
        <f t="shared" si="26"/>
        <v>307.23488602576811</v>
      </c>
      <c r="J879" s="3" t="str">
        <f t="shared" si="27"/>
        <v>High</v>
      </c>
    </row>
    <row r="880" spans="1:10">
      <c r="A880" s="4" t="s">
        <v>933</v>
      </c>
      <c r="B880" s="4" t="s">
        <v>11</v>
      </c>
      <c r="C880" s="4" t="s">
        <v>12</v>
      </c>
      <c r="D880" s="21">
        <v>310000</v>
      </c>
      <c r="E880" s="4">
        <v>38</v>
      </c>
      <c r="F880" s="4">
        <v>3</v>
      </c>
      <c r="G880" s="4">
        <v>2</v>
      </c>
      <c r="H880" s="10">
        <v>1960</v>
      </c>
      <c r="I880" s="11">
        <f t="shared" si="26"/>
        <v>158.16326530612244</v>
      </c>
      <c r="J880" s="3" t="str">
        <f t="shared" si="27"/>
        <v>Low</v>
      </c>
    </row>
    <row r="881" spans="1:10">
      <c r="A881" s="7" t="s">
        <v>934</v>
      </c>
      <c r="B881" s="7" t="s">
        <v>212</v>
      </c>
      <c r="C881" s="7" t="s">
        <v>12</v>
      </c>
      <c r="D881" s="22">
        <v>310000</v>
      </c>
      <c r="E881" s="7">
        <v>4</v>
      </c>
      <c r="F881" s="7">
        <v>3</v>
      </c>
      <c r="G881" s="7">
        <v>1.1000000000000001</v>
      </c>
      <c r="H881" s="12">
        <v>1282</v>
      </c>
      <c r="I881" s="9">
        <f t="shared" si="26"/>
        <v>241.80967238689547</v>
      </c>
      <c r="J881" s="3" t="str">
        <f t="shared" si="27"/>
        <v>Medium</v>
      </c>
    </row>
    <row r="882" spans="1:10">
      <c r="A882" s="4" t="s">
        <v>935</v>
      </c>
      <c r="B882" s="4" t="s">
        <v>73</v>
      </c>
      <c r="C882" s="4" t="s">
        <v>12</v>
      </c>
      <c r="D882" s="21">
        <v>310000</v>
      </c>
      <c r="E882" s="4">
        <v>78</v>
      </c>
      <c r="F882" s="4">
        <v>4</v>
      </c>
      <c r="G882" s="4">
        <v>1.1000000000000001</v>
      </c>
      <c r="H882" s="10">
        <v>1568</v>
      </c>
      <c r="I882" s="11">
        <f t="shared" si="26"/>
        <v>197.70408163265307</v>
      </c>
      <c r="J882" s="3" t="str">
        <f t="shared" si="27"/>
        <v>Low</v>
      </c>
    </row>
    <row r="883" spans="1:10">
      <c r="A883" s="7" t="s">
        <v>936</v>
      </c>
      <c r="B883" s="7" t="s">
        <v>131</v>
      </c>
      <c r="C883" s="7" t="s">
        <v>12</v>
      </c>
      <c r="D883" s="22">
        <v>310000</v>
      </c>
      <c r="E883" s="7">
        <v>77</v>
      </c>
      <c r="F883" s="7">
        <v>3</v>
      </c>
      <c r="G883" s="7">
        <v>1</v>
      </c>
      <c r="H883" s="12">
        <v>1200</v>
      </c>
      <c r="I883" s="9">
        <f t="shared" si="26"/>
        <v>258.33333333333331</v>
      </c>
      <c r="J883" s="3" t="str">
        <f t="shared" si="27"/>
        <v>Medium</v>
      </c>
    </row>
    <row r="884" spans="1:10">
      <c r="A884" s="4" t="s">
        <v>937</v>
      </c>
      <c r="B884" s="4" t="s">
        <v>155</v>
      </c>
      <c r="C884" s="4" t="s">
        <v>12</v>
      </c>
      <c r="D884" s="21">
        <v>310000</v>
      </c>
      <c r="E884" s="4">
        <v>130</v>
      </c>
      <c r="F884" s="4">
        <v>5</v>
      </c>
      <c r="G884" s="4">
        <v>4</v>
      </c>
      <c r="H884" s="10">
        <v>3112</v>
      </c>
      <c r="I884" s="11">
        <f t="shared" si="26"/>
        <v>99.614395886889454</v>
      </c>
      <c r="J884" s="3" t="str">
        <f t="shared" si="27"/>
        <v>Low</v>
      </c>
    </row>
    <row r="885" spans="1:10">
      <c r="A885" s="7" t="s">
        <v>938</v>
      </c>
      <c r="B885" s="7" t="s">
        <v>11</v>
      </c>
      <c r="C885" s="7" t="s">
        <v>12</v>
      </c>
      <c r="D885" s="22">
        <v>311000</v>
      </c>
      <c r="E885" s="7">
        <v>4</v>
      </c>
      <c r="F885" s="7">
        <v>3</v>
      </c>
      <c r="G885" s="7">
        <v>1.1000000000000001</v>
      </c>
      <c r="H885" s="12">
        <v>1733</v>
      </c>
      <c r="I885" s="9">
        <f t="shared" si="26"/>
        <v>179.45758799769186</v>
      </c>
      <c r="J885" s="3" t="str">
        <f t="shared" si="27"/>
        <v>Low</v>
      </c>
    </row>
    <row r="886" spans="1:10">
      <c r="A886" s="4" t="s">
        <v>939</v>
      </c>
      <c r="B886" s="4" t="s">
        <v>212</v>
      </c>
      <c r="C886" s="4" t="s">
        <v>12</v>
      </c>
      <c r="D886" s="21">
        <v>311000</v>
      </c>
      <c r="E886" s="4">
        <v>4</v>
      </c>
      <c r="F886" s="4">
        <v>3</v>
      </c>
      <c r="G886" s="4">
        <v>1.1000000000000001</v>
      </c>
      <c r="H886" s="10">
        <v>1494</v>
      </c>
      <c r="I886" s="11">
        <f t="shared" si="26"/>
        <v>208.16599732262384</v>
      </c>
      <c r="J886" s="3" t="str">
        <f t="shared" si="27"/>
        <v>Medium</v>
      </c>
    </row>
    <row r="887" spans="1:10">
      <c r="A887" s="7" t="s">
        <v>940</v>
      </c>
      <c r="B887" s="7" t="s">
        <v>384</v>
      </c>
      <c r="C887" s="7" t="s">
        <v>12</v>
      </c>
      <c r="D887" s="22">
        <v>311500</v>
      </c>
      <c r="E887" s="7">
        <v>5</v>
      </c>
      <c r="F887" s="7">
        <v>3</v>
      </c>
      <c r="G887" s="7">
        <v>2</v>
      </c>
      <c r="H887" s="12">
        <v>1448</v>
      </c>
      <c r="I887" s="9">
        <f t="shared" si="26"/>
        <v>215.12430939226519</v>
      </c>
      <c r="J887" s="3" t="str">
        <f t="shared" si="27"/>
        <v>Medium</v>
      </c>
    </row>
    <row r="888" spans="1:10">
      <c r="A888" s="4" t="s">
        <v>941</v>
      </c>
      <c r="B888" s="4" t="s">
        <v>212</v>
      </c>
      <c r="C888" s="4" t="s">
        <v>12</v>
      </c>
      <c r="D888" s="21">
        <v>312000</v>
      </c>
      <c r="E888" s="4">
        <v>19</v>
      </c>
      <c r="F888" s="4">
        <v>4</v>
      </c>
      <c r="G888" s="4">
        <v>2.1</v>
      </c>
      <c r="H888" s="10">
        <v>1688</v>
      </c>
      <c r="I888" s="11">
        <f t="shared" si="26"/>
        <v>184.83412322274881</v>
      </c>
      <c r="J888" s="3" t="str">
        <f t="shared" si="27"/>
        <v>Low</v>
      </c>
    </row>
    <row r="889" spans="1:10">
      <c r="A889" s="7" t="s">
        <v>942</v>
      </c>
      <c r="B889" s="7" t="s">
        <v>282</v>
      </c>
      <c r="C889" s="7" t="s">
        <v>12</v>
      </c>
      <c r="D889" s="22">
        <v>312000</v>
      </c>
      <c r="E889" s="7">
        <v>19</v>
      </c>
      <c r="F889" s="7">
        <v>3</v>
      </c>
      <c r="G889" s="7">
        <v>2</v>
      </c>
      <c r="H889" s="7">
        <v>918</v>
      </c>
      <c r="I889" s="9">
        <f t="shared" si="26"/>
        <v>339.86928104575162</v>
      </c>
      <c r="J889" s="3" t="str">
        <f t="shared" si="27"/>
        <v>High</v>
      </c>
    </row>
    <row r="890" spans="1:10">
      <c r="A890" s="4" t="s">
        <v>943</v>
      </c>
      <c r="B890" s="4" t="s">
        <v>70</v>
      </c>
      <c r="C890" s="4" t="s">
        <v>12</v>
      </c>
      <c r="D890" s="21">
        <v>312000</v>
      </c>
      <c r="E890" s="4">
        <v>89</v>
      </c>
      <c r="F890" s="4">
        <v>3</v>
      </c>
      <c r="G890" s="4">
        <v>1.1000000000000001</v>
      </c>
      <c r="H890" s="10">
        <v>1340</v>
      </c>
      <c r="I890" s="11">
        <f t="shared" si="26"/>
        <v>232.83582089552237</v>
      </c>
      <c r="J890" s="3" t="str">
        <f t="shared" si="27"/>
        <v>Medium</v>
      </c>
    </row>
    <row r="891" spans="1:10">
      <c r="A891" s="7" t="s">
        <v>944</v>
      </c>
      <c r="B891" s="7" t="s">
        <v>388</v>
      </c>
      <c r="C891" s="7" t="s">
        <v>12</v>
      </c>
      <c r="D891" s="22">
        <v>312000</v>
      </c>
      <c r="E891" s="7">
        <v>6</v>
      </c>
      <c r="F891" s="7">
        <v>4</v>
      </c>
      <c r="G891" s="7">
        <v>2</v>
      </c>
      <c r="H891" s="12">
        <v>1802</v>
      </c>
      <c r="I891" s="9">
        <f t="shared" si="26"/>
        <v>173.14095449500556</v>
      </c>
      <c r="J891" s="3" t="str">
        <f t="shared" si="27"/>
        <v>Low</v>
      </c>
    </row>
    <row r="892" spans="1:10">
      <c r="A892" s="4" t="s">
        <v>945</v>
      </c>
      <c r="B892" s="4" t="s">
        <v>29</v>
      </c>
      <c r="C892" s="4" t="s">
        <v>12</v>
      </c>
      <c r="D892" s="21">
        <v>312500</v>
      </c>
      <c r="E892" s="4">
        <v>38</v>
      </c>
      <c r="F892" s="4">
        <v>0</v>
      </c>
      <c r="G892" s="4">
        <v>0.3</v>
      </c>
      <c r="H892" s="10">
        <v>1250</v>
      </c>
      <c r="I892" s="11">
        <f t="shared" si="26"/>
        <v>250</v>
      </c>
      <c r="J892" s="3" t="str">
        <f t="shared" si="27"/>
        <v>Medium</v>
      </c>
    </row>
    <row r="893" spans="1:10">
      <c r="A893" s="7" t="s">
        <v>946</v>
      </c>
      <c r="B893" s="7" t="s">
        <v>16</v>
      </c>
      <c r="C893" s="7" t="s">
        <v>12</v>
      </c>
      <c r="D893" s="22">
        <v>312500</v>
      </c>
      <c r="E893" s="7">
        <v>52</v>
      </c>
      <c r="F893" s="7">
        <v>4</v>
      </c>
      <c r="G893" s="7">
        <v>2</v>
      </c>
      <c r="H893" s="12">
        <v>1338</v>
      </c>
      <c r="I893" s="9">
        <f t="shared" si="26"/>
        <v>233.5575485799701</v>
      </c>
      <c r="J893" s="3" t="str">
        <f t="shared" si="27"/>
        <v>Medium</v>
      </c>
    </row>
    <row r="894" spans="1:10">
      <c r="A894" s="4" t="s">
        <v>947</v>
      </c>
      <c r="B894" s="4" t="s">
        <v>948</v>
      </c>
      <c r="C894" s="4" t="s">
        <v>12</v>
      </c>
      <c r="D894" s="21">
        <v>313000</v>
      </c>
      <c r="E894" s="4">
        <v>4</v>
      </c>
      <c r="F894" s="4">
        <v>3</v>
      </c>
      <c r="G894" s="4">
        <v>2</v>
      </c>
      <c r="H894" s="10">
        <v>1172</v>
      </c>
      <c r="I894" s="11">
        <f t="shared" si="26"/>
        <v>267.06484641638224</v>
      </c>
      <c r="J894" s="3" t="str">
        <f t="shared" si="27"/>
        <v>Medium</v>
      </c>
    </row>
    <row r="895" spans="1:10">
      <c r="A895" s="7" t="s">
        <v>949</v>
      </c>
      <c r="B895" s="7" t="s">
        <v>29</v>
      </c>
      <c r="C895" s="7" t="s">
        <v>12</v>
      </c>
      <c r="D895" s="22">
        <v>313000</v>
      </c>
      <c r="E895" s="7">
        <v>11</v>
      </c>
      <c r="F895" s="7">
        <v>3</v>
      </c>
      <c r="G895" s="7">
        <v>1</v>
      </c>
      <c r="H895" s="12">
        <v>1178</v>
      </c>
      <c r="I895" s="9">
        <f t="shared" si="26"/>
        <v>265.70458404074702</v>
      </c>
      <c r="J895" s="3" t="str">
        <f t="shared" si="27"/>
        <v>Medium</v>
      </c>
    </row>
    <row r="896" spans="1:10">
      <c r="A896" s="4" t="s">
        <v>950</v>
      </c>
      <c r="B896" s="4" t="s">
        <v>331</v>
      </c>
      <c r="C896" s="4" t="s">
        <v>12</v>
      </c>
      <c r="D896" s="21">
        <v>313775</v>
      </c>
      <c r="E896" s="4">
        <v>10</v>
      </c>
      <c r="F896" s="4">
        <v>5</v>
      </c>
      <c r="G896" s="4">
        <v>3.1</v>
      </c>
      <c r="H896" s="10">
        <v>2046</v>
      </c>
      <c r="I896" s="11">
        <f t="shared" si="26"/>
        <v>153.36021505376345</v>
      </c>
      <c r="J896" s="3" t="str">
        <f t="shared" si="27"/>
        <v>Low</v>
      </c>
    </row>
    <row r="897" spans="1:10">
      <c r="A897" s="7" t="s">
        <v>951</v>
      </c>
      <c r="B897" s="7" t="s">
        <v>544</v>
      </c>
      <c r="C897" s="7" t="s">
        <v>12</v>
      </c>
      <c r="D897" s="22">
        <v>314900</v>
      </c>
      <c r="E897" s="7">
        <v>15</v>
      </c>
      <c r="F897" s="7">
        <v>3</v>
      </c>
      <c r="G897" s="7">
        <v>1.1000000000000001</v>
      </c>
      <c r="H897" s="12">
        <v>1416</v>
      </c>
      <c r="I897" s="9">
        <f t="shared" si="26"/>
        <v>222.38700564971751</v>
      </c>
      <c r="J897" s="3" t="str">
        <f t="shared" si="27"/>
        <v>Medium</v>
      </c>
    </row>
    <row r="898" spans="1:10">
      <c r="A898" s="4" t="s">
        <v>952</v>
      </c>
      <c r="B898" s="4" t="s">
        <v>155</v>
      </c>
      <c r="C898" s="4" t="s">
        <v>12</v>
      </c>
      <c r="D898" s="21">
        <v>314900</v>
      </c>
      <c r="E898" s="4">
        <v>11</v>
      </c>
      <c r="F898" s="4">
        <v>4</v>
      </c>
      <c r="G898" s="4">
        <v>2.1</v>
      </c>
      <c r="H898" s="10">
        <v>1904</v>
      </c>
      <c r="I898" s="11">
        <f t="shared" ref="I898:I961" si="28">D898/H898</f>
        <v>165.38865546218489</v>
      </c>
      <c r="J898" s="3" t="str">
        <f t="shared" ref="J898:J961" si="29">IF(I898 &gt; 300, "High", IF(AND(I898 &lt;= 300, I898 &gt; 200), "Medium", "Low"))</f>
        <v>Low</v>
      </c>
    </row>
    <row r="899" spans="1:10">
      <c r="A899" s="7" t="s">
        <v>953</v>
      </c>
      <c r="B899" s="7" t="s">
        <v>18</v>
      </c>
      <c r="C899" s="7" t="s">
        <v>12</v>
      </c>
      <c r="D899" s="22">
        <v>315000</v>
      </c>
      <c r="E899" s="7">
        <v>6</v>
      </c>
      <c r="F899" s="7">
        <v>4</v>
      </c>
      <c r="G899" s="7">
        <v>1.1000000000000001</v>
      </c>
      <c r="H899" s="12">
        <v>1768</v>
      </c>
      <c r="I899" s="9">
        <f t="shared" si="28"/>
        <v>178.16742081447964</v>
      </c>
      <c r="J899" s="3" t="str">
        <f t="shared" si="29"/>
        <v>Low</v>
      </c>
    </row>
    <row r="900" spans="1:10">
      <c r="A900" s="4" t="s">
        <v>954</v>
      </c>
      <c r="B900" s="4" t="s">
        <v>70</v>
      </c>
      <c r="C900" s="4" t="s">
        <v>12</v>
      </c>
      <c r="D900" s="21">
        <v>315000</v>
      </c>
      <c r="E900" s="4">
        <v>8</v>
      </c>
      <c r="F900" s="4">
        <v>3</v>
      </c>
      <c r="G900" s="4">
        <v>2</v>
      </c>
      <c r="H900" s="10">
        <v>2044</v>
      </c>
      <c r="I900" s="11">
        <f t="shared" si="28"/>
        <v>154.10958904109589</v>
      </c>
      <c r="J900" s="3" t="str">
        <f t="shared" si="29"/>
        <v>Low</v>
      </c>
    </row>
    <row r="901" spans="1:10">
      <c r="A901" s="7" t="s">
        <v>955</v>
      </c>
      <c r="B901" s="7" t="s">
        <v>131</v>
      </c>
      <c r="C901" s="7" t="s">
        <v>12</v>
      </c>
      <c r="D901" s="22">
        <v>315000</v>
      </c>
      <c r="E901" s="7">
        <v>10</v>
      </c>
      <c r="F901" s="7">
        <v>3</v>
      </c>
      <c r="G901" s="7">
        <v>2</v>
      </c>
      <c r="H901" s="12">
        <v>1075</v>
      </c>
      <c r="I901" s="9">
        <f t="shared" si="28"/>
        <v>293.02325581395348</v>
      </c>
      <c r="J901" s="3" t="str">
        <f t="shared" si="29"/>
        <v>Medium</v>
      </c>
    </row>
    <row r="902" spans="1:10">
      <c r="A902" s="4" t="s">
        <v>956</v>
      </c>
      <c r="B902" s="4" t="s">
        <v>131</v>
      </c>
      <c r="C902" s="4" t="s">
        <v>12</v>
      </c>
      <c r="D902" s="21">
        <v>315000</v>
      </c>
      <c r="E902" s="4">
        <v>19</v>
      </c>
      <c r="F902" s="4">
        <v>3</v>
      </c>
      <c r="G902" s="4">
        <v>2</v>
      </c>
      <c r="H902" s="10">
        <v>1027</v>
      </c>
      <c r="I902" s="11">
        <f t="shared" si="28"/>
        <v>306.71859785783835</v>
      </c>
      <c r="J902" s="3" t="str">
        <f t="shared" si="29"/>
        <v>High</v>
      </c>
    </row>
    <row r="903" spans="1:10">
      <c r="A903" s="7" t="s">
        <v>957</v>
      </c>
      <c r="B903" s="7" t="s">
        <v>363</v>
      </c>
      <c r="C903" s="7" t="s">
        <v>12</v>
      </c>
      <c r="D903" s="22">
        <v>315000</v>
      </c>
      <c r="E903" s="7">
        <v>5</v>
      </c>
      <c r="F903" s="7">
        <v>3</v>
      </c>
      <c r="G903" s="7">
        <v>1.1000000000000001</v>
      </c>
      <c r="H903" s="12">
        <v>1350</v>
      </c>
      <c r="I903" s="9">
        <f t="shared" si="28"/>
        <v>233.33333333333334</v>
      </c>
      <c r="J903" s="3" t="str">
        <f t="shared" si="29"/>
        <v>Medium</v>
      </c>
    </row>
    <row r="904" spans="1:10">
      <c r="A904" s="4" t="s">
        <v>958</v>
      </c>
      <c r="B904" s="4" t="s">
        <v>77</v>
      </c>
      <c r="C904" s="4" t="s">
        <v>12</v>
      </c>
      <c r="D904" s="21">
        <v>315000</v>
      </c>
      <c r="E904" s="4">
        <v>21</v>
      </c>
      <c r="F904" s="4">
        <v>4</v>
      </c>
      <c r="G904" s="4">
        <v>2.1</v>
      </c>
      <c r="H904" s="10">
        <v>2076</v>
      </c>
      <c r="I904" s="11">
        <f t="shared" si="28"/>
        <v>151.73410404624278</v>
      </c>
      <c r="J904" s="3" t="str">
        <f t="shared" si="29"/>
        <v>Low</v>
      </c>
    </row>
    <row r="905" spans="1:10">
      <c r="A905" s="7" t="s">
        <v>959</v>
      </c>
      <c r="B905" s="7" t="s">
        <v>960</v>
      </c>
      <c r="C905" s="7" t="s">
        <v>12</v>
      </c>
      <c r="D905" s="22">
        <v>315000</v>
      </c>
      <c r="E905" s="7">
        <v>6</v>
      </c>
      <c r="F905" s="7">
        <v>4</v>
      </c>
      <c r="G905" s="7">
        <v>2</v>
      </c>
      <c r="H905" s="12">
        <v>1183</v>
      </c>
      <c r="I905" s="9">
        <f t="shared" si="28"/>
        <v>266.27218934911241</v>
      </c>
      <c r="J905" s="3" t="str">
        <f t="shared" si="29"/>
        <v>Medium</v>
      </c>
    </row>
    <row r="906" spans="1:10">
      <c r="A906" s="4" t="s">
        <v>961</v>
      </c>
      <c r="B906" s="4" t="s">
        <v>131</v>
      </c>
      <c r="C906" s="4" t="s">
        <v>12</v>
      </c>
      <c r="D906" s="21">
        <v>315000</v>
      </c>
      <c r="E906" s="4">
        <v>25</v>
      </c>
      <c r="F906" s="4">
        <v>4</v>
      </c>
      <c r="G906" s="4">
        <v>2.1</v>
      </c>
      <c r="H906" s="10">
        <v>1150</v>
      </c>
      <c r="I906" s="11">
        <f t="shared" si="28"/>
        <v>273.91304347826087</v>
      </c>
      <c r="J906" s="3" t="str">
        <f t="shared" si="29"/>
        <v>Medium</v>
      </c>
    </row>
    <row r="907" spans="1:10">
      <c r="A907" s="7" t="s">
        <v>962</v>
      </c>
      <c r="B907" s="7" t="s">
        <v>212</v>
      </c>
      <c r="C907" s="7" t="s">
        <v>12</v>
      </c>
      <c r="D907" s="22">
        <v>315000</v>
      </c>
      <c r="E907" s="7">
        <v>2</v>
      </c>
      <c r="F907" s="7">
        <v>3</v>
      </c>
      <c r="G907" s="7">
        <v>1</v>
      </c>
      <c r="H907" s="12">
        <v>1346</v>
      </c>
      <c r="I907" s="9">
        <f t="shared" si="28"/>
        <v>234.02674591381873</v>
      </c>
      <c r="J907" s="3" t="str">
        <f t="shared" si="29"/>
        <v>Medium</v>
      </c>
    </row>
    <row r="908" spans="1:10">
      <c r="A908" s="4" t="s">
        <v>963</v>
      </c>
      <c r="B908" s="4" t="s">
        <v>18</v>
      </c>
      <c r="C908" s="4" t="s">
        <v>12</v>
      </c>
      <c r="D908" s="21">
        <v>315000</v>
      </c>
      <c r="E908" s="4">
        <v>52</v>
      </c>
      <c r="F908" s="4">
        <v>4</v>
      </c>
      <c r="G908" s="4">
        <v>1.1000000000000001</v>
      </c>
      <c r="H908" s="10">
        <v>1557</v>
      </c>
      <c r="I908" s="11">
        <f t="shared" si="28"/>
        <v>202.3121387283237</v>
      </c>
      <c r="J908" s="3" t="str">
        <f t="shared" si="29"/>
        <v>Medium</v>
      </c>
    </row>
    <row r="909" spans="1:10">
      <c r="A909" s="7" t="s">
        <v>964</v>
      </c>
      <c r="B909" s="7" t="s">
        <v>54</v>
      </c>
      <c r="C909" s="7" t="s">
        <v>12</v>
      </c>
      <c r="D909" s="22">
        <v>315000</v>
      </c>
      <c r="E909" s="7">
        <v>31</v>
      </c>
      <c r="F909" s="7">
        <v>3</v>
      </c>
      <c r="G909" s="7">
        <v>2.1</v>
      </c>
      <c r="H909" s="12">
        <v>1802</v>
      </c>
      <c r="I909" s="9">
        <f t="shared" si="28"/>
        <v>174.80577136514984</v>
      </c>
      <c r="J909" s="3" t="str">
        <f t="shared" si="29"/>
        <v>Low</v>
      </c>
    </row>
    <row r="910" spans="1:10">
      <c r="A910" s="4" t="s">
        <v>965</v>
      </c>
      <c r="B910" s="4" t="s">
        <v>11</v>
      </c>
      <c r="C910" s="4" t="s">
        <v>12</v>
      </c>
      <c r="D910" s="21">
        <v>316000</v>
      </c>
      <c r="E910" s="4">
        <v>8</v>
      </c>
      <c r="F910" s="4">
        <v>4</v>
      </c>
      <c r="G910" s="4">
        <v>2</v>
      </c>
      <c r="H910" s="10">
        <v>1394</v>
      </c>
      <c r="I910" s="11">
        <f t="shared" si="28"/>
        <v>226.6857962697274</v>
      </c>
      <c r="J910" s="3" t="str">
        <f t="shared" si="29"/>
        <v>Medium</v>
      </c>
    </row>
    <row r="911" spans="1:10">
      <c r="A911" s="7" t="s">
        <v>966</v>
      </c>
      <c r="B911" s="7" t="s">
        <v>728</v>
      </c>
      <c r="C911" s="7" t="s">
        <v>12</v>
      </c>
      <c r="D911" s="22">
        <v>316100</v>
      </c>
      <c r="E911" s="7">
        <v>92</v>
      </c>
      <c r="F911" s="7">
        <v>2</v>
      </c>
      <c r="G911" s="7">
        <v>1</v>
      </c>
      <c r="H911" s="12">
        <v>1528</v>
      </c>
      <c r="I911" s="9">
        <f t="shared" si="28"/>
        <v>206.87172774869109</v>
      </c>
      <c r="J911" s="3" t="str">
        <f t="shared" si="29"/>
        <v>Medium</v>
      </c>
    </row>
    <row r="912" spans="1:10">
      <c r="A912" s="4" t="s">
        <v>967</v>
      </c>
      <c r="B912" s="4" t="s">
        <v>42</v>
      </c>
      <c r="C912" s="4" t="s">
        <v>12</v>
      </c>
      <c r="D912" s="21">
        <v>316500</v>
      </c>
      <c r="E912" s="4">
        <v>5</v>
      </c>
      <c r="F912" s="4">
        <v>3</v>
      </c>
      <c r="G912" s="4">
        <v>2.1</v>
      </c>
      <c r="H912" s="10">
        <v>1371</v>
      </c>
      <c r="I912" s="11">
        <f t="shared" si="28"/>
        <v>230.85339168490154</v>
      </c>
      <c r="J912" s="3" t="str">
        <f t="shared" si="29"/>
        <v>Medium</v>
      </c>
    </row>
    <row r="913" spans="1:10">
      <c r="A913" s="7" t="s">
        <v>968</v>
      </c>
      <c r="B913" s="7" t="s">
        <v>679</v>
      </c>
      <c r="C913" s="7" t="s">
        <v>12</v>
      </c>
      <c r="D913" s="22">
        <v>317000</v>
      </c>
      <c r="E913" s="7">
        <v>2</v>
      </c>
      <c r="F913" s="7">
        <v>3</v>
      </c>
      <c r="G913" s="7">
        <v>2</v>
      </c>
      <c r="H913" s="12">
        <v>1116</v>
      </c>
      <c r="I913" s="9">
        <f t="shared" si="28"/>
        <v>284.05017921146953</v>
      </c>
      <c r="J913" s="3" t="str">
        <f t="shared" si="29"/>
        <v>Medium</v>
      </c>
    </row>
    <row r="914" spans="1:10">
      <c r="A914" s="4" t="s">
        <v>969</v>
      </c>
      <c r="B914" s="4" t="s">
        <v>155</v>
      </c>
      <c r="C914" s="4" t="s">
        <v>12</v>
      </c>
      <c r="D914" s="21">
        <v>317000</v>
      </c>
      <c r="E914" s="4">
        <v>8</v>
      </c>
      <c r="F914" s="4">
        <v>3</v>
      </c>
      <c r="G914" s="4">
        <v>2</v>
      </c>
      <c r="H914" s="10">
        <v>1712</v>
      </c>
      <c r="I914" s="11">
        <f t="shared" si="28"/>
        <v>185.16355140186917</v>
      </c>
      <c r="J914" s="3" t="str">
        <f t="shared" si="29"/>
        <v>Low</v>
      </c>
    </row>
    <row r="915" spans="1:10">
      <c r="A915" s="7" t="s">
        <v>970</v>
      </c>
      <c r="B915" s="7" t="s">
        <v>11</v>
      </c>
      <c r="C915" s="7" t="s">
        <v>12</v>
      </c>
      <c r="D915" s="22">
        <v>317500</v>
      </c>
      <c r="E915" s="7">
        <v>16</v>
      </c>
      <c r="F915" s="7">
        <v>4</v>
      </c>
      <c r="G915" s="7">
        <v>3.1</v>
      </c>
      <c r="H915" s="12">
        <v>1782</v>
      </c>
      <c r="I915" s="9">
        <f t="shared" si="28"/>
        <v>178.17059483726149</v>
      </c>
      <c r="J915" s="3" t="str">
        <f t="shared" si="29"/>
        <v>Low</v>
      </c>
    </row>
    <row r="916" spans="1:10">
      <c r="A916" s="4" t="s">
        <v>971</v>
      </c>
      <c r="B916" s="4" t="s">
        <v>73</v>
      </c>
      <c r="C916" s="4" t="s">
        <v>12</v>
      </c>
      <c r="D916" s="21">
        <v>318000</v>
      </c>
      <c r="E916" s="4">
        <v>20</v>
      </c>
      <c r="F916" s="4">
        <v>4</v>
      </c>
      <c r="G916" s="4">
        <v>2.1</v>
      </c>
      <c r="H916" s="10">
        <v>2250</v>
      </c>
      <c r="I916" s="11">
        <f t="shared" si="28"/>
        <v>141.33333333333334</v>
      </c>
      <c r="J916" s="3" t="str">
        <f t="shared" si="29"/>
        <v>Low</v>
      </c>
    </row>
    <row r="917" spans="1:10">
      <c r="A917" s="7" t="s">
        <v>972</v>
      </c>
      <c r="B917" s="7" t="s">
        <v>131</v>
      </c>
      <c r="C917" s="7" t="s">
        <v>12</v>
      </c>
      <c r="D917" s="22">
        <v>318000</v>
      </c>
      <c r="E917" s="7">
        <v>36</v>
      </c>
      <c r="F917" s="7">
        <v>3</v>
      </c>
      <c r="G917" s="7">
        <v>2</v>
      </c>
      <c r="H917" s="12">
        <v>1126</v>
      </c>
      <c r="I917" s="9">
        <f t="shared" si="28"/>
        <v>282.41563055062164</v>
      </c>
      <c r="J917" s="3" t="str">
        <f t="shared" si="29"/>
        <v>Medium</v>
      </c>
    </row>
    <row r="918" spans="1:10">
      <c r="A918" s="4" t="s">
        <v>973</v>
      </c>
      <c r="B918" s="4" t="s">
        <v>11</v>
      </c>
      <c r="C918" s="4" t="s">
        <v>12</v>
      </c>
      <c r="D918" s="21">
        <v>318000</v>
      </c>
      <c r="E918" s="4">
        <v>5</v>
      </c>
      <c r="F918" s="4">
        <v>3</v>
      </c>
      <c r="G918" s="4">
        <v>1.1000000000000001</v>
      </c>
      <c r="H918" s="10">
        <v>1775</v>
      </c>
      <c r="I918" s="11">
        <f t="shared" si="28"/>
        <v>179.1549295774648</v>
      </c>
      <c r="J918" s="3" t="str">
        <f t="shared" si="29"/>
        <v>Low</v>
      </c>
    </row>
    <row r="919" spans="1:10">
      <c r="A919" s="7" t="s">
        <v>974</v>
      </c>
      <c r="B919" s="7" t="s">
        <v>282</v>
      </c>
      <c r="C919" s="7" t="s">
        <v>12</v>
      </c>
      <c r="D919" s="22">
        <v>318000</v>
      </c>
      <c r="E919" s="7">
        <v>107</v>
      </c>
      <c r="F919" s="7">
        <v>3</v>
      </c>
      <c r="G919" s="7">
        <v>2</v>
      </c>
      <c r="H919" s="12">
        <v>1153</v>
      </c>
      <c r="I919" s="9">
        <f t="shared" si="28"/>
        <v>275.80225498699048</v>
      </c>
      <c r="J919" s="3" t="str">
        <f t="shared" si="29"/>
        <v>Medium</v>
      </c>
    </row>
    <row r="920" spans="1:10">
      <c r="A920" s="4" t="s">
        <v>975</v>
      </c>
      <c r="B920" s="4" t="s">
        <v>21</v>
      </c>
      <c r="C920" s="4" t="s">
        <v>12</v>
      </c>
      <c r="D920" s="21">
        <v>319000</v>
      </c>
      <c r="E920" s="4">
        <v>48</v>
      </c>
      <c r="F920" s="4">
        <v>3</v>
      </c>
      <c r="G920" s="4">
        <v>1.1000000000000001</v>
      </c>
      <c r="H920" s="10">
        <v>2823</v>
      </c>
      <c r="I920" s="11">
        <f t="shared" si="28"/>
        <v>113.00035423308537</v>
      </c>
      <c r="J920" s="3" t="str">
        <f t="shared" si="29"/>
        <v>Low</v>
      </c>
    </row>
    <row r="921" spans="1:10">
      <c r="A921" s="7" t="s">
        <v>976</v>
      </c>
      <c r="B921" s="7" t="s">
        <v>131</v>
      </c>
      <c r="C921" s="7" t="s">
        <v>12</v>
      </c>
      <c r="D921" s="22">
        <v>319000</v>
      </c>
      <c r="E921" s="7">
        <v>11</v>
      </c>
      <c r="F921" s="7">
        <v>3</v>
      </c>
      <c r="G921" s="7">
        <v>1</v>
      </c>
      <c r="H921" s="12">
        <v>1252</v>
      </c>
      <c r="I921" s="9">
        <f t="shared" si="28"/>
        <v>254.79233226837061</v>
      </c>
      <c r="J921" s="3" t="str">
        <f t="shared" si="29"/>
        <v>Medium</v>
      </c>
    </row>
    <row r="922" spans="1:10">
      <c r="A922" s="4" t="s">
        <v>977</v>
      </c>
      <c r="B922" s="4" t="s">
        <v>21</v>
      </c>
      <c r="C922" s="4" t="s">
        <v>12</v>
      </c>
      <c r="D922" s="21">
        <v>319000</v>
      </c>
      <c r="E922" s="4">
        <v>55</v>
      </c>
      <c r="F922" s="4">
        <v>3</v>
      </c>
      <c r="G922" s="4">
        <v>1.1000000000000001</v>
      </c>
      <c r="H922" s="10">
        <v>1882</v>
      </c>
      <c r="I922" s="11">
        <f t="shared" si="28"/>
        <v>169.50053134962806</v>
      </c>
      <c r="J922" s="3" t="str">
        <f t="shared" si="29"/>
        <v>Low</v>
      </c>
    </row>
    <row r="923" spans="1:10">
      <c r="A923" s="7" t="s">
        <v>978</v>
      </c>
      <c r="B923" s="7" t="s">
        <v>54</v>
      </c>
      <c r="C923" s="7" t="s">
        <v>12</v>
      </c>
      <c r="D923" s="22">
        <v>319900</v>
      </c>
      <c r="E923" s="7">
        <v>1</v>
      </c>
      <c r="F923" s="7">
        <v>3</v>
      </c>
      <c r="G923" s="7">
        <v>2.1</v>
      </c>
      <c r="H923" s="12">
        <v>1775</v>
      </c>
      <c r="I923" s="9">
        <f t="shared" si="28"/>
        <v>180.22535211267606</v>
      </c>
      <c r="J923" s="3" t="str">
        <f t="shared" si="29"/>
        <v>Low</v>
      </c>
    </row>
    <row r="924" spans="1:10">
      <c r="A924" s="4" t="s">
        <v>979</v>
      </c>
      <c r="B924" s="4" t="s">
        <v>131</v>
      </c>
      <c r="C924" s="4" t="s">
        <v>12</v>
      </c>
      <c r="D924" s="21">
        <v>319900</v>
      </c>
      <c r="E924" s="4">
        <v>16</v>
      </c>
      <c r="F924" s="4">
        <v>3</v>
      </c>
      <c r="G924" s="4">
        <v>2</v>
      </c>
      <c r="H924" s="10">
        <v>1045</v>
      </c>
      <c r="I924" s="11">
        <f t="shared" si="28"/>
        <v>306.1244019138756</v>
      </c>
      <c r="J924" s="3" t="str">
        <f t="shared" si="29"/>
        <v>High</v>
      </c>
    </row>
    <row r="925" spans="1:10">
      <c r="A925" s="7" t="s">
        <v>980</v>
      </c>
      <c r="B925" s="7" t="s">
        <v>131</v>
      </c>
      <c r="C925" s="7" t="s">
        <v>12</v>
      </c>
      <c r="D925" s="22">
        <v>319900</v>
      </c>
      <c r="E925" s="7">
        <v>28</v>
      </c>
      <c r="F925" s="7">
        <v>3</v>
      </c>
      <c r="G925" s="7">
        <v>2</v>
      </c>
      <c r="H925" s="12">
        <v>1100</v>
      </c>
      <c r="I925" s="9">
        <f t="shared" si="28"/>
        <v>290.81818181818181</v>
      </c>
      <c r="J925" s="3" t="str">
        <f t="shared" si="29"/>
        <v>Medium</v>
      </c>
    </row>
    <row r="926" spans="1:10">
      <c r="A926" s="4" t="s">
        <v>981</v>
      </c>
      <c r="B926" s="4" t="s">
        <v>11</v>
      </c>
      <c r="C926" s="4" t="s">
        <v>12</v>
      </c>
      <c r="D926" s="21">
        <v>319900</v>
      </c>
      <c r="E926" s="4">
        <v>106</v>
      </c>
      <c r="F926" s="4">
        <v>3</v>
      </c>
      <c r="G926" s="4">
        <v>2.1</v>
      </c>
      <c r="H926" s="10">
        <v>1800</v>
      </c>
      <c r="I926" s="11">
        <f t="shared" si="28"/>
        <v>177.72222222222223</v>
      </c>
      <c r="J926" s="3" t="str">
        <f t="shared" si="29"/>
        <v>Low</v>
      </c>
    </row>
    <row r="927" spans="1:10">
      <c r="A927" s="7" t="s">
        <v>982</v>
      </c>
      <c r="B927" s="7" t="s">
        <v>155</v>
      </c>
      <c r="C927" s="7" t="s">
        <v>12</v>
      </c>
      <c r="D927" s="22">
        <v>320000</v>
      </c>
      <c r="E927" s="7">
        <v>1</v>
      </c>
      <c r="F927" s="7">
        <v>3</v>
      </c>
      <c r="G927" s="7">
        <v>1.1000000000000001</v>
      </c>
      <c r="H927" s="12">
        <v>1582</v>
      </c>
      <c r="I927" s="9">
        <f t="shared" si="28"/>
        <v>202.275600505689</v>
      </c>
      <c r="J927" s="3" t="str">
        <f t="shared" si="29"/>
        <v>Medium</v>
      </c>
    </row>
    <row r="928" spans="1:10">
      <c r="A928" s="4" t="s">
        <v>983</v>
      </c>
      <c r="B928" s="4" t="s">
        <v>888</v>
      </c>
      <c r="C928" s="4" t="s">
        <v>12</v>
      </c>
      <c r="D928" s="21">
        <v>320000</v>
      </c>
      <c r="E928" s="4">
        <v>5</v>
      </c>
      <c r="F928" s="4">
        <v>3</v>
      </c>
      <c r="G928" s="4">
        <v>1.1000000000000001</v>
      </c>
      <c r="H928" s="10">
        <v>1014</v>
      </c>
      <c r="I928" s="11">
        <f t="shared" si="28"/>
        <v>315.58185404339252</v>
      </c>
      <c r="J928" s="3" t="str">
        <f t="shared" si="29"/>
        <v>High</v>
      </c>
    </row>
    <row r="929" spans="1:10">
      <c r="A929" s="7" t="s">
        <v>984</v>
      </c>
      <c r="B929" s="7" t="s">
        <v>54</v>
      </c>
      <c r="C929" s="7" t="s">
        <v>12</v>
      </c>
      <c r="D929" s="22">
        <v>320000</v>
      </c>
      <c r="E929" s="7">
        <v>6</v>
      </c>
      <c r="F929" s="7">
        <v>3</v>
      </c>
      <c r="G929" s="7">
        <v>2</v>
      </c>
      <c r="H929" s="12">
        <v>2442</v>
      </c>
      <c r="I929" s="9">
        <f t="shared" si="28"/>
        <v>131.04013104013103</v>
      </c>
      <c r="J929" s="3" t="str">
        <f t="shared" si="29"/>
        <v>Low</v>
      </c>
    </row>
    <row r="930" spans="1:10">
      <c r="A930" s="4" t="s">
        <v>985</v>
      </c>
      <c r="B930" s="4" t="s">
        <v>11</v>
      </c>
      <c r="C930" s="4" t="s">
        <v>12</v>
      </c>
      <c r="D930" s="21">
        <v>320000</v>
      </c>
      <c r="E930" s="4">
        <v>6</v>
      </c>
      <c r="F930" s="4">
        <v>3</v>
      </c>
      <c r="G930" s="4">
        <v>2.1</v>
      </c>
      <c r="H930" s="10">
        <v>1606</v>
      </c>
      <c r="I930" s="11">
        <f t="shared" si="28"/>
        <v>199.25280199252802</v>
      </c>
      <c r="J930" s="3" t="str">
        <f t="shared" si="29"/>
        <v>Low</v>
      </c>
    </row>
    <row r="931" spans="1:10">
      <c r="A931" s="7" t="s">
        <v>986</v>
      </c>
      <c r="B931" s="7" t="s">
        <v>212</v>
      </c>
      <c r="C931" s="7" t="s">
        <v>12</v>
      </c>
      <c r="D931" s="22">
        <v>320000</v>
      </c>
      <c r="E931" s="7">
        <v>55</v>
      </c>
      <c r="F931" s="7">
        <v>4</v>
      </c>
      <c r="G931" s="7">
        <v>1.1000000000000001</v>
      </c>
      <c r="H931" s="12">
        <v>1665</v>
      </c>
      <c r="I931" s="9">
        <f t="shared" si="28"/>
        <v>192.19219219219218</v>
      </c>
      <c r="J931" s="3" t="str">
        <f t="shared" si="29"/>
        <v>Low</v>
      </c>
    </row>
    <row r="932" spans="1:10">
      <c r="A932" s="4" t="s">
        <v>987</v>
      </c>
      <c r="B932" s="4" t="s">
        <v>70</v>
      </c>
      <c r="C932" s="4" t="s">
        <v>12</v>
      </c>
      <c r="D932" s="21">
        <v>320000</v>
      </c>
      <c r="E932" s="4">
        <v>5</v>
      </c>
      <c r="F932" s="4">
        <v>3</v>
      </c>
      <c r="G932" s="4">
        <v>2.1</v>
      </c>
      <c r="H932" s="10">
        <v>1195</v>
      </c>
      <c r="I932" s="11">
        <f t="shared" si="28"/>
        <v>267.78242677824267</v>
      </c>
      <c r="J932" s="3" t="str">
        <f t="shared" si="29"/>
        <v>Medium</v>
      </c>
    </row>
    <row r="933" spans="1:10">
      <c r="A933" s="7" t="s">
        <v>988</v>
      </c>
      <c r="B933" s="7" t="s">
        <v>73</v>
      </c>
      <c r="C933" s="7" t="s">
        <v>12</v>
      </c>
      <c r="D933" s="22">
        <v>320000</v>
      </c>
      <c r="E933" s="7">
        <v>27</v>
      </c>
      <c r="F933" s="7">
        <v>4</v>
      </c>
      <c r="G933" s="7">
        <v>2.1</v>
      </c>
      <c r="H933" s="12">
        <v>2840</v>
      </c>
      <c r="I933" s="9">
        <f t="shared" si="28"/>
        <v>112.67605633802818</v>
      </c>
      <c r="J933" s="3" t="str">
        <f t="shared" si="29"/>
        <v>Low</v>
      </c>
    </row>
    <row r="934" spans="1:10">
      <c r="A934" s="4" t="s">
        <v>989</v>
      </c>
      <c r="B934" s="4" t="s">
        <v>29</v>
      </c>
      <c r="C934" s="4" t="s">
        <v>12</v>
      </c>
      <c r="D934" s="21">
        <v>320000</v>
      </c>
      <c r="E934" s="4">
        <v>42</v>
      </c>
      <c r="F934" s="4">
        <v>4</v>
      </c>
      <c r="G934" s="4">
        <v>2</v>
      </c>
      <c r="H934" s="10">
        <v>1490</v>
      </c>
      <c r="I934" s="11">
        <f t="shared" si="28"/>
        <v>214.76510067114094</v>
      </c>
      <c r="J934" s="3" t="str">
        <f t="shared" si="29"/>
        <v>Medium</v>
      </c>
    </row>
    <row r="935" spans="1:10">
      <c r="A935" s="7" t="s">
        <v>990</v>
      </c>
      <c r="B935" s="7" t="s">
        <v>131</v>
      </c>
      <c r="C935" s="7" t="s">
        <v>12</v>
      </c>
      <c r="D935" s="22">
        <v>320000</v>
      </c>
      <c r="E935" s="7">
        <v>8</v>
      </c>
      <c r="F935" s="7">
        <v>2</v>
      </c>
      <c r="G935" s="7">
        <v>2</v>
      </c>
      <c r="H935" s="12">
        <v>1036</v>
      </c>
      <c r="I935" s="9">
        <f t="shared" si="28"/>
        <v>308.88030888030886</v>
      </c>
      <c r="J935" s="3" t="str">
        <f t="shared" si="29"/>
        <v>High</v>
      </c>
    </row>
    <row r="936" spans="1:10">
      <c r="A936" s="4" t="s">
        <v>991</v>
      </c>
      <c r="B936" s="4" t="s">
        <v>363</v>
      </c>
      <c r="C936" s="4" t="s">
        <v>12</v>
      </c>
      <c r="D936" s="21">
        <v>320000</v>
      </c>
      <c r="E936" s="4">
        <v>7</v>
      </c>
      <c r="F936" s="4">
        <v>3</v>
      </c>
      <c r="G936" s="4">
        <v>2</v>
      </c>
      <c r="H936" s="4">
        <v>987</v>
      </c>
      <c r="I936" s="11">
        <f t="shared" si="28"/>
        <v>324.2147922998987</v>
      </c>
      <c r="J936" s="3" t="str">
        <f t="shared" si="29"/>
        <v>High</v>
      </c>
    </row>
    <row r="937" spans="1:10">
      <c r="A937" s="7" t="s">
        <v>992</v>
      </c>
      <c r="B937" s="7" t="s">
        <v>131</v>
      </c>
      <c r="C937" s="7" t="s">
        <v>12</v>
      </c>
      <c r="D937" s="22">
        <v>320000</v>
      </c>
      <c r="E937" s="7">
        <v>27</v>
      </c>
      <c r="F937" s="7">
        <v>3</v>
      </c>
      <c r="G937" s="7">
        <v>1</v>
      </c>
      <c r="H937" s="12">
        <v>1388</v>
      </c>
      <c r="I937" s="9">
        <f t="shared" si="28"/>
        <v>230.54755043227667</v>
      </c>
      <c r="J937" s="3" t="str">
        <f t="shared" si="29"/>
        <v>Medium</v>
      </c>
    </row>
    <row r="938" spans="1:10">
      <c r="A938" s="4" t="s">
        <v>993</v>
      </c>
      <c r="B938" s="4" t="s">
        <v>268</v>
      </c>
      <c r="C938" s="4" t="s">
        <v>12</v>
      </c>
      <c r="D938" s="21">
        <v>320000</v>
      </c>
      <c r="E938" s="4">
        <v>21</v>
      </c>
      <c r="F938" s="4">
        <v>4</v>
      </c>
      <c r="G938" s="4">
        <v>2.1</v>
      </c>
      <c r="H938" s="10">
        <v>2003</v>
      </c>
      <c r="I938" s="11">
        <f t="shared" si="28"/>
        <v>159.76035946080879</v>
      </c>
      <c r="J938" s="3" t="str">
        <f t="shared" si="29"/>
        <v>Low</v>
      </c>
    </row>
    <row r="939" spans="1:10">
      <c r="A939" s="7" t="s">
        <v>994</v>
      </c>
      <c r="B939" s="7" t="s">
        <v>131</v>
      </c>
      <c r="C939" s="7" t="s">
        <v>12</v>
      </c>
      <c r="D939" s="22">
        <v>320000</v>
      </c>
      <c r="E939" s="7">
        <v>101</v>
      </c>
      <c r="F939" s="7">
        <v>3</v>
      </c>
      <c r="G939" s="7">
        <v>2.1</v>
      </c>
      <c r="H939" s="12">
        <v>1102</v>
      </c>
      <c r="I939" s="9">
        <f t="shared" si="28"/>
        <v>290.38112522686026</v>
      </c>
      <c r="J939" s="3" t="str">
        <f t="shared" si="29"/>
        <v>Medium</v>
      </c>
    </row>
    <row r="940" spans="1:10">
      <c r="A940" s="4" t="s">
        <v>995</v>
      </c>
      <c r="B940" s="4" t="s">
        <v>679</v>
      </c>
      <c r="C940" s="4" t="s">
        <v>12</v>
      </c>
      <c r="D940" s="21">
        <v>322000</v>
      </c>
      <c r="E940" s="4">
        <v>10</v>
      </c>
      <c r="F940" s="4">
        <v>2</v>
      </c>
      <c r="G940" s="4">
        <v>1</v>
      </c>
      <c r="H940" s="10">
        <v>1031</v>
      </c>
      <c r="I940" s="11">
        <f t="shared" si="28"/>
        <v>312.3181377303589</v>
      </c>
      <c r="J940" s="3" t="str">
        <f t="shared" si="29"/>
        <v>High</v>
      </c>
    </row>
    <row r="941" spans="1:10">
      <c r="A941" s="7" t="s">
        <v>996</v>
      </c>
      <c r="B941" s="7" t="s">
        <v>73</v>
      </c>
      <c r="C941" s="7" t="s">
        <v>12</v>
      </c>
      <c r="D941" s="22">
        <v>322000</v>
      </c>
      <c r="E941" s="7">
        <v>10</v>
      </c>
      <c r="F941" s="7">
        <v>4</v>
      </c>
      <c r="G941" s="7">
        <v>2.1</v>
      </c>
      <c r="H941" s="12">
        <v>1915</v>
      </c>
      <c r="I941" s="9">
        <f t="shared" si="28"/>
        <v>168.14621409921671</v>
      </c>
      <c r="J941" s="3" t="str">
        <f t="shared" si="29"/>
        <v>Low</v>
      </c>
    </row>
    <row r="942" spans="1:10">
      <c r="A942" s="4" t="s">
        <v>997</v>
      </c>
      <c r="B942" s="4" t="s">
        <v>117</v>
      </c>
      <c r="C942" s="4" t="s">
        <v>12</v>
      </c>
      <c r="D942" s="21">
        <v>322400</v>
      </c>
      <c r="E942" s="4">
        <v>38</v>
      </c>
      <c r="F942" s="4">
        <v>4</v>
      </c>
      <c r="G942" s="4">
        <v>1.1000000000000001</v>
      </c>
      <c r="H942" s="10">
        <v>1800</v>
      </c>
      <c r="I942" s="11">
        <f t="shared" si="28"/>
        <v>179.11111111111111</v>
      </c>
      <c r="J942" s="3" t="str">
        <f t="shared" si="29"/>
        <v>Low</v>
      </c>
    </row>
    <row r="943" spans="1:10">
      <c r="A943" s="7" t="s">
        <v>998</v>
      </c>
      <c r="B943" s="7" t="s">
        <v>73</v>
      </c>
      <c r="C943" s="7" t="s">
        <v>12</v>
      </c>
      <c r="D943" s="22">
        <v>322600</v>
      </c>
      <c r="E943" s="7">
        <v>10</v>
      </c>
      <c r="F943" s="7">
        <v>3</v>
      </c>
      <c r="G943" s="7">
        <v>3.2</v>
      </c>
      <c r="H943" s="12">
        <v>2654</v>
      </c>
      <c r="I943" s="9">
        <f t="shared" si="28"/>
        <v>121.55237377543331</v>
      </c>
      <c r="J943" s="3" t="str">
        <f t="shared" si="29"/>
        <v>Low</v>
      </c>
    </row>
    <row r="944" spans="1:10">
      <c r="A944" s="4" t="s">
        <v>999</v>
      </c>
      <c r="B944" s="4" t="s">
        <v>212</v>
      </c>
      <c r="C944" s="4" t="s">
        <v>12</v>
      </c>
      <c r="D944" s="21">
        <v>323000</v>
      </c>
      <c r="E944" s="4">
        <v>5</v>
      </c>
      <c r="F944" s="4">
        <v>3</v>
      </c>
      <c r="G944" s="4">
        <v>2</v>
      </c>
      <c r="H944" s="10">
        <v>1581</v>
      </c>
      <c r="I944" s="11">
        <f t="shared" si="28"/>
        <v>204.30107526881721</v>
      </c>
      <c r="J944" s="3" t="str">
        <f t="shared" si="29"/>
        <v>Medium</v>
      </c>
    </row>
    <row r="945" spans="1:10">
      <c r="A945" s="7" t="s">
        <v>1000</v>
      </c>
      <c r="B945" s="7" t="s">
        <v>117</v>
      </c>
      <c r="C945" s="7" t="s">
        <v>12</v>
      </c>
      <c r="D945" s="22">
        <v>323200</v>
      </c>
      <c r="E945" s="7">
        <v>7</v>
      </c>
      <c r="F945" s="7">
        <v>3</v>
      </c>
      <c r="G945" s="7">
        <v>2</v>
      </c>
      <c r="H945" s="12">
        <v>1452</v>
      </c>
      <c r="I945" s="9">
        <f t="shared" si="28"/>
        <v>222.58953168044079</v>
      </c>
      <c r="J945" s="3" t="str">
        <f t="shared" si="29"/>
        <v>Medium</v>
      </c>
    </row>
    <row r="946" spans="1:10">
      <c r="A946" s="4" t="s">
        <v>1001</v>
      </c>
      <c r="B946" s="4" t="s">
        <v>11</v>
      </c>
      <c r="C946" s="4" t="s">
        <v>12</v>
      </c>
      <c r="D946" s="21">
        <v>323500</v>
      </c>
      <c r="E946" s="4">
        <v>3</v>
      </c>
      <c r="F946" s="4">
        <v>3</v>
      </c>
      <c r="G946" s="4">
        <v>2</v>
      </c>
      <c r="H946" s="10">
        <v>1247</v>
      </c>
      <c r="I946" s="11">
        <f t="shared" si="28"/>
        <v>259.42261427425819</v>
      </c>
      <c r="J946" s="3" t="str">
        <f t="shared" si="29"/>
        <v>Medium</v>
      </c>
    </row>
    <row r="947" spans="1:10">
      <c r="A947" s="7" t="s">
        <v>1002</v>
      </c>
      <c r="B947" s="7" t="s">
        <v>70</v>
      </c>
      <c r="C947" s="7" t="s">
        <v>12</v>
      </c>
      <c r="D947" s="22">
        <v>324500</v>
      </c>
      <c r="E947" s="7">
        <v>5</v>
      </c>
      <c r="F947" s="7">
        <v>3</v>
      </c>
      <c r="G947" s="7">
        <v>1.1000000000000001</v>
      </c>
      <c r="H947" s="12">
        <v>1601</v>
      </c>
      <c r="I947" s="9">
        <f t="shared" si="28"/>
        <v>202.68582136164898</v>
      </c>
      <c r="J947" s="3" t="str">
        <f t="shared" si="29"/>
        <v>Medium</v>
      </c>
    </row>
    <row r="948" spans="1:10">
      <c r="A948" s="4" t="s">
        <v>1003</v>
      </c>
      <c r="B948" s="4" t="s">
        <v>93</v>
      </c>
      <c r="C948" s="4" t="s">
        <v>12</v>
      </c>
      <c r="D948" s="21">
        <v>324900</v>
      </c>
      <c r="E948" s="4">
        <v>27</v>
      </c>
      <c r="F948" s="4">
        <v>3</v>
      </c>
      <c r="G948" s="4">
        <v>2.1</v>
      </c>
      <c r="H948" s="10">
        <v>1673</v>
      </c>
      <c r="I948" s="11">
        <f t="shared" si="28"/>
        <v>194.20203227734609</v>
      </c>
      <c r="J948" s="3" t="str">
        <f t="shared" si="29"/>
        <v>Low</v>
      </c>
    </row>
    <row r="949" spans="1:10">
      <c r="A949" s="7" t="s">
        <v>1004</v>
      </c>
      <c r="B949" s="7" t="s">
        <v>363</v>
      </c>
      <c r="C949" s="7" t="s">
        <v>12</v>
      </c>
      <c r="D949" s="22">
        <v>325000</v>
      </c>
      <c r="E949" s="7">
        <v>5</v>
      </c>
      <c r="F949" s="7">
        <v>3</v>
      </c>
      <c r="G949" s="7">
        <v>1</v>
      </c>
      <c r="H949" s="12">
        <v>1231</v>
      </c>
      <c r="I949" s="9">
        <f t="shared" si="28"/>
        <v>264.01299756295697</v>
      </c>
      <c r="J949" s="3" t="str">
        <f t="shared" si="29"/>
        <v>Medium</v>
      </c>
    </row>
    <row r="950" spans="1:10">
      <c r="A950" s="4" t="s">
        <v>1005</v>
      </c>
      <c r="B950" s="4" t="s">
        <v>73</v>
      </c>
      <c r="C950" s="4" t="s">
        <v>12</v>
      </c>
      <c r="D950" s="21">
        <v>325000</v>
      </c>
      <c r="E950" s="4">
        <v>2</v>
      </c>
      <c r="F950" s="4">
        <v>3</v>
      </c>
      <c r="G950" s="4">
        <v>2.1</v>
      </c>
      <c r="H950" s="10">
        <v>2158</v>
      </c>
      <c r="I950" s="11">
        <f t="shared" si="28"/>
        <v>150.60240963855421</v>
      </c>
      <c r="J950" s="3" t="str">
        <f t="shared" si="29"/>
        <v>Low</v>
      </c>
    </row>
    <row r="951" spans="1:10">
      <c r="A951" s="7" t="s">
        <v>1006</v>
      </c>
      <c r="B951" s="7" t="s">
        <v>70</v>
      </c>
      <c r="C951" s="7" t="s">
        <v>12</v>
      </c>
      <c r="D951" s="22">
        <v>325000</v>
      </c>
      <c r="E951" s="7">
        <v>10</v>
      </c>
      <c r="F951" s="7">
        <v>3</v>
      </c>
      <c r="G951" s="7">
        <v>1.1000000000000001</v>
      </c>
      <c r="H951" s="12">
        <v>1485</v>
      </c>
      <c r="I951" s="9">
        <f t="shared" si="28"/>
        <v>218.85521885521885</v>
      </c>
      <c r="J951" s="3" t="str">
        <f t="shared" si="29"/>
        <v>Medium</v>
      </c>
    </row>
    <row r="952" spans="1:10">
      <c r="A952" s="4" t="s">
        <v>1007</v>
      </c>
      <c r="B952" s="4" t="s">
        <v>131</v>
      </c>
      <c r="C952" s="4" t="s">
        <v>12</v>
      </c>
      <c r="D952" s="21">
        <v>325000</v>
      </c>
      <c r="E952" s="4">
        <v>38</v>
      </c>
      <c r="F952" s="4">
        <v>3</v>
      </c>
      <c r="G952" s="4">
        <v>2</v>
      </c>
      <c r="H952" s="10">
        <v>1037</v>
      </c>
      <c r="I952" s="11">
        <f t="shared" si="28"/>
        <v>313.40405014464801</v>
      </c>
      <c r="J952" s="3" t="str">
        <f t="shared" si="29"/>
        <v>High</v>
      </c>
    </row>
    <row r="953" spans="1:10">
      <c r="A953" s="7" t="s">
        <v>1008</v>
      </c>
      <c r="B953" s="7" t="s">
        <v>77</v>
      </c>
      <c r="C953" s="7" t="s">
        <v>12</v>
      </c>
      <c r="D953" s="22">
        <v>325000</v>
      </c>
      <c r="E953" s="7">
        <v>2</v>
      </c>
      <c r="F953" s="7">
        <v>4</v>
      </c>
      <c r="G953" s="7">
        <v>2</v>
      </c>
      <c r="H953" s="12">
        <v>1964</v>
      </c>
      <c r="I953" s="9">
        <f t="shared" si="28"/>
        <v>165.47861507128309</v>
      </c>
      <c r="J953" s="3" t="str">
        <f t="shared" si="29"/>
        <v>Low</v>
      </c>
    </row>
    <row r="954" spans="1:10">
      <c r="A954" s="4" t="s">
        <v>1009</v>
      </c>
      <c r="B954" s="4" t="s">
        <v>16</v>
      </c>
      <c r="C954" s="4" t="s">
        <v>12</v>
      </c>
      <c r="D954" s="21">
        <v>325000</v>
      </c>
      <c r="E954" s="4">
        <v>8</v>
      </c>
      <c r="F954" s="4">
        <v>3</v>
      </c>
      <c r="G954" s="4">
        <v>1</v>
      </c>
      <c r="H954" s="10">
        <v>2156</v>
      </c>
      <c r="I954" s="11">
        <f t="shared" si="28"/>
        <v>150.7421150278293</v>
      </c>
      <c r="J954" s="3" t="str">
        <f t="shared" si="29"/>
        <v>Low</v>
      </c>
    </row>
    <row r="955" spans="1:10">
      <c r="A955" s="7" t="s">
        <v>1010</v>
      </c>
      <c r="B955" s="7" t="s">
        <v>73</v>
      </c>
      <c r="C955" s="7" t="s">
        <v>12</v>
      </c>
      <c r="D955" s="22">
        <v>325000</v>
      </c>
      <c r="E955" s="7">
        <v>2</v>
      </c>
      <c r="F955" s="7">
        <v>4</v>
      </c>
      <c r="G955" s="7">
        <v>2</v>
      </c>
      <c r="H955" s="12">
        <v>2176</v>
      </c>
      <c r="I955" s="9">
        <f t="shared" si="28"/>
        <v>149.35661764705881</v>
      </c>
      <c r="J955" s="3" t="str">
        <f t="shared" si="29"/>
        <v>Low</v>
      </c>
    </row>
    <row r="956" spans="1:10">
      <c r="A956" s="4" t="s">
        <v>1011</v>
      </c>
      <c r="B956" s="4" t="s">
        <v>117</v>
      </c>
      <c r="C956" s="4" t="s">
        <v>12</v>
      </c>
      <c r="D956" s="21">
        <v>325000</v>
      </c>
      <c r="E956" s="4">
        <v>1</v>
      </c>
      <c r="F956" s="4">
        <v>3</v>
      </c>
      <c r="G956" s="4">
        <v>1.1000000000000001</v>
      </c>
      <c r="H956" s="10">
        <v>1410</v>
      </c>
      <c r="I956" s="11">
        <f t="shared" si="28"/>
        <v>230.49645390070921</v>
      </c>
      <c r="J956" s="3" t="str">
        <f t="shared" si="29"/>
        <v>Medium</v>
      </c>
    </row>
    <row r="957" spans="1:10">
      <c r="A957" s="7" t="s">
        <v>1012</v>
      </c>
      <c r="B957" s="7" t="s">
        <v>268</v>
      </c>
      <c r="C957" s="7" t="s">
        <v>12</v>
      </c>
      <c r="D957" s="22">
        <v>325000</v>
      </c>
      <c r="E957" s="7">
        <v>21</v>
      </c>
      <c r="F957" s="7">
        <v>3</v>
      </c>
      <c r="G957" s="7">
        <v>1.1000000000000001</v>
      </c>
      <c r="H957" s="12">
        <v>1729</v>
      </c>
      <c r="I957" s="9">
        <f t="shared" si="28"/>
        <v>187.96992481203009</v>
      </c>
      <c r="J957" s="3" t="str">
        <f t="shared" si="29"/>
        <v>Low</v>
      </c>
    </row>
    <row r="958" spans="1:10">
      <c r="A958" s="4" t="s">
        <v>1013</v>
      </c>
      <c r="B958" s="4" t="s">
        <v>131</v>
      </c>
      <c r="C958" s="4" t="s">
        <v>12</v>
      </c>
      <c r="D958" s="21">
        <v>325000</v>
      </c>
      <c r="E958" s="4">
        <v>41</v>
      </c>
      <c r="F958" s="4">
        <v>3</v>
      </c>
      <c r="G958" s="4">
        <v>1</v>
      </c>
      <c r="H958" s="10">
        <v>1005</v>
      </c>
      <c r="I958" s="11">
        <f t="shared" si="28"/>
        <v>323.3830845771144</v>
      </c>
      <c r="J958" s="3" t="str">
        <f t="shared" si="29"/>
        <v>High</v>
      </c>
    </row>
    <row r="959" spans="1:10">
      <c r="A959" s="7" t="s">
        <v>1014</v>
      </c>
      <c r="B959" s="7" t="s">
        <v>728</v>
      </c>
      <c r="C959" s="7" t="s">
        <v>12</v>
      </c>
      <c r="D959" s="22">
        <v>325000</v>
      </c>
      <c r="E959" s="7">
        <v>97</v>
      </c>
      <c r="F959" s="7">
        <v>2</v>
      </c>
      <c r="G959" s="7">
        <v>2.1</v>
      </c>
      <c r="H959" s="12">
        <v>1510</v>
      </c>
      <c r="I959" s="9">
        <f t="shared" si="28"/>
        <v>215.23178807947019</v>
      </c>
      <c r="J959" s="3" t="str">
        <f t="shared" si="29"/>
        <v>Medium</v>
      </c>
    </row>
    <row r="960" spans="1:10">
      <c r="A960" s="4" t="s">
        <v>1015</v>
      </c>
      <c r="B960" s="4" t="s">
        <v>131</v>
      </c>
      <c r="C960" s="4" t="s">
        <v>12</v>
      </c>
      <c r="D960" s="21">
        <v>325000</v>
      </c>
      <c r="E960" s="4">
        <v>124</v>
      </c>
      <c r="F960" s="4">
        <v>3</v>
      </c>
      <c r="G960" s="4">
        <v>1.1000000000000001</v>
      </c>
      <c r="H960" s="10">
        <v>1173</v>
      </c>
      <c r="I960" s="11">
        <f t="shared" si="28"/>
        <v>277.06734867860189</v>
      </c>
      <c r="J960" s="3" t="str">
        <f t="shared" si="29"/>
        <v>Medium</v>
      </c>
    </row>
    <row r="961" spans="1:10">
      <c r="A961" s="7" t="s">
        <v>1016</v>
      </c>
      <c r="B961" s="7" t="s">
        <v>11</v>
      </c>
      <c r="C961" s="7" t="s">
        <v>12</v>
      </c>
      <c r="D961" s="22">
        <v>325000</v>
      </c>
      <c r="E961" s="7">
        <v>10</v>
      </c>
      <c r="F961" s="7">
        <v>4</v>
      </c>
      <c r="G961" s="7">
        <v>2.1</v>
      </c>
      <c r="H961" s="12">
        <v>1962</v>
      </c>
      <c r="I961" s="9">
        <f t="shared" si="28"/>
        <v>165.6472986748216</v>
      </c>
      <c r="J961" s="3" t="str">
        <f t="shared" si="29"/>
        <v>Low</v>
      </c>
    </row>
    <row r="962" spans="1:10">
      <c r="A962" s="4" t="s">
        <v>1017</v>
      </c>
      <c r="B962" s="4" t="s">
        <v>867</v>
      </c>
      <c r="C962" s="4" t="s">
        <v>12</v>
      </c>
      <c r="D962" s="21">
        <v>325000</v>
      </c>
      <c r="E962" s="4">
        <v>12</v>
      </c>
      <c r="F962" s="4">
        <v>3</v>
      </c>
      <c r="G962" s="4">
        <v>2</v>
      </c>
      <c r="H962" s="10">
        <v>1420</v>
      </c>
      <c r="I962" s="11">
        <f t="shared" ref="I962:I1025" si="30">D962/H962</f>
        <v>228.87323943661971</v>
      </c>
      <c r="J962" s="3" t="str">
        <f t="shared" ref="J962:J1025" si="31">IF(I962 &gt; 300, "High", IF(AND(I962 &lt;= 300, I962 &gt; 200), "Medium", "Low"))</f>
        <v>Medium</v>
      </c>
    </row>
    <row r="963" spans="1:10">
      <c r="A963" s="7" t="s">
        <v>1018</v>
      </c>
      <c r="B963" s="7" t="s">
        <v>131</v>
      </c>
      <c r="C963" s="7" t="s">
        <v>12</v>
      </c>
      <c r="D963" s="22">
        <v>325000</v>
      </c>
      <c r="E963" s="7">
        <v>22</v>
      </c>
      <c r="F963" s="7">
        <v>3</v>
      </c>
      <c r="G963" s="7">
        <v>2</v>
      </c>
      <c r="H963" s="12">
        <v>1034</v>
      </c>
      <c r="I963" s="9">
        <f t="shared" si="30"/>
        <v>314.31334622823982</v>
      </c>
      <c r="J963" s="3" t="str">
        <f t="shared" si="31"/>
        <v>High</v>
      </c>
    </row>
    <row r="964" spans="1:10">
      <c r="A964" s="4" t="s">
        <v>1019</v>
      </c>
      <c r="B964" s="4" t="s">
        <v>268</v>
      </c>
      <c r="C964" s="4" t="s">
        <v>12</v>
      </c>
      <c r="D964" s="21">
        <v>325000</v>
      </c>
      <c r="E964" s="4">
        <v>56</v>
      </c>
      <c r="F964" s="4">
        <v>4</v>
      </c>
      <c r="G964" s="4">
        <v>2</v>
      </c>
      <c r="H964" s="10">
        <v>1689</v>
      </c>
      <c r="I964" s="11">
        <f t="shared" si="30"/>
        <v>192.42155121373594</v>
      </c>
      <c r="J964" s="3" t="str">
        <f t="shared" si="31"/>
        <v>Low</v>
      </c>
    </row>
    <row r="965" spans="1:10">
      <c r="A965" s="7" t="s">
        <v>1020</v>
      </c>
      <c r="B965" s="7" t="s">
        <v>131</v>
      </c>
      <c r="C965" s="7" t="s">
        <v>12</v>
      </c>
      <c r="D965" s="22">
        <v>325000</v>
      </c>
      <c r="E965" s="7">
        <v>19</v>
      </c>
      <c r="F965" s="7">
        <v>3</v>
      </c>
      <c r="G965" s="7">
        <v>1.1000000000000001</v>
      </c>
      <c r="H965" s="12">
        <v>1025</v>
      </c>
      <c r="I965" s="9">
        <f t="shared" si="30"/>
        <v>317.07317073170731</v>
      </c>
      <c r="J965" s="3" t="str">
        <f t="shared" si="31"/>
        <v>High</v>
      </c>
    </row>
    <row r="966" spans="1:10">
      <c r="A966" s="4" t="s">
        <v>1021</v>
      </c>
      <c r="B966" s="4" t="s">
        <v>878</v>
      </c>
      <c r="C966" s="4" t="s">
        <v>12</v>
      </c>
      <c r="D966" s="21">
        <v>325000</v>
      </c>
      <c r="E966" s="4">
        <v>68</v>
      </c>
      <c r="F966" s="4">
        <v>2</v>
      </c>
      <c r="G966" s="4">
        <v>2</v>
      </c>
      <c r="H966" s="10">
        <v>1201</v>
      </c>
      <c r="I966" s="11">
        <f t="shared" si="30"/>
        <v>270.60782681099084</v>
      </c>
      <c r="J966" s="3" t="str">
        <f t="shared" si="31"/>
        <v>Medium</v>
      </c>
    </row>
    <row r="967" spans="1:10">
      <c r="A967" s="7" t="s">
        <v>1022</v>
      </c>
      <c r="B967" s="7" t="s">
        <v>268</v>
      </c>
      <c r="C967" s="7" t="s">
        <v>12</v>
      </c>
      <c r="D967" s="22">
        <v>325000</v>
      </c>
      <c r="E967" s="7">
        <v>39</v>
      </c>
      <c r="F967" s="7">
        <v>3</v>
      </c>
      <c r="G967" s="7">
        <v>3</v>
      </c>
      <c r="H967" s="12">
        <v>2122</v>
      </c>
      <c r="I967" s="9">
        <f t="shared" si="30"/>
        <v>153.1573986804901</v>
      </c>
      <c r="J967" s="3" t="str">
        <f t="shared" si="31"/>
        <v>Low</v>
      </c>
    </row>
    <row r="968" spans="1:10">
      <c r="A968" s="4" t="s">
        <v>1023</v>
      </c>
      <c r="B968" s="4" t="s">
        <v>212</v>
      </c>
      <c r="C968" s="4" t="s">
        <v>12</v>
      </c>
      <c r="D968" s="21">
        <v>327000</v>
      </c>
      <c r="E968" s="4">
        <v>3</v>
      </c>
      <c r="F968" s="4">
        <v>3</v>
      </c>
      <c r="G968" s="4">
        <v>1</v>
      </c>
      <c r="H968" s="10">
        <v>1008</v>
      </c>
      <c r="I968" s="11">
        <f t="shared" si="30"/>
        <v>324.40476190476193</v>
      </c>
      <c r="J968" s="3" t="str">
        <f t="shared" si="31"/>
        <v>High</v>
      </c>
    </row>
    <row r="969" spans="1:10">
      <c r="A969" s="7" t="s">
        <v>1024</v>
      </c>
      <c r="B969" s="7" t="s">
        <v>77</v>
      </c>
      <c r="C969" s="7" t="s">
        <v>12</v>
      </c>
      <c r="D969" s="22">
        <v>327000</v>
      </c>
      <c r="E969" s="7">
        <v>27</v>
      </c>
      <c r="F969" s="7">
        <v>4</v>
      </c>
      <c r="G969" s="7">
        <v>2.1</v>
      </c>
      <c r="H969" s="12">
        <v>1688</v>
      </c>
      <c r="I969" s="9">
        <f t="shared" si="30"/>
        <v>193.72037914691944</v>
      </c>
      <c r="J969" s="3" t="str">
        <f t="shared" si="31"/>
        <v>Low</v>
      </c>
    </row>
    <row r="970" spans="1:10">
      <c r="A970" s="4" t="s">
        <v>1025</v>
      </c>
      <c r="B970" s="4" t="s">
        <v>54</v>
      </c>
      <c r="C970" s="4" t="s">
        <v>12</v>
      </c>
      <c r="D970" s="21">
        <v>328000</v>
      </c>
      <c r="E970" s="4">
        <v>6</v>
      </c>
      <c r="F970" s="4">
        <v>3</v>
      </c>
      <c r="G970" s="4">
        <v>2</v>
      </c>
      <c r="H970" s="10">
        <v>1932</v>
      </c>
      <c r="I970" s="11">
        <f t="shared" si="30"/>
        <v>169.77225672877847</v>
      </c>
      <c r="J970" s="3" t="str">
        <f t="shared" si="31"/>
        <v>Low</v>
      </c>
    </row>
    <row r="971" spans="1:10">
      <c r="A971" s="7" t="s">
        <v>1026</v>
      </c>
      <c r="B971" s="7" t="s">
        <v>282</v>
      </c>
      <c r="C971" s="7" t="s">
        <v>12</v>
      </c>
      <c r="D971" s="22">
        <v>329000</v>
      </c>
      <c r="E971" s="7">
        <v>2</v>
      </c>
      <c r="F971" s="7">
        <v>3</v>
      </c>
      <c r="G971" s="7">
        <v>1.1000000000000001</v>
      </c>
      <c r="H971" s="12">
        <v>1092</v>
      </c>
      <c r="I971" s="9">
        <f t="shared" si="30"/>
        <v>301.28205128205127</v>
      </c>
      <c r="J971" s="3" t="str">
        <f t="shared" si="31"/>
        <v>High</v>
      </c>
    </row>
    <row r="972" spans="1:10">
      <c r="A972" s="4" t="s">
        <v>1027</v>
      </c>
      <c r="B972" s="4" t="s">
        <v>18</v>
      </c>
      <c r="C972" s="4" t="s">
        <v>12</v>
      </c>
      <c r="D972" s="21">
        <v>330000</v>
      </c>
      <c r="E972" s="4">
        <v>6</v>
      </c>
      <c r="F972" s="4">
        <v>4</v>
      </c>
      <c r="G972" s="4">
        <v>2</v>
      </c>
      <c r="H972" s="10">
        <v>1878</v>
      </c>
      <c r="I972" s="11">
        <f t="shared" si="30"/>
        <v>175.71884984025559</v>
      </c>
      <c r="J972" s="3" t="str">
        <f t="shared" si="31"/>
        <v>Low</v>
      </c>
    </row>
    <row r="973" spans="1:10">
      <c r="A973" s="7" t="s">
        <v>1028</v>
      </c>
      <c r="B973" s="7" t="s">
        <v>73</v>
      </c>
      <c r="C973" s="7" t="s">
        <v>12</v>
      </c>
      <c r="D973" s="22">
        <v>330000</v>
      </c>
      <c r="E973" s="7">
        <v>13</v>
      </c>
      <c r="F973" s="7">
        <v>4</v>
      </c>
      <c r="G973" s="7">
        <v>1.1000000000000001</v>
      </c>
      <c r="H973" s="12">
        <v>1410</v>
      </c>
      <c r="I973" s="9">
        <f t="shared" si="30"/>
        <v>234.04255319148936</v>
      </c>
      <c r="J973" s="3" t="str">
        <f t="shared" si="31"/>
        <v>Medium</v>
      </c>
    </row>
    <row r="974" spans="1:10">
      <c r="A974" s="4" t="s">
        <v>1029</v>
      </c>
      <c r="B974" s="4" t="s">
        <v>54</v>
      </c>
      <c r="C974" s="4" t="s">
        <v>12</v>
      </c>
      <c r="D974" s="21">
        <v>330000</v>
      </c>
      <c r="E974" s="4">
        <v>43</v>
      </c>
      <c r="F974" s="4">
        <v>4</v>
      </c>
      <c r="G974" s="4">
        <v>3.1</v>
      </c>
      <c r="H974" s="10">
        <v>1837</v>
      </c>
      <c r="I974" s="11">
        <f t="shared" si="30"/>
        <v>179.64071856287424</v>
      </c>
      <c r="J974" s="3" t="str">
        <f t="shared" si="31"/>
        <v>Low</v>
      </c>
    </row>
    <row r="975" spans="1:10">
      <c r="A975" s="7" t="s">
        <v>1030</v>
      </c>
      <c r="B975" s="7" t="s">
        <v>131</v>
      </c>
      <c r="C975" s="7" t="s">
        <v>12</v>
      </c>
      <c r="D975" s="22">
        <v>330000</v>
      </c>
      <c r="E975" s="7">
        <v>8</v>
      </c>
      <c r="F975" s="7">
        <v>3</v>
      </c>
      <c r="G975" s="7">
        <v>2</v>
      </c>
      <c r="H975" s="12">
        <v>1036</v>
      </c>
      <c r="I975" s="9">
        <f t="shared" si="30"/>
        <v>318.53281853281851</v>
      </c>
      <c r="J975" s="3" t="str">
        <f t="shared" si="31"/>
        <v>High</v>
      </c>
    </row>
    <row r="976" spans="1:10">
      <c r="A976" s="4" t="s">
        <v>1031</v>
      </c>
      <c r="B976" s="4" t="s">
        <v>474</v>
      </c>
      <c r="C976" s="4" t="s">
        <v>12</v>
      </c>
      <c r="D976" s="21">
        <v>330000</v>
      </c>
      <c r="E976" s="4">
        <v>3</v>
      </c>
      <c r="F976" s="4">
        <v>4</v>
      </c>
      <c r="G976" s="4">
        <v>2</v>
      </c>
      <c r="H976" s="10">
        <v>1768</v>
      </c>
      <c r="I976" s="11">
        <f t="shared" si="30"/>
        <v>186.65158371040724</v>
      </c>
      <c r="J976" s="3" t="str">
        <f t="shared" si="31"/>
        <v>Low</v>
      </c>
    </row>
    <row r="977" spans="1:10">
      <c r="A977" s="7" t="s">
        <v>1032</v>
      </c>
      <c r="B977" s="7" t="s">
        <v>42</v>
      </c>
      <c r="C977" s="7" t="s">
        <v>12</v>
      </c>
      <c r="D977" s="22">
        <v>330000</v>
      </c>
      <c r="E977" s="7">
        <v>26</v>
      </c>
      <c r="F977" s="7">
        <v>4</v>
      </c>
      <c r="G977" s="7">
        <v>3</v>
      </c>
      <c r="H977" s="12">
        <v>2022</v>
      </c>
      <c r="I977" s="9">
        <f t="shared" si="30"/>
        <v>163.20474777448072</v>
      </c>
      <c r="J977" s="3" t="str">
        <f t="shared" si="31"/>
        <v>Low</v>
      </c>
    </row>
    <row r="978" spans="1:10">
      <c r="A978" s="4" t="s">
        <v>1033</v>
      </c>
      <c r="B978" s="4" t="s">
        <v>117</v>
      </c>
      <c r="C978" s="4" t="s">
        <v>12</v>
      </c>
      <c r="D978" s="21">
        <v>330000</v>
      </c>
      <c r="E978" s="4">
        <v>5</v>
      </c>
      <c r="F978" s="4">
        <v>4</v>
      </c>
      <c r="G978" s="4">
        <v>2</v>
      </c>
      <c r="H978" s="10">
        <v>1500</v>
      </c>
      <c r="I978" s="11">
        <f t="shared" si="30"/>
        <v>220</v>
      </c>
      <c r="J978" s="3" t="str">
        <f t="shared" si="31"/>
        <v>Medium</v>
      </c>
    </row>
    <row r="979" spans="1:10">
      <c r="A979" s="7" t="s">
        <v>1034</v>
      </c>
      <c r="B979" s="7" t="s">
        <v>131</v>
      </c>
      <c r="C979" s="7" t="s">
        <v>12</v>
      </c>
      <c r="D979" s="22">
        <v>330000</v>
      </c>
      <c r="E979" s="7">
        <v>6</v>
      </c>
      <c r="F979" s="7">
        <v>4</v>
      </c>
      <c r="G979" s="7">
        <v>2.1</v>
      </c>
      <c r="H979" s="12">
        <v>1092</v>
      </c>
      <c r="I979" s="9">
        <f t="shared" si="30"/>
        <v>302.19780219780222</v>
      </c>
      <c r="J979" s="3" t="str">
        <f t="shared" si="31"/>
        <v>High</v>
      </c>
    </row>
    <row r="980" spans="1:10">
      <c r="A980" s="4" t="s">
        <v>1035</v>
      </c>
      <c r="B980" s="4" t="s">
        <v>73</v>
      </c>
      <c r="C980" s="4" t="s">
        <v>12</v>
      </c>
      <c r="D980" s="21">
        <v>330000</v>
      </c>
      <c r="E980" s="4">
        <v>4</v>
      </c>
      <c r="F980" s="4">
        <v>4</v>
      </c>
      <c r="G980" s="4">
        <v>2.1</v>
      </c>
      <c r="H980" s="10">
        <v>2158</v>
      </c>
      <c r="I980" s="11">
        <f t="shared" si="30"/>
        <v>152.91936978683967</v>
      </c>
      <c r="J980" s="3" t="str">
        <f t="shared" si="31"/>
        <v>Low</v>
      </c>
    </row>
    <row r="981" spans="1:10">
      <c r="A981" s="7" t="s">
        <v>1036</v>
      </c>
      <c r="B981" s="7" t="s">
        <v>77</v>
      </c>
      <c r="C981" s="7" t="s">
        <v>12</v>
      </c>
      <c r="D981" s="22">
        <v>330000</v>
      </c>
      <c r="E981" s="7">
        <v>44</v>
      </c>
      <c r="F981" s="7">
        <v>3</v>
      </c>
      <c r="G981" s="7">
        <v>2.1</v>
      </c>
      <c r="H981" s="12">
        <v>2092</v>
      </c>
      <c r="I981" s="9">
        <f t="shared" si="30"/>
        <v>157.74378585086043</v>
      </c>
      <c r="J981" s="3" t="str">
        <f t="shared" si="31"/>
        <v>Low</v>
      </c>
    </row>
    <row r="982" spans="1:10">
      <c r="A982" s="4" t="s">
        <v>1037</v>
      </c>
      <c r="B982" s="4" t="s">
        <v>70</v>
      </c>
      <c r="C982" s="4" t="s">
        <v>12</v>
      </c>
      <c r="D982" s="21">
        <v>331000</v>
      </c>
      <c r="E982" s="4">
        <v>4</v>
      </c>
      <c r="F982" s="4">
        <v>3</v>
      </c>
      <c r="G982" s="4">
        <v>2.1</v>
      </c>
      <c r="H982" s="10">
        <v>2169</v>
      </c>
      <c r="I982" s="11">
        <f t="shared" si="30"/>
        <v>152.60488704472107</v>
      </c>
      <c r="J982" s="3" t="str">
        <f t="shared" si="31"/>
        <v>Low</v>
      </c>
    </row>
    <row r="983" spans="1:10">
      <c r="A983" s="7" t="s">
        <v>1038</v>
      </c>
      <c r="B983" s="7" t="s">
        <v>131</v>
      </c>
      <c r="C983" s="7" t="s">
        <v>12</v>
      </c>
      <c r="D983" s="22">
        <v>332500</v>
      </c>
      <c r="E983" s="7">
        <v>5</v>
      </c>
      <c r="F983" s="7">
        <v>3</v>
      </c>
      <c r="G983" s="7">
        <v>2</v>
      </c>
      <c r="H983" s="12">
        <v>1040</v>
      </c>
      <c r="I983" s="9">
        <f t="shared" si="30"/>
        <v>319.71153846153845</v>
      </c>
      <c r="J983" s="3" t="str">
        <f t="shared" si="31"/>
        <v>High</v>
      </c>
    </row>
    <row r="984" spans="1:10">
      <c r="A984" s="4" t="s">
        <v>1039</v>
      </c>
      <c r="B984" s="4" t="s">
        <v>131</v>
      </c>
      <c r="C984" s="4" t="s">
        <v>12</v>
      </c>
      <c r="D984" s="21">
        <v>332500</v>
      </c>
      <c r="E984" s="4">
        <v>3</v>
      </c>
      <c r="F984" s="4">
        <v>3</v>
      </c>
      <c r="G984" s="4">
        <v>2</v>
      </c>
      <c r="H984" s="10">
        <v>1280</v>
      </c>
      <c r="I984" s="11">
        <f t="shared" si="30"/>
        <v>259.765625</v>
      </c>
      <c r="J984" s="3" t="str">
        <f t="shared" si="31"/>
        <v>Medium</v>
      </c>
    </row>
    <row r="985" spans="1:10">
      <c r="A985" s="7" t="s">
        <v>1040</v>
      </c>
      <c r="B985" s="7" t="s">
        <v>18</v>
      </c>
      <c r="C985" s="7" t="s">
        <v>12</v>
      </c>
      <c r="D985" s="22">
        <v>334000</v>
      </c>
      <c r="E985" s="7">
        <v>8</v>
      </c>
      <c r="F985" s="7">
        <v>3</v>
      </c>
      <c r="G985" s="7">
        <v>2.1</v>
      </c>
      <c r="H985" s="12">
        <v>1589</v>
      </c>
      <c r="I985" s="9">
        <f t="shared" si="30"/>
        <v>210.19509125235999</v>
      </c>
      <c r="J985" s="3" t="str">
        <f t="shared" si="31"/>
        <v>Medium</v>
      </c>
    </row>
    <row r="986" spans="1:10">
      <c r="A986" s="4" t="s">
        <v>1041</v>
      </c>
      <c r="B986" s="4" t="s">
        <v>11</v>
      </c>
      <c r="C986" s="4" t="s">
        <v>12</v>
      </c>
      <c r="D986" s="21">
        <v>335000</v>
      </c>
      <c r="E986" s="4">
        <v>18</v>
      </c>
      <c r="F986" s="4">
        <v>9</v>
      </c>
      <c r="G986" s="4">
        <v>4.3</v>
      </c>
      <c r="H986" s="10">
        <v>1970</v>
      </c>
      <c r="I986" s="11">
        <f t="shared" si="30"/>
        <v>170.05076142131981</v>
      </c>
      <c r="J986" s="3" t="str">
        <f t="shared" si="31"/>
        <v>Low</v>
      </c>
    </row>
    <row r="987" spans="1:10">
      <c r="A987" s="7" t="s">
        <v>1042</v>
      </c>
      <c r="B987" s="7" t="s">
        <v>93</v>
      </c>
      <c r="C987" s="7" t="s">
        <v>12</v>
      </c>
      <c r="D987" s="22">
        <v>335000</v>
      </c>
      <c r="E987" s="7">
        <v>7</v>
      </c>
      <c r="F987" s="7">
        <v>3</v>
      </c>
      <c r="G987" s="7">
        <v>1.1000000000000001</v>
      </c>
      <c r="H987" s="12">
        <v>1552</v>
      </c>
      <c r="I987" s="9">
        <f t="shared" si="30"/>
        <v>215.85051546391753</v>
      </c>
      <c r="J987" s="3" t="str">
        <f t="shared" si="31"/>
        <v>Medium</v>
      </c>
    </row>
    <row r="988" spans="1:10">
      <c r="A988" s="4" t="s">
        <v>1043</v>
      </c>
      <c r="B988" s="4" t="s">
        <v>18</v>
      </c>
      <c r="C988" s="4" t="s">
        <v>12</v>
      </c>
      <c r="D988" s="21">
        <v>335000</v>
      </c>
      <c r="E988" s="4">
        <v>8</v>
      </c>
      <c r="F988" s="4">
        <v>4</v>
      </c>
      <c r="G988" s="4">
        <v>2.1</v>
      </c>
      <c r="H988" s="10">
        <v>1734</v>
      </c>
      <c r="I988" s="11">
        <f t="shared" si="30"/>
        <v>193.19492502883506</v>
      </c>
      <c r="J988" s="3" t="str">
        <f t="shared" si="31"/>
        <v>Low</v>
      </c>
    </row>
    <row r="989" spans="1:10">
      <c r="A989" s="7" t="s">
        <v>1044</v>
      </c>
      <c r="B989" s="7" t="s">
        <v>212</v>
      </c>
      <c r="C989" s="7" t="s">
        <v>12</v>
      </c>
      <c r="D989" s="22">
        <v>335000</v>
      </c>
      <c r="E989" s="7">
        <v>5</v>
      </c>
      <c r="F989" s="7">
        <v>3</v>
      </c>
      <c r="G989" s="7">
        <v>1.1000000000000001</v>
      </c>
      <c r="H989" s="12">
        <v>1274</v>
      </c>
      <c r="I989" s="9">
        <f t="shared" si="30"/>
        <v>262.9513343799058</v>
      </c>
      <c r="J989" s="3" t="str">
        <f t="shared" si="31"/>
        <v>Medium</v>
      </c>
    </row>
    <row r="990" spans="1:10">
      <c r="A990" s="4" t="s">
        <v>1045</v>
      </c>
      <c r="B990" s="4" t="s">
        <v>131</v>
      </c>
      <c r="C990" s="4" t="s">
        <v>12</v>
      </c>
      <c r="D990" s="21">
        <v>335000</v>
      </c>
      <c r="E990" s="4">
        <v>11</v>
      </c>
      <c r="F990" s="4">
        <v>3</v>
      </c>
      <c r="G990" s="4">
        <v>1</v>
      </c>
      <c r="H990" s="10">
        <v>1125</v>
      </c>
      <c r="I990" s="11">
        <f t="shared" si="30"/>
        <v>297.77777777777777</v>
      </c>
      <c r="J990" s="3" t="str">
        <f t="shared" si="31"/>
        <v>Medium</v>
      </c>
    </row>
    <row r="991" spans="1:10">
      <c r="A991" s="7" t="s">
        <v>1046</v>
      </c>
      <c r="B991" s="7" t="s">
        <v>381</v>
      </c>
      <c r="C991" s="7" t="s">
        <v>12</v>
      </c>
      <c r="D991" s="22">
        <v>335000</v>
      </c>
      <c r="E991" s="7">
        <v>5</v>
      </c>
      <c r="F991" s="7">
        <v>4</v>
      </c>
      <c r="G991" s="7">
        <v>2.1</v>
      </c>
      <c r="H991" s="12">
        <v>2054</v>
      </c>
      <c r="I991" s="9">
        <f t="shared" si="30"/>
        <v>163.09639727361247</v>
      </c>
      <c r="J991" s="3" t="str">
        <f t="shared" si="31"/>
        <v>Low</v>
      </c>
    </row>
    <row r="992" spans="1:10">
      <c r="A992" s="4" t="s">
        <v>1047</v>
      </c>
      <c r="B992" s="4" t="s">
        <v>282</v>
      </c>
      <c r="C992" s="4" t="s">
        <v>12</v>
      </c>
      <c r="D992" s="21">
        <v>335000</v>
      </c>
      <c r="E992" s="4">
        <v>44</v>
      </c>
      <c r="F992" s="4">
        <v>3</v>
      </c>
      <c r="G992" s="4">
        <v>2</v>
      </c>
      <c r="H992" s="10">
        <v>1125</v>
      </c>
      <c r="I992" s="11">
        <f t="shared" si="30"/>
        <v>297.77777777777777</v>
      </c>
      <c r="J992" s="3" t="str">
        <f t="shared" si="31"/>
        <v>Medium</v>
      </c>
    </row>
    <row r="993" spans="1:10">
      <c r="A993" s="7" t="s">
        <v>1048</v>
      </c>
      <c r="B993" s="7" t="s">
        <v>16</v>
      </c>
      <c r="C993" s="7" t="s">
        <v>12</v>
      </c>
      <c r="D993" s="22">
        <v>335000</v>
      </c>
      <c r="E993" s="7">
        <v>5</v>
      </c>
      <c r="F993" s="7">
        <v>3</v>
      </c>
      <c r="G993" s="7">
        <v>2</v>
      </c>
      <c r="H993" s="12">
        <v>1418</v>
      </c>
      <c r="I993" s="9">
        <f t="shared" si="30"/>
        <v>236.24823695345557</v>
      </c>
      <c r="J993" s="3" t="str">
        <f t="shared" si="31"/>
        <v>Medium</v>
      </c>
    </row>
    <row r="994" spans="1:10">
      <c r="A994" s="4" t="s">
        <v>1049</v>
      </c>
      <c r="B994" s="4" t="s">
        <v>331</v>
      </c>
      <c r="C994" s="4" t="s">
        <v>12</v>
      </c>
      <c r="D994" s="21">
        <v>335000</v>
      </c>
      <c r="E994" s="4">
        <v>6</v>
      </c>
      <c r="F994" s="4">
        <v>2</v>
      </c>
      <c r="G994" s="4">
        <v>1.1000000000000001</v>
      </c>
      <c r="H994" s="10">
        <v>1423</v>
      </c>
      <c r="I994" s="11">
        <f t="shared" si="30"/>
        <v>235.41813070976809</v>
      </c>
      <c r="J994" s="3" t="str">
        <f t="shared" si="31"/>
        <v>Medium</v>
      </c>
    </row>
    <row r="995" spans="1:10">
      <c r="A995" s="7" t="s">
        <v>1050</v>
      </c>
      <c r="B995" s="7" t="s">
        <v>1051</v>
      </c>
      <c r="C995" s="7" t="s">
        <v>12</v>
      </c>
      <c r="D995" s="22">
        <v>335000</v>
      </c>
      <c r="E995" s="7">
        <v>8</v>
      </c>
      <c r="F995" s="7">
        <v>3</v>
      </c>
      <c r="G995" s="7">
        <v>1.1000000000000001</v>
      </c>
      <c r="H995" s="12">
        <v>1520</v>
      </c>
      <c r="I995" s="9">
        <f t="shared" si="30"/>
        <v>220.39473684210526</v>
      </c>
      <c r="J995" s="3" t="str">
        <f t="shared" si="31"/>
        <v>Medium</v>
      </c>
    </row>
    <row r="996" spans="1:10">
      <c r="A996" s="4" t="s">
        <v>1052</v>
      </c>
      <c r="B996" s="4" t="s">
        <v>29</v>
      </c>
      <c r="C996" s="4" t="s">
        <v>12</v>
      </c>
      <c r="D996" s="21">
        <v>335000</v>
      </c>
      <c r="E996" s="4">
        <v>94</v>
      </c>
      <c r="F996" s="4">
        <v>3</v>
      </c>
      <c r="G996" s="4">
        <v>2</v>
      </c>
      <c r="H996" s="10">
        <v>1385</v>
      </c>
      <c r="I996" s="11">
        <f t="shared" si="30"/>
        <v>241.87725631768953</v>
      </c>
      <c r="J996" s="3" t="str">
        <f t="shared" si="31"/>
        <v>Medium</v>
      </c>
    </row>
    <row r="997" spans="1:10">
      <c r="A997" s="7" t="s">
        <v>1053</v>
      </c>
      <c r="B997" s="7" t="s">
        <v>553</v>
      </c>
      <c r="C997" s="7" t="s">
        <v>12</v>
      </c>
      <c r="D997" s="22">
        <v>336000</v>
      </c>
      <c r="E997" s="7">
        <v>6</v>
      </c>
      <c r="F997" s="7">
        <v>3</v>
      </c>
      <c r="G997" s="7">
        <v>2</v>
      </c>
      <c r="H997" s="12">
        <v>1201</v>
      </c>
      <c r="I997" s="9">
        <f t="shared" si="30"/>
        <v>279.76686094920899</v>
      </c>
      <c r="J997" s="3" t="str">
        <f t="shared" si="31"/>
        <v>Medium</v>
      </c>
    </row>
    <row r="998" spans="1:10">
      <c r="A998" s="4" t="s">
        <v>1054</v>
      </c>
      <c r="B998" s="4" t="s">
        <v>268</v>
      </c>
      <c r="C998" s="4" t="s">
        <v>12</v>
      </c>
      <c r="D998" s="21">
        <v>336000</v>
      </c>
      <c r="E998" s="4">
        <v>17</v>
      </c>
      <c r="F998" s="4">
        <v>3</v>
      </c>
      <c r="G998" s="4">
        <v>2.1</v>
      </c>
      <c r="H998" s="10">
        <v>2304</v>
      </c>
      <c r="I998" s="11">
        <f t="shared" si="30"/>
        <v>145.83333333333334</v>
      </c>
      <c r="J998" s="3" t="str">
        <f t="shared" si="31"/>
        <v>Low</v>
      </c>
    </row>
    <row r="999" spans="1:10">
      <c r="A999" s="7" t="s">
        <v>1055</v>
      </c>
      <c r="B999" s="7" t="s">
        <v>212</v>
      </c>
      <c r="C999" s="7" t="s">
        <v>12</v>
      </c>
      <c r="D999" s="22">
        <v>337500</v>
      </c>
      <c r="E999" s="7">
        <v>38</v>
      </c>
      <c r="F999" s="7">
        <v>3</v>
      </c>
      <c r="G999" s="7">
        <v>2</v>
      </c>
      <c r="H999" s="12">
        <v>1404</v>
      </c>
      <c r="I999" s="9">
        <f t="shared" si="30"/>
        <v>240.38461538461539</v>
      </c>
      <c r="J999" s="3" t="str">
        <f t="shared" si="31"/>
        <v>Medium</v>
      </c>
    </row>
    <row r="1000" spans="1:10">
      <c r="A1000" s="4" t="s">
        <v>1056</v>
      </c>
      <c r="B1000" s="4" t="s">
        <v>212</v>
      </c>
      <c r="C1000" s="4" t="s">
        <v>12</v>
      </c>
      <c r="D1000" s="21">
        <v>337500</v>
      </c>
      <c r="E1000" s="4">
        <v>8</v>
      </c>
      <c r="F1000" s="4">
        <v>3</v>
      </c>
      <c r="G1000" s="4">
        <v>2</v>
      </c>
      <c r="H1000" s="10">
        <v>1404</v>
      </c>
      <c r="I1000" s="11">
        <f t="shared" si="30"/>
        <v>240.38461538461539</v>
      </c>
      <c r="J1000" s="3" t="str">
        <f t="shared" si="31"/>
        <v>Medium</v>
      </c>
    </row>
    <row r="1001" spans="1:10">
      <c r="A1001" s="7" t="s">
        <v>1057</v>
      </c>
      <c r="B1001" s="7" t="s">
        <v>823</v>
      </c>
      <c r="C1001" s="7" t="s">
        <v>12</v>
      </c>
      <c r="D1001" s="22">
        <v>337500</v>
      </c>
      <c r="E1001" s="7">
        <v>61</v>
      </c>
      <c r="F1001" s="7">
        <v>3</v>
      </c>
      <c r="G1001" s="7">
        <v>2.1</v>
      </c>
      <c r="H1001" s="12">
        <v>1686</v>
      </c>
      <c r="I1001" s="9">
        <f t="shared" si="30"/>
        <v>200.1779359430605</v>
      </c>
      <c r="J1001" s="3" t="str">
        <f t="shared" si="31"/>
        <v>Medium</v>
      </c>
    </row>
    <row r="1002" spans="1:10">
      <c r="A1002" s="4" t="s">
        <v>1058</v>
      </c>
      <c r="B1002" s="4" t="s">
        <v>229</v>
      </c>
      <c r="C1002" s="4" t="s">
        <v>12</v>
      </c>
      <c r="D1002" s="21">
        <v>338000</v>
      </c>
      <c r="E1002" s="4">
        <v>5</v>
      </c>
      <c r="F1002" s="4">
        <v>4</v>
      </c>
      <c r="G1002" s="4">
        <v>2</v>
      </c>
      <c r="H1002" s="10">
        <v>1841</v>
      </c>
      <c r="I1002" s="11">
        <f t="shared" si="30"/>
        <v>183.59587180879956</v>
      </c>
      <c r="J1002" s="3" t="str">
        <f t="shared" si="31"/>
        <v>Low</v>
      </c>
    </row>
    <row r="1003" spans="1:10">
      <c r="A1003" s="7" t="s">
        <v>1059</v>
      </c>
      <c r="B1003" s="7" t="s">
        <v>11</v>
      </c>
      <c r="C1003" s="7" t="s">
        <v>12</v>
      </c>
      <c r="D1003" s="22">
        <v>338000</v>
      </c>
      <c r="E1003" s="7">
        <v>69</v>
      </c>
      <c r="F1003" s="7">
        <v>3</v>
      </c>
      <c r="G1003" s="7">
        <v>2.1</v>
      </c>
      <c r="H1003" s="12">
        <v>1940</v>
      </c>
      <c r="I1003" s="9">
        <f t="shared" si="30"/>
        <v>174.22680412371133</v>
      </c>
      <c r="J1003" s="3" t="str">
        <f t="shared" si="31"/>
        <v>Low</v>
      </c>
    </row>
    <row r="1004" spans="1:10">
      <c r="A1004" s="4" t="s">
        <v>1060</v>
      </c>
      <c r="B1004" s="4" t="s">
        <v>70</v>
      </c>
      <c r="C1004" s="4" t="s">
        <v>12</v>
      </c>
      <c r="D1004" s="21">
        <v>339000</v>
      </c>
      <c r="E1004" s="4">
        <v>4</v>
      </c>
      <c r="F1004" s="4">
        <v>4</v>
      </c>
      <c r="G1004" s="4">
        <v>2.1</v>
      </c>
      <c r="H1004" s="10">
        <v>2028</v>
      </c>
      <c r="I1004" s="11">
        <f t="shared" si="30"/>
        <v>167.15976331360946</v>
      </c>
      <c r="J1004" s="3" t="str">
        <f t="shared" si="31"/>
        <v>Low</v>
      </c>
    </row>
    <row r="1005" spans="1:10">
      <c r="A1005" s="7" t="s">
        <v>1061</v>
      </c>
      <c r="B1005" s="7" t="s">
        <v>131</v>
      </c>
      <c r="C1005" s="7" t="s">
        <v>12</v>
      </c>
      <c r="D1005" s="22">
        <v>339700</v>
      </c>
      <c r="E1005" s="7">
        <v>32</v>
      </c>
      <c r="F1005" s="7">
        <v>3</v>
      </c>
      <c r="G1005" s="7">
        <v>1</v>
      </c>
      <c r="H1005" s="12">
        <v>1003</v>
      </c>
      <c r="I1005" s="9">
        <f t="shared" si="30"/>
        <v>338.68394815553341</v>
      </c>
      <c r="J1005" s="3" t="str">
        <f t="shared" si="31"/>
        <v>High</v>
      </c>
    </row>
    <row r="1006" spans="1:10">
      <c r="A1006" s="4" t="s">
        <v>1062</v>
      </c>
      <c r="B1006" s="4" t="s">
        <v>544</v>
      </c>
      <c r="C1006" s="4" t="s">
        <v>12</v>
      </c>
      <c r="D1006" s="21">
        <v>339700</v>
      </c>
      <c r="E1006" s="4">
        <v>44</v>
      </c>
      <c r="F1006" s="4">
        <v>3</v>
      </c>
      <c r="G1006" s="4">
        <v>3</v>
      </c>
      <c r="H1006" s="10">
        <v>1644</v>
      </c>
      <c r="I1006" s="11">
        <f t="shared" si="30"/>
        <v>206.6301703163017</v>
      </c>
      <c r="J1006" s="3" t="str">
        <f t="shared" si="31"/>
        <v>Medium</v>
      </c>
    </row>
    <row r="1007" spans="1:10">
      <c r="A1007" s="7" t="s">
        <v>1063</v>
      </c>
      <c r="B1007" s="7" t="s">
        <v>878</v>
      </c>
      <c r="C1007" s="7" t="s">
        <v>12</v>
      </c>
      <c r="D1007" s="22">
        <v>339900</v>
      </c>
      <c r="E1007" s="7">
        <v>12</v>
      </c>
      <c r="F1007" s="7">
        <v>4</v>
      </c>
      <c r="G1007" s="7">
        <v>2.1</v>
      </c>
      <c r="H1007" s="12">
        <v>2062</v>
      </c>
      <c r="I1007" s="9">
        <f t="shared" si="30"/>
        <v>164.83996120271581</v>
      </c>
      <c r="J1007" s="3" t="str">
        <f t="shared" si="31"/>
        <v>Low</v>
      </c>
    </row>
    <row r="1008" spans="1:10">
      <c r="A1008" s="4" t="s">
        <v>1064</v>
      </c>
      <c r="B1008" s="4" t="s">
        <v>18</v>
      </c>
      <c r="C1008" s="4" t="s">
        <v>12</v>
      </c>
      <c r="D1008" s="21">
        <v>339900</v>
      </c>
      <c r="E1008" s="4">
        <v>130</v>
      </c>
      <c r="F1008" s="4">
        <v>3</v>
      </c>
      <c r="G1008" s="4">
        <v>2.1</v>
      </c>
      <c r="H1008" s="10">
        <v>1574</v>
      </c>
      <c r="I1008" s="11">
        <f t="shared" si="30"/>
        <v>215.94663278271918</v>
      </c>
      <c r="J1008" s="3" t="str">
        <f t="shared" si="31"/>
        <v>Medium</v>
      </c>
    </row>
    <row r="1009" spans="1:10">
      <c r="A1009" s="7" t="s">
        <v>1065</v>
      </c>
      <c r="B1009" s="7" t="s">
        <v>878</v>
      </c>
      <c r="C1009" s="7" t="s">
        <v>12</v>
      </c>
      <c r="D1009" s="22">
        <v>340000</v>
      </c>
      <c r="E1009" s="7">
        <v>28</v>
      </c>
      <c r="F1009" s="7">
        <v>3</v>
      </c>
      <c r="G1009" s="7">
        <v>2</v>
      </c>
      <c r="H1009" s="12">
        <v>1439</v>
      </c>
      <c r="I1009" s="9">
        <f t="shared" si="30"/>
        <v>236.27519110493398</v>
      </c>
      <c r="J1009" s="3" t="str">
        <f t="shared" si="31"/>
        <v>Medium</v>
      </c>
    </row>
    <row r="1010" spans="1:10">
      <c r="A1010" s="4" t="s">
        <v>1066</v>
      </c>
      <c r="B1010" s="4" t="s">
        <v>77</v>
      </c>
      <c r="C1010" s="4" t="s">
        <v>12</v>
      </c>
      <c r="D1010" s="21">
        <v>340000</v>
      </c>
      <c r="E1010" s="4">
        <v>23</v>
      </c>
      <c r="F1010" s="4">
        <v>3</v>
      </c>
      <c r="G1010" s="4">
        <v>3</v>
      </c>
      <c r="H1010" s="10">
        <v>1997</v>
      </c>
      <c r="I1010" s="11">
        <f t="shared" si="30"/>
        <v>170.25538307461193</v>
      </c>
      <c r="J1010" s="3" t="str">
        <f t="shared" si="31"/>
        <v>Low</v>
      </c>
    </row>
    <row r="1011" spans="1:10">
      <c r="A1011" s="7" t="s">
        <v>1067</v>
      </c>
      <c r="B1011" s="7" t="s">
        <v>77</v>
      </c>
      <c r="C1011" s="7" t="s">
        <v>12</v>
      </c>
      <c r="D1011" s="22">
        <v>340000</v>
      </c>
      <c r="E1011" s="7">
        <v>13</v>
      </c>
      <c r="F1011" s="7">
        <v>3</v>
      </c>
      <c r="G1011" s="7">
        <v>3</v>
      </c>
      <c r="H1011" s="12">
        <v>1997</v>
      </c>
      <c r="I1011" s="9">
        <f t="shared" si="30"/>
        <v>170.25538307461193</v>
      </c>
      <c r="J1011" s="3" t="str">
        <f t="shared" si="31"/>
        <v>Low</v>
      </c>
    </row>
    <row r="1012" spans="1:10">
      <c r="A1012" s="4" t="s">
        <v>1068</v>
      </c>
      <c r="B1012" s="4" t="s">
        <v>331</v>
      </c>
      <c r="C1012" s="4" t="s">
        <v>12</v>
      </c>
      <c r="D1012" s="21">
        <v>340000</v>
      </c>
      <c r="E1012" s="4">
        <v>5</v>
      </c>
      <c r="F1012" s="4">
        <v>4</v>
      </c>
      <c r="G1012" s="4">
        <v>2</v>
      </c>
      <c r="H1012" s="10">
        <v>1564</v>
      </c>
      <c r="I1012" s="11">
        <f t="shared" si="30"/>
        <v>217.39130434782609</v>
      </c>
      <c r="J1012" s="3" t="str">
        <f t="shared" si="31"/>
        <v>Medium</v>
      </c>
    </row>
    <row r="1013" spans="1:10">
      <c r="A1013" s="7" t="s">
        <v>1069</v>
      </c>
      <c r="B1013" s="7" t="s">
        <v>331</v>
      </c>
      <c r="C1013" s="7" t="s">
        <v>12</v>
      </c>
      <c r="D1013" s="22">
        <v>340000</v>
      </c>
      <c r="E1013" s="7">
        <v>3</v>
      </c>
      <c r="F1013" s="7">
        <v>3</v>
      </c>
      <c r="G1013" s="7">
        <v>2</v>
      </c>
      <c r="H1013" s="12">
        <v>1140</v>
      </c>
      <c r="I1013" s="9">
        <f t="shared" si="30"/>
        <v>298.24561403508773</v>
      </c>
      <c r="J1013" s="3" t="str">
        <f t="shared" si="31"/>
        <v>Medium</v>
      </c>
    </row>
    <row r="1014" spans="1:10">
      <c r="A1014" s="4" t="s">
        <v>1070</v>
      </c>
      <c r="B1014" s="4" t="s">
        <v>679</v>
      </c>
      <c r="C1014" s="4" t="s">
        <v>12</v>
      </c>
      <c r="D1014" s="21">
        <v>340000</v>
      </c>
      <c r="E1014" s="4">
        <v>0</v>
      </c>
      <c r="F1014" s="4">
        <v>3</v>
      </c>
      <c r="G1014" s="4">
        <v>1</v>
      </c>
      <c r="H1014" s="10">
        <v>1062</v>
      </c>
      <c r="I1014" s="11">
        <f t="shared" si="30"/>
        <v>320.15065913371001</v>
      </c>
      <c r="J1014" s="3" t="str">
        <f t="shared" si="31"/>
        <v>High</v>
      </c>
    </row>
    <row r="1015" spans="1:10">
      <c r="A1015" s="7" t="s">
        <v>1071</v>
      </c>
      <c r="B1015" s="7" t="s">
        <v>318</v>
      </c>
      <c r="C1015" s="7" t="s">
        <v>12</v>
      </c>
      <c r="D1015" s="22">
        <v>340000</v>
      </c>
      <c r="E1015" s="7">
        <v>2</v>
      </c>
      <c r="F1015" s="7">
        <v>3</v>
      </c>
      <c r="G1015" s="7">
        <v>1.1000000000000001</v>
      </c>
      <c r="H1015" s="12">
        <v>1648</v>
      </c>
      <c r="I1015" s="9">
        <f t="shared" si="30"/>
        <v>206.3106796116505</v>
      </c>
      <c r="J1015" s="3" t="str">
        <f t="shared" si="31"/>
        <v>Medium</v>
      </c>
    </row>
    <row r="1016" spans="1:10">
      <c r="A1016" s="4" t="s">
        <v>1072</v>
      </c>
      <c r="B1016" s="4" t="s">
        <v>42</v>
      </c>
      <c r="C1016" s="4" t="s">
        <v>12</v>
      </c>
      <c r="D1016" s="21">
        <v>340000</v>
      </c>
      <c r="E1016" s="4">
        <v>4</v>
      </c>
      <c r="F1016" s="4">
        <v>4</v>
      </c>
      <c r="G1016" s="4">
        <v>1.1000000000000001</v>
      </c>
      <c r="H1016" s="10">
        <v>1672</v>
      </c>
      <c r="I1016" s="11">
        <f t="shared" si="30"/>
        <v>203.34928229665073</v>
      </c>
      <c r="J1016" s="3" t="str">
        <f t="shared" si="31"/>
        <v>Medium</v>
      </c>
    </row>
    <row r="1017" spans="1:10">
      <c r="A1017" s="7" t="s">
        <v>1073</v>
      </c>
      <c r="B1017" s="7" t="s">
        <v>25</v>
      </c>
      <c r="C1017" s="7" t="s">
        <v>12</v>
      </c>
      <c r="D1017" s="22">
        <v>340000</v>
      </c>
      <c r="E1017" s="7">
        <v>10</v>
      </c>
      <c r="F1017" s="7">
        <v>4</v>
      </c>
      <c r="G1017" s="7">
        <v>2.1</v>
      </c>
      <c r="H1017" s="12">
        <v>2065</v>
      </c>
      <c r="I1017" s="9">
        <f t="shared" si="30"/>
        <v>164.64891041162227</v>
      </c>
      <c r="J1017" s="3" t="str">
        <f t="shared" si="31"/>
        <v>Low</v>
      </c>
    </row>
    <row r="1018" spans="1:10">
      <c r="A1018" s="4" t="s">
        <v>1074</v>
      </c>
      <c r="B1018" s="4" t="s">
        <v>131</v>
      </c>
      <c r="C1018" s="4" t="s">
        <v>12</v>
      </c>
      <c r="D1018" s="21">
        <v>340000</v>
      </c>
      <c r="E1018" s="4">
        <v>3</v>
      </c>
      <c r="F1018" s="4">
        <v>2</v>
      </c>
      <c r="G1018" s="4">
        <v>2</v>
      </c>
      <c r="H1018" s="4">
        <v>900</v>
      </c>
      <c r="I1018" s="11">
        <f t="shared" si="30"/>
        <v>377.77777777777777</v>
      </c>
      <c r="J1018" s="3" t="str">
        <f t="shared" si="31"/>
        <v>High</v>
      </c>
    </row>
    <row r="1019" spans="1:10">
      <c r="A1019" s="7" t="s">
        <v>1075</v>
      </c>
      <c r="B1019" s="7" t="s">
        <v>36</v>
      </c>
      <c r="C1019" s="7" t="s">
        <v>12</v>
      </c>
      <c r="D1019" s="22">
        <v>340000</v>
      </c>
      <c r="E1019" s="7">
        <v>5</v>
      </c>
      <c r="F1019" s="7">
        <v>4</v>
      </c>
      <c r="G1019" s="7">
        <v>2.1</v>
      </c>
      <c r="H1019" s="12">
        <v>2400</v>
      </c>
      <c r="I1019" s="9">
        <f t="shared" si="30"/>
        <v>141.66666666666666</v>
      </c>
      <c r="J1019" s="3" t="str">
        <f t="shared" si="31"/>
        <v>Low</v>
      </c>
    </row>
    <row r="1020" spans="1:10">
      <c r="A1020" s="4" t="s">
        <v>1076</v>
      </c>
      <c r="B1020" s="4" t="s">
        <v>679</v>
      </c>
      <c r="C1020" s="4" t="s">
        <v>12</v>
      </c>
      <c r="D1020" s="21">
        <v>340000</v>
      </c>
      <c r="E1020" s="4">
        <v>44</v>
      </c>
      <c r="F1020" s="4">
        <v>3</v>
      </c>
      <c r="G1020" s="4">
        <v>1</v>
      </c>
      <c r="H1020" s="10">
        <v>1021</v>
      </c>
      <c r="I1020" s="11">
        <f t="shared" si="30"/>
        <v>333.00685602350637</v>
      </c>
      <c r="J1020" s="3" t="str">
        <f t="shared" si="31"/>
        <v>High</v>
      </c>
    </row>
    <row r="1021" spans="1:10">
      <c r="A1021" s="7" t="s">
        <v>1077</v>
      </c>
      <c r="B1021" s="7" t="s">
        <v>948</v>
      </c>
      <c r="C1021" s="7" t="s">
        <v>12</v>
      </c>
      <c r="D1021" s="22">
        <v>340000</v>
      </c>
      <c r="E1021" s="7">
        <v>56</v>
      </c>
      <c r="F1021" s="7">
        <v>3</v>
      </c>
      <c r="G1021" s="7">
        <v>1.1000000000000001</v>
      </c>
      <c r="H1021" s="12">
        <v>1500</v>
      </c>
      <c r="I1021" s="9">
        <f t="shared" si="30"/>
        <v>226.66666666666666</v>
      </c>
      <c r="J1021" s="3" t="str">
        <f t="shared" si="31"/>
        <v>Medium</v>
      </c>
    </row>
    <row r="1022" spans="1:10">
      <c r="A1022" s="4" t="s">
        <v>1078</v>
      </c>
      <c r="B1022" s="4" t="s">
        <v>70</v>
      </c>
      <c r="C1022" s="4" t="s">
        <v>12</v>
      </c>
      <c r="D1022" s="21">
        <v>340000</v>
      </c>
      <c r="E1022" s="4">
        <v>82</v>
      </c>
      <c r="F1022" s="4">
        <v>3</v>
      </c>
      <c r="G1022" s="4">
        <v>2</v>
      </c>
      <c r="H1022" s="10">
        <v>1945</v>
      </c>
      <c r="I1022" s="11">
        <f t="shared" si="30"/>
        <v>174.80719794344472</v>
      </c>
      <c r="J1022" s="3" t="str">
        <f t="shared" si="31"/>
        <v>Low</v>
      </c>
    </row>
    <row r="1023" spans="1:10">
      <c r="A1023" s="7" t="s">
        <v>1079</v>
      </c>
      <c r="B1023" s="7" t="s">
        <v>363</v>
      </c>
      <c r="C1023" s="7" t="s">
        <v>12</v>
      </c>
      <c r="D1023" s="22">
        <v>340000</v>
      </c>
      <c r="E1023" s="7">
        <v>117</v>
      </c>
      <c r="F1023" s="7">
        <v>3</v>
      </c>
      <c r="G1023" s="7">
        <v>1.1000000000000001</v>
      </c>
      <c r="H1023" s="12">
        <v>1306</v>
      </c>
      <c r="I1023" s="9">
        <f t="shared" si="30"/>
        <v>260.33690658499233</v>
      </c>
      <c r="J1023" s="3" t="str">
        <f t="shared" si="31"/>
        <v>Medium</v>
      </c>
    </row>
    <row r="1024" spans="1:10">
      <c r="A1024" s="4" t="s">
        <v>1080</v>
      </c>
      <c r="B1024" s="4" t="s">
        <v>117</v>
      </c>
      <c r="C1024" s="4" t="s">
        <v>12</v>
      </c>
      <c r="D1024" s="21">
        <v>340000</v>
      </c>
      <c r="E1024" s="4">
        <v>179</v>
      </c>
      <c r="F1024" s="4">
        <v>2</v>
      </c>
      <c r="G1024" s="4">
        <v>1</v>
      </c>
      <c r="H1024" s="4">
        <v>964</v>
      </c>
      <c r="I1024" s="11">
        <f t="shared" si="30"/>
        <v>352.69709543568467</v>
      </c>
      <c r="J1024" s="3" t="str">
        <f t="shared" si="31"/>
        <v>High</v>
      </c>
    </row>
    <row r="1025" spans="1:10">
      <c r="A1025" s="7" t="s">
        <v>1081</v>
      </c>
      <c r="B1025" s="7" t="s">
        <v>268</v>
      </c>
      <c r="C1025" s="7" t="s">
        <v>12</v>
      </c>
      <c r="D1025" s="22">
        <v>340000</v>
      </c>
      <c r="E1025" s="7">
        <v>152</v>
      </c>
      <c r="F1025" s="7">
        <v>3</v>
      </c>
      <c r="G1025" s="7">
        <v>1</v>
      </c>
      <c r="H1025" s="12">
        <v>1000</v>
      </c>
      <c r="I1025" s="9">
        <f t="shared" si="30"/>
        <v>340</v>
      </c>
      <c r="J1025" s="3" t="str">
        <f t="shared" si="31"/>
        <v>High</v>
      </c>
    </row>
    <row r="1026" spans="1:10">
      <c r="A1026" s="4" t="s">
        <v>1082</v>
      </c>
      <c r="B1026" s="4" t="s">
        <v>56</v>
      </c>
      <c r="C1026" s="4" t="s">
        <v>12</v>
      </c>
      <c r="D1026" s="21">
        <v>341000</v>
      </c>
      <c r="E1026" s="4">
        <v>5</v>
      </c>
      <c r="F1026" s="4">
        <v>3</v>
      </c>
      <c r="G1026" s="4">
        <v>2</v>
      </c>
      <c r="H1026" s="10">
        <v>1603</v>
      </c>
      <c r="I1026" s="11">
        <f t="shared" ref="I1026:I1089" si="32">D1026/H1026</f>
        <v>212.72613849033064</v>
      </c>
      <c r="J1026" s="3" t="str">
        <f t="shared" ref="J1026:J1089" si="33">IF(I1026 &gt; 300, "High", IF(AND(I1026 &lt;= 300, I1026 &gt; 200), "Medium", "Low"))</f>
        <v>Medium</v>
      </c>
    </row>
    <row r="1027" spans="1:10">
      <c r="A1027" s="7" t="s">
        <v>1083</v>
      </c>
      <c r="B1027" s="7" t="s">
        <v>131</v>
      </c>
      <c r="C1027" s="7" t="s">
        <v>12</v>
      </c>
      <c r="D1027" s="22">
        <v>341000</v>
      </c>
      <c r="E1027" s="7">
        <v>45</v>
      </c>
      <c r="F1027" s="7">
        <v>3</v>
      </c>
      <c r="G1027" s="7">
        <v>2</v>
      </c>
      <c r="H1027" s="12">
        <v>1247</v>
      </c>
      <c r="I1027" s="9">
        <f t="shared" si="32"/>
        <v>273.45629510825984</v>
      </c>
      <c r="J1027" s="3" t="str">
        <f t="shared" si="33"/>
        <v>Medium</v>
      </c>
    </row>
    <row r="1028" spans="1:10">
      <c r="A1028" s="4" t="s">
        <v>1084</v>
      </c>
      <c r="B1028" s="4" t="s">
        <v>960</v>
      </c>
      <c r="C1028" s="4" t="s">
        <v>12</v>
      </c>
      <c r="D1028" s="21">
        <v>341300</v>
      </c>
      <c r="E1028" s="4">
        <v>123</v>
      </c>
      <c r="F1028" s="4">
        <v>4</v>
      </c>
      <c r="G1028" s="4">
        <v>2.1</v>
      </c>
      <c r="H1028" s="10">
        <v>2023</v>
      </c>
      <c r="I1028" s="11">
        <f t="shared" si="32"/>
        <v>168.70983687592684</v>
      </c>
      <c r="J1028" s="3" t="str">
        <f t="shared" si="33"/>
        <v>Low</v>
      </c>
    </row>
    <row r="1029" spans="1:10">
      <c r="A1029" s="7" t="s">
        <v>1085</v>
      </c>
      <c r="B1029" s="7" t="s">
        <v>56</v>
      </c>
      <c r="C1029" s="7" t="s">
        <v>12</v>
      </c>
      <c r="D1029" s="22">
        <v>343000</v>
      </c>
      <c r="E1029" s="7">
        <v>14</v>
      </c>
      <c r="F1029" s="7">
        <v>4</v>
      </c>
      <c r="G1029" s="7">
        <v>1.1000000000000001</v>
      </c>
      <c r="H1029" s="12">
        <v>1750</v>
      </c>
      <c r="I1029" s="9">
        <f t="shared" si="32"/>
        <v>196</v>
      </c>
      <c r="J1029" s="3" t="str">
        <f t="shared" si="33"/>
        <v>Low</v>
      </c>
    </row>
    <row r="1030" spans="1:10">
      <c r="A1030" s="4" t="s">
        <v>1086</v>
      </c>
      <c r="B1030" s="4" t="s">
        <v>70</v>
      </c>
      <c r="C1030" s="4" t="s">
        <v>12</v>
      </c>
      <c r="D1030" s="21">
        <v>345000</v>
      </c>
      <c r="E1030" s="4">
        <v>6</v>
      </c>
      <c r="F1030" s="4">
        <v>3</v>
      </c>
      <c r="G1030" s="4">
        <v>1.1000000000000001</v>
      </c>
      <c r="H1030" s="10">
        <v>1748</v>
      </c>
      <c r="I1030" s="11">
        <f t="shared" si="32"/>
        <v>197.36842105263159</v>
      </c>
      <c r="J1030" s="3" t="str">
        <f t="shared" si="33"/>
        <v>Low</v>
      </c>
    </row>
    <row r="1031" spans="1:10">
      <c r="A1031" s="7" t="s">
        <v>1087</v>
      </c>
      <c r="B1031" s="7" t="s">
        <v>131</v>
      </c>
      <c r="C1031" s="7" t="s">
        <v>12</v>
      </c>
      <c r="D1031" s="22">
        <v>345000</v>
      </c>
      <c r="E1031" s="7">
        <v>5</v>
      </c>
      <c r="F1031" s="7">
        <v>3</v>
      </c>
      <c r="G1031" s="7">
        <v>1.1000000000000001</v>
      </c>
      <c r="H1031" s="12">
        <v>1283</v>
      </c>
      <c r="I1031" s="9">
        <f t="shared" si="32"/>
        <v>268.90101325019486</v>
      </c>
      <c r="J1031" s="3" t="str">
        <f t="shared" si="33"/>
        <v>Medium</v>
      </c>
    </row>
    <row r="1032" spans="1:10">
      <c r="A1032" s="4" t="s">
        <v>1088</v>
      </c>
      <c r="B1032" s="4" t="s">
        <v>18</v>
      </c>
      <c r="C1032" s="4" t="s">
        <v>12</v>
      </c>
      <c r="D1032" s="21">
        <v>345000</v>
      </c>
      <c r="E1032" s="4">
        <v>2</v>
      </c>
      <c r="F1032" s="4">
        <v>3</v>
      </c>
      <c r="G1032" s="4">
        <v>2</v>
      </c>
      <c r="H1032" s="10">
        <v>1453</v>
      </c>
      <c r="I1032" s="11">
        <f t="shared" si="32"/>
        <v>237.43977976600138</v>
      </c>
      <c r="J1032" s="3" t="str">
        <f t="shared" si="33"/>
        <v>Medium</v>
      </c>
    </row>
    <row r="1033" spans="1:10">
      <c r="A1033" s="7" t="s">
        <v>1089</v>
      </c>
      <c r="B1033" s="7" t="s">
        <v>553</v>
      </c>
      <c r="C1033" s="7" t="s">
        <v>12</v>
      </c>
      <c r="D1033" s="22">
        <v>345000</v>
      </c>
      <c r="E1033" s="7">
        <v>6</v>
      </c>
      <c r="F1033" s="7">
        <v>4</v>
      </c>
      <c r="G1033" s="7">
        <v>2.1</v>
      </c>
      <c r="H1033" s="12">
        <v>1756</v>
      </c>
      <c r="I1033" s="9">
        <f t="shared" si="32"/>
        <v>196.46924829157174</v>
      </c>
      <c r="J1033" s="3" t="str">
        <f t="shared" si="33"/>
        <v>Low</v>
      </c>
    </row>
    <row r="1034" spans="1:10">
      <c r="A1034" s="4" t="s">
        <v>1090</v>
      </c>
      <c r="B1034" s="4" t="s">
        <v>212</v>
      </c>
      <c r="C1034" s="4" t="s">
        <v>12</v>
      </c>
      <c r="D1034" s="21">
        <v>345000</v>
      </c>
      <c r="E1034" s="4">
        <v>29</v>
      </c>
      <c r="F1034" s="4">
        <v>4</v>
      </c>
      <c r="G1034" s="4">
        <v>2</v>
      </c>
      <c r="H1034" s="10">
        <v>1613</v>
      </c>
      <c r="I1034" s="11">
        <f t="shared" si="32"/>
        <v>213.8871667699938</v>
      </c>
      <c r="J1034" s="3" t="str">
        <f t="shared" si="33"/>
        <v>Medium</v>
      </c>
    </row>
    <row r="1035" spans="1:10">
      <c r="A1035" s="7" t="s">
        <v>1091</v>
      </c>
      <c r="B1035" s="7" t="s">
        <v>363</v>
      </c>
      <c r="C1035" s="7" t="s">
        <v>12</v>
      </c>
      <c r="D1035" s="22">
        <v>345000</v>
      </c>
      <c r="E1035" s="7">
        <v>3</v>
      </c>
      <c r="F1035" s="7">
        <v>3</v>
      </c>
      <c r="G1035" s="7">
        <v>1.1000000000000001</v>
      </c>
      <c r="H1035" s="12">
        <v>1703</v>
      </c>
      <c r="I1035" s="9">
        <f t="shared" si="32"/>
        <v>202.58367586611863</v>
      </c>
      <c r="J1035" s="3" t="str">
        <f t="shared" si="33"/>
        <v>Medium</v>
      </c>
    </row>
    <row r="1036" spans="1:10">
      <c r="A1036" s="4" t="s">
        <v>1092</v>
      </c>
      <c r="B1036" s="4" t="s">
        <v>282</v>
      </c>
      <c r="C1036" s="4" t="s">
        <v>12</v>
      </c>
      <c r="D1036" s="21">
        <v>345000</v>
      </c>
      <c r="E1036" s="4">
        <v>12</v>
      </c>
      <c r="F1036" s="4">
        <v>3</v>
      </c>
      <c r="G1036" s="4">
        <v>2.1</v>
      </c>
      <c r="H1036" s="10">
        <v>1090</v>
      </c>
      <c r="I1036" s="11">
        <f t="shared" si="32"/>
        <v>316.51376146788994</v>
      </c>
      <c r="J1036" s="3" t="str">
        <f t="shared" si="33"/>
        <v>High</v>
      </c>
    </row>
    <row r="1037" spans="1:10">
      <c r="A1037" s="7" t="s">
        <v>1093</v>
      </c>
      <c r="B1037" s="7" t="s">
        <v>54</v>
      </c>
      <c r="C1037" s="7" t="s">
        <v>12</v>
      </c>
      <c r="D1037" s="22">
        <v>345000</v>
      </c>
      <c r="E1037" s="7">
        <v>8</v>
      </c>
      <c r="F1037" s="7">
        <v>3</v>
      </c>
      <c r="G1037" s="7">
        <v>2</v>
      </c>
      <c r="H1037" s="12">
        <v>1644</v>
      </c>
      <c r="I1037" s="9">
        <f t="shared" si="32"/>
        <v>209.85401459854015</v>
      </c>
      <c r="J1037" s="3" t="str">
        <f t="shared" si="33"/>
        <v>Medium</v>
      </c>
    </row>
    <row r="1038" spans="1:10">
      <c r="A1038" s="4" t="s">
        <v>1094</v>
      </c>
      <c r="B1038" s="4" t="s">
        <v>18</v>
      </c>
      <c r="C1038" s="4" t="s">
        <v>12</v>
      </c>
      <c r="D1038" s="21">
        <v>345000</v>
      </c>
      <c r="E1038" s="4">
        <v>7</v>
      </c>
      <c r="F1038" s="4">
        <v>3</v>
      </c>
      <c r="G1038" s="4">
        <v>2</v>
      </c>
      <c r="H1038" s="10">
        <v>1700</v>
      </c>
      <c r="I1038" s="11">
        <f t="shared" si="32"/>
        <v>202.94117647058823</v>
      </c>
      <c r="J1038" s="3" t="str">
        <f t="shared" si="33"/>
        <v>Medium</v>
      </c>
    </row>
    <row r="1039" spans="1:10">
      <c r="A1039" s="7" t="s">
        <v>1095</v>
      </c>
      <c r="B1039" s="7" t="s">
        <v>18</v>
      </c>
      <c r="C1039" s="7" t="s">
        <v>12</v>
      </c>
      <c r="D1039" s="22">
        <v>345000</v>
      </c>
      <c r="E1039" s="7">
        <v>11</v>
      </c>
      <c r="F1039" s="7">
        <v>4</v>
      </c>
      <c r="G1039" s="7">
        <v>2</v>
      </c>
      <c r="H1039" s="12">
        <v>2258</v>
      </c>
      <c r="I1039" s="9">
        <f t="shared" si="32"/>
        <v>152.79007971656333</v>
      </c>
      <c r="J1039" s="3" t="str">
        <f t="shared" si="33"/>
        <v>Low</v>
      </c>
    </row>
    <row r="1040" spans="1:10">
      <c r="A1040" s="4" t="s">
        <v>1096</v>
      </c>
      <c r="B1040" s="4" t="s">
        <v>42</v>
      </c>
      <c r="C1040" s="4" t="s">
        <v>12</v>
      </c>
      <c r="D1040" s="21">
        <v>345000</v>
      </c>
      <c r="E1040" s="4">
        <v>34</v>
      </c>
      <c r="F1040" s="4">
        <v>3</v>
      </c>
      <c r="G1040" s="4">
        <v>2.1</v>
      </c>
      <c r="H1040" s="10">
        <v>1786</v>
      </c>
      <c r="I1040" s="11">
        <f t="shared" si="32"/>
        <v>193.16909294512877</v>
      </c>
      <c r="J1040" s="3" t="str">
        <f t="shared" si="33"/>
        <v>Low</v>
      </c>
    </row>
    <row r="1041" spans="1:10">
      <c r="A1041" s="7" t="s">
        <v>1097</v>
      </c>
      <c r="B1041" s="7" t="s">
        <v>54</v>
      </c>
      <c r="C1041" s="7" t="s">
        <v>12</v>
      </c>
      <c r="D1041" s="22">
        <v>345000</v>
      </c>
      <c r="E1041" s="7">
        <v>50</v>
      </c>
      <c r="F1041" s="7">
        <v>4</v>
      </c>
      <c r="G1041" s="7">
        <v>2.1</v>
      </c>
      <c r="H1041" s="12">
        <v>1826</v>
      </c>
      <c r="I1041" s="9">
        <f t="shared" si="32"/>
        <v>188.93756845564076</v>
      </c>
      <c r="J1041" s="3" t="str">
        <f t="shared" si="33"/>
        <v>Low</v>
      </c>
    </row>
    <row r="1042" spans="1:10">
      <c r="A1042" s="4" t="s">
        <v>1098</v>
      </c>
      <c r="B1042" s="4" t="s">
        <v>867</v>
      </c>
      <c r="C1042" s="4" t="s">
        <v>12</v>
      </c>
      <c r="D1042" s="21">
        <v>345000</v>
      </c>
      <c r="E1042" s="4">
        <v>76</v>
      </c>
      <c r="F1042" s="4">
        <v>3</v>
      </c>
      <c r="G1042" s="4">
        <v>2.1</v>
      </c>
      <c r="H1042" s="10">
        <v>2060</v>
      </c>
      <c r="I1042" s="11">
        <f t="shared" si="32"/>
        <v>167.47572815533979</v>
      </c>
      <c r="J1042" s="3" t="str">
        <f t="shared" si="33"/>
        <v>Low</v>
      </c>
    </row>
    <row r="1043" spans="1:10">
      <c r="A1043" s="7" t="s">
        <v>1099</v>
      </c>
      <c r="B1043" s="7" t="s">
        <v>363</v>
      </c>
      <c r="C1043" s="7" t="s">
        <v>12</v>
      </c>
      <c r="D1043" s="22">
        <v>346000</v>
      </c>
      <c r="E1043" s="7">
        <v>5</v>
      </c>
      <c r="F1043" s="7">
        <v>3</v>
      </c>
      <c r="G1043" s="7">
        <v>1.1000000000000001</v>
      </c>
      <c r="H1043" s="12">
        <v>1554</v>
      </c>
      <c r="I1043" s="9">
        <f t="shared" si="32"/>
        <v>222.65122265122264</v>
      </c>
      <c r="J1043" s="3" t="str">
        <f t="shared" si="33"/>
        <v>Medium</v>
      </c>
    </row>
    <row r="1044" spans="1:10">
      <c r="A1044" s="4" t="s">
        <v>1100</v>
      </c>
      <c r="B1044" s="4" t="s">
        <v>131</v>
      </c>
      <c r="C1044" s="4" t="s">
        <v>12</v>
      </c>
      <c r="D1044" s="21">
        <v>346500</v>
      </c>
      <c r="E1044" s="4">
        <v>22</v>
      </c>
      <c r="F1044" s="4">
        <v>3</v>
      </c>
      <c r="G1044" s="4">
        <v>1.1000000000000001</v>
      </c>
      <c r="H1044" s="10">
        <v>1055</v>
      </c>
      <c r="I1044" s="11">
        <f t="shared" si="32"/>
        <v>328.43601895734599</v>
      </c>
      <c r="J1044" s="3" t="str">
        <f t="shared" si="33"/>
        <v>High</v>
      </c>
    </row>
    <row r="1045" spans="1:10">
      <c r="A1045" s="7" t="s">
        <v>1101</v>
      </c>
      <c r="B1045" s="7" t="s">
        <v>878</v>
      </c>
      <c r="C1045" s="7" t="s">
        <v>12</v>
      </c>
      <c r="D1045" s="22">
        <v>346500</v>
      </c>
      <c r="E1045" s="7">
        <v>52</v>
      </c>
      <c r="F1045" s="7">
        <v>3</v>
      </c>
      <c r="G1045" s="7">
        <v>2.1</v>
      </c>
      <c r="H1045" s="12">
        <v>1815</v>
      </c>
      <c r="I1045" s="9">
        <f t="shared" si="32"/>
        <v>190.90909090909091</v>
      </c>
      <c r="J1045" s="3" t="str">
        <f t="shared" si="33"/>
        <v>Low</v>
      </c>
    </row>
    <row r="1046" spans="1:10">
      <c r="A1046" s="4" t="s">
        <v>1102</v>
      </c>
      <c r="B1046" s="4" t="s">
        <v>131</v>
      </c>
      <c r="C1046" s="4" t="s">
        <v>12</v>
      </c>
      <c r="D1046" s="21">
        <v>347000</v>
      </c>
      <c r="E1046" s="4">
        <v>29</v>
      </c>
      <c r="F1046" s="4">
        <v>4</v>
      </c>
      <c r="G1046" s="4">
        <v>2</v>
      </c>
      <c r="H1046" s="10">
        <v>1341</v>
      </c>
      <c r="I1046" s="11">
        <f t="shared" si="32"/>
        <v>258.76211782252051</v>
      </c>
      <c r="J1046" s="3" t="str">
        <f t="shared" si="33"/>
        <v>Medium</v>
      </c>
    </row>
    <row r="1047" spans="1:10">
      <c r="A1047" s="7" t="s">
        <v>1103</v>
      </c>
      <c r="B1047" s="7" t="s">
        <v>56</v>
      </c>
      <c r="C1047" s="7" t="s">
        <v>12</v>
      </c>
      <c r="D1047" s="22">
        <v>347000</v>
      </c>
      <c r="E1047" s="7">
        <v>12</v>
      </c>
      <c r="F1047" s="7">
        <v>5</v>
      </c>
      <c r="G1047" s="7">
        <v>2</v>
      </c>
      <c r="H1047" s="12">
        <v>1400</v>
      </c>
      <c r="I1047" s="9">
        <f t="shared" si="32"/>
        <v>247.85714285714286</v>
      </c>
      <c r="J1047" s="3" t="str">
        <f t="shared" si="33"/>
        <v>Medium</v>
      </c>
    </row>
    <row r="1048" spans="1:10">
      <c r="A1048" s="4" t="s">
        <v>1104</v>
      </c>
      <c r="B1048" s="4" t="s">
        <v>18</v>
      </c>
      <c r="C1048" s="4" t="s">
        <v>12</v>
      </c>
      <c r="D1048" s="21">
        <v>348000</v>
      </c>
      <c r="E1048" s="4">
        <v>36</v>
      </c>
      <c r="F1048" s="4">
        <v>3</v>
      </c>
      <c r="G1048" s="4">
        <v>2.1</v>
      </c>
      <c r="H1048" s="10">
        <v>1924</v>
      </c>
      <c r="I1048" s="11">
        <f t="shared" si="32"/>
        <v>180.87318087318087</v>
      </c>
      <c r="J1048" s="3" t="str">
        <f t="shared" si="33"/>
        <v>Low</v>
      </c>
    </row>
    <row r="1049" spans="1:10">
      <c r="A1049" s="7" t="s">
        <v>1105</v>
      </c>
      <c r="B1049" s="7" t="s">
        <v>282</v>
      </c>
      <c r="C1049" s="7" t="s">
        <v>12</v>
      </c>
      <c r="D1049" s="22">
        <v>348000</v>
      </c>
      <c r="E1049" s="7">
        <v>24</v>
      </c>
      <c r="F1049" s="7">
        <v>3</v>
      </c>
      <c r="G1049" s="7">
        <v>2</v>
      </c>
      <c r="H1049" s="12">
        <v>1176</v>
      </c>
      <c r="I1049" s="9">
        <f t="shared" si="32"/>
        <v>295.91836734693879</v>
      </c>
      <c r="J1049" s="3" t="str">
        <f t="shared" si="33"/>
        <v>Medium</v>
      </c>
    </row>
    <row r="1050" spans="1:10">
      <c r="A1050" s="4" t="s">
        <v>1106</v>
      </c>
      <c r="B1050" s="4" t="s">
        <v>155</v>
      </c>
      <c r="C1050" s="4" t="s">
        <v>12</v>
      </c>
      <c r="D1050" s="21">
        <v>348000</v>
      </c>
      <c r="E1050" s="4">
        <v>103</v>
      </c>
      <c r="F1050" s="4">
        <v>4</v>
      </c>
      <c r="G1050" s="4">
        <v>2.1</v>
      </c>
      <c r="H1050" s="10">
        <v>1840</v>
      </c>
      <c r="I1050" s="11">
        <f t="shared" si="32"/>
        <v>189.13043478260869</v>
      </c>
      <c r="J1050" s="3" t="str">
        <f t="shared" si="33"/>
        <v>Low</v>
      </c>
    </row>
    <row r="1051" spans="1:10">
      <c r="A1051" s="7" t="s">
        <v>1107</v>
      </c>
      <c r="B1051" s="7" t="s">
        <v>131</v>
      </c>
      <c r="C1051" s="7" t="s">
        <v>12</v>
      </c>
      <c r="D1051" s="22">
        <v>349000</v>
      </c>
      <c r="E1051" s="7">
        <v>9</v>
      </c>
      <c r="F1051" s="7">
        <v>3</v>
      </c>
      <c r="G1051" s="7">
        <v>1.1000000000000001</v>
      </c>
      <c r="H1051" s="12">
        <v>1003</v>
      </c>
      <c r="I1051" s="9">
        <f t="shared" si="32"/>
        <v>347.95613160518445</v>
      </c>
      <c r="J1051" s="3" t="str">
        <f t="shared" si="33"/>
        <v>High</v>
      </c>
    </row>
    <row r="1052" spans="1:10">
      <c r="A1052" s="4" t="s">
        <v>1108</v>
      </c>
      <c r="B1052" s="4" t="s">
        <v>212</v>
      </c>
      <c r="C1052" s="4" t="s">
        <v>12</v>
      </c>
      <c r="D1052" s="21">
        <v>349500</v>
      </c>
      <c r="E1052" s="4">
        <v>101</v>
      </c>
      <c r="F1052" s="4">
        <v>3</v>
      </c>
      <c r="G1052" s="4">
        <v>2</v>
      </c>
      <c r="H1052" s="10">
        <v>1624</v>
      </c>
      <c r="I1052" s="11">
        <f t="shared" si="32"/>
        <v>215.20935960591132</v>
      </c>
      <c r="J1052" s="3" t="str">
        <f t="shared" si="33"/>
        <v>Medium</v>
      </c>
    </row>
    <row r="1053" spans="1:10">
      <c r="A1053" s="7" t="s">
        <v>1109</v>
      </c>
      <c r="B1053" s="7" t="s">
        <v>56</v>
      </c>
      <c r="C1053" s="7" t="s">
        <v>12</v>
      </c>
      <c r="D1053" s="22">
        <v>349900</v>
      </c>
      <c r="E1053" s="7">
        <v>30</v>
      </c>
      <c r="F1053" s="7">
        <v>3</v>
      </c>
      <c r="G1053" s="7">
        <v>2</v>
      </c>
      <c r="H1053" s="12">
        <v>1587</v>
      </c>
      <c r="I1053" s="9">
        <f t="shared" si="32"/>
        <v>220.47889098928798</v>
      </c>
      <c r="J1053" s="3" t="str">
        <f t="shared" si="33"/>
        <v>Medium</v>
      </c>
    </row>
    <row r="1054" spans="1:10">
      <c r="A1054" s="4" t="s">
        <v>1110</v>
      </c>
      <c r="B1054" s="4" t="s">
        <v>42</v>
      </c>
      <c r="C1054" s="4" t="s">
        <v>12</v>
      </c>
      <c r="D1054" s="21">
        <v>349900</v>
      </c>
      <c r="E1054" s="4">
        <v>6</v>
      </c>
      <c r="F1054" s="4">
        <v>3</v>
      </c>
      <c r="G1054" s="4">
        <v>2.1</v>
      </c>
      <c r="H1054" s="10">
        <v>1550</v>
      </c>
      <c r="I1054" s="11">
        <f t="shared" si="32"/>
        <v>225.74193548387098</v>
      </c>
      <c r="J1054" s="3" t="str">
        <f t="shared" si="33"/>
        <v>Medium</v>
      </c>
    </row>
    <row r="1055" spans="1:10">
      <c r="A1055" s="7" t="s">
        <v>1111</v>
      </c>
      <c r="B1055" s="7" t="s">
        <v>11</v>
      </c>
      <c r="C1055" s="7" t="s">
        <v>12</v>
      </c>
      <c r="D1055" s="22">
        <v>349900</v>
      </c>
      <c r="E1055" s="7">
        <v>13</v>
      </c>
      <c r="F1055" s="7">
        <v>3</v>
      </c>
      <c r="G1055" s="7">
        <v>2.1</v>
      </c>
      <c r="H1055" s="12">
        <v>1669</v>
      </c>
      <c r="I1055" s="9">
        <f t="shared" si="32"/>
        <v>209.64649490713001</v>
      </c>
      <c r="J1055" s="3" t="str">
        <f t="shared" si="33"/>
        <v>Medium</v>
      </c>
    </row>
    <row r="1056" spans="1:10">
      <c r="A1056" s="4" t="s">
        <v>1112</v>
      </c>
      <c r="B1056" s="4" t="s">
        <v>16</v>
      </c>
      <c r="C1056" s="4" t="s">
        <v>12</v>
      </c>
      <c r="D1056" s="21">
        <v>350000</v>
      </c>
      <c r="E1056" s="4">
        <v>6</v>
      </c>
      <c r="F1056" s="4">
        <v>3</v>
      </c>
      <c r="G1056" s="4">
        <v>2</v>
      </c>
      <c r="H1056" s="10">
        <v>1533</v>
      </c>
      <c r="I1056" s="11">
        <f t="shared" si="32"/>
        <v>228.31050228310502</v>
      </c>
      <c r="J1056" s="3" t="str">
        <f t="shared" si="33"/>
        <v>Medium</v>
      </c>
    </row>
    <row r="1057" spans="1:10">
      <c r="A1057" s="7" t="s">
        <v>1113</v>
      </c>
      <c r="B1057" s="7" t="s">
        <v>553</v>
      </c>
      <c r="C1057" s="7" t="s">
        <v>12</v>
      </c>
      <c r="D1057" s="22">
        <v>350000</v>
      </c>
      <c r="E1057" s="7">
        <v>6</v>
      </c>
      <c r="F1057" s="7">
        <v>3</v>
      </c>
      <c r="G1057" s="7">
        <v>2.1</v>
      </c>
      <c r="H1057" s="12">
        <v>1607</v>
      </c>
      <c r="I1057" s="9">
        <f t="shared" si="32"/>
        <v>217.79713752333541</v>
      </c>
      <c r="J1057" s="3" t="str">
        <f t="shared" si="33"/>
        <v>Medium</v>
      </c>
    </row>
    <row r="1058" spans="1:10">
      <c r="A1058" s="4" t="s">
        <v>1114</v>
      </c>
      <c r="B1058" s="4" t="s">
        <v>16</v>
      </c>
      <c r="C1058" s="4" t="s">
        <v>12</v>
      </c>
      <c r="D1058" s="21">
        <v>350000</v>
      </c>
      <c r="E1058" s="4">
        <v>7</v>
      </c>
      <c r="F1058" s="4">
        <v>3</v>
      </c>
      <c r="G1058" s="4">
        <v>1.1000000000000001</v>
      </c>
      <c r="H1058" s="10">
        <v>1484</v>
      </c>
      <c r="I1058" s="11">
        <f t="shared" si="32"/>
        <v>235.84905660377359</v>
      </c>
      <c r="J1058" s="3" t="str">
        <f t="shared" si="33"/>
        <v>Medium</v>
      </c>
    </row>
    <row r="1059" spans="1:10">
      <c r="A1059" s="7" t="s">
        <v>1115</v>
      </c>
      <c r="B1059" s="7" t="s">
        <v>131</v>
      </c>
      <c r="C1059" s="7" t="s">
        <v>12</v>
      </c>
      <c r="D1059" s="22">
        <v>350000</v>
      </c>
      <c r="E1059" s="7">
        <v>4</v>
      </c>
      <c r="F1059" s="7">
        <v>3</v>
      </c>
      <c r="G1059" s="7">
        <v>2</v>
      </c>
      <c r="H1059" s="12">
        <v>1284</v>
      </c>
      <c r="I1059" s="9">
        <f t="shared" si="32"/>
        <v>272.58566978193147</v>
      </c>
      <c r="J1059" s="3" t="str">
        <f t="shared" si="33"/>
        <v>Medium</v>
      </c>
    </row>
    <row r="1060" spans="1:10">
      <c r="A1060" s="4" t="s">
        <v>1116</v>
      </c>
      <c r="B1060" s="4" t="s">
        <v>131</v>
      </c>
      <c r="C1060" s="4" t="s">
        <v>12</v>
      </c>
      <c r="D1060" s="21">
        <v>350000</v>
      </c>
      <c r="E1060" s="4">
        <v>3</v>
      </c>
      <c r="F1060" s="4">
        <v>3</v>
      </c>
      <c r="G1060" s="4">
        <v>1.1000000000000001</v>
      </c>
      <c r="H1060" s="10">
        <v>1249</v>
      </c>
      <c r="I1060" s="11">
        <f t="shared" si="32"/>
        <v>280.22417934347476</v>
      </c>
      <c r="J1060" s="3" t="str">
        <f t="shared" si="33"/>
        <v>Medium</v>
      </c>
    </row>
    <row r="1061" spans="1:10">
      <c r="A1061" s="7" t="s">
        <v>1117</v>
      </c>
      <c r="B1061" s="7" t="s">
        <v>131</v>
      </c>
      <c r="C1061" s="7" t="s">
        <v>12</v>
      </c>
      <c r="D1061" s="22">
        <v>350000</v>
      </c>
      <c r="E1061" s="7">
        <v>12</v>
      </c>
      <c r="F1061" s="7">
        <v>4</v>
      </c>
      <c r="G1061" s="7">
        <v>1</v>
      </c>
      <c r="H1061" s="12">
        <v>1500</v>
      </c>
      <c r="I1061" s="9">
        <f t="shared" si="32"/>
        <v>233.33333333333334</v>
      </c>
      <c r="J1061" s="3" t="str">
        <f t="shared" si="33"/>
        <v>Medium</v>
      </c>
    </row>
    <row r="1062" spans="1:10">
      <c r="A1062" s="4" t="s">
        <v>1118</v>
      </c>
      <c r="B1062" s="4" t="s">
        <v>212</v>
      </c>
      <c r="C1062" s="4" t="s">
        <v>12</v>
      </c>
      <c r="D1062" s="21">
        <v>350000</v>
      </c>
      <c r="E1062" s="4">
        <v>39</v>
      </c>
      <c r="F1062" s="4">
        <v>4</v>
      </c>
      <c r="G1062" s="4">
        <v>2</v>
      </c>
      <c r="H1062" s="10">
        <v>1807</v>
      </c>
      <c r="I1062" s="11">
        <f t="shared" si="32"/>
        <v>193.69120088544548</v>
      </c>
      <c r="J1062" s="3" t="str">
        <f t="shared" si="33"/>
        <v>Low</v>
      </c>
    </row>
    <row r="1063" spans="1:10">
      <c r="A1063" s="7" t="s">
        <v>1119</v>
      </c>
      <c r="B1063" s="7" t="s">
        <v>18</v>
      </c>
      <c r="C1063" s="7" t="s">
        <v>12</v>
      </c>
      <c r="D1063" s="22">
        <v>350000</v>
      </c>
      <c r="E1063" s="7">
        <v>29</v>
      </c>
      <c r="F1063" s="7">
        <v>3</v>
      </c>
      <c r="G1063" s="7">
        <v>2</v>
      </c>
      <c r="H1063" s="12">
        <v>1191</v>
      </c>
      <c r="I1063" s="9">
        <f t="shared" si="32"/>
        <v>293.87069689336693</v>
      </c>
      <c r="J1063" s="3" t="str">
        <f t="shared" si="33"/>
        <v>Medium</v>
      </c>
    </row>
    <row r="1064" spans="1:10">
      <c r="A1064" s="4" t="s">
        <v>1120</v>
      </c>
      <c r="B1064" s="4" t="s">
        <v>888</v>
      </c>
      <c r="C1064" s="4" t="s">
        <v>12</v>
      </c>
      <c r="D1064" s="21">
        <v>350000</v>
      </c>
      <c r="E1064" s="4">
        <v>6</v>
      </c>
      <c r="F1064" s="4">
        <v>3</v>
      </c>
      <c r="G1064" s="4">
        <v>1</v>
      </c>
      <c r="H1064" s="10">
        <v>1031</v>
      </c>
      <c r="I1064" s="11">
        <f t="shared" si="32"/>
        <v>339.47623666343355</v>
      </c>
      <c r="J1064" s="3" t="str">
        <f t="shared" si="33"/>
        <v>High</v>
      </c>
    </row>
    <row r="1065" spans="1:10">
      <c r="A1065" s="7" t="s">
        <v>1121</v>
      </c>
      <c r="B1065" s="7" t="s">
        <v>131</v>
      </c>
      <c r="C1065" s="7" t="s">
        <v>12</v>
      </c>
      <c r="D1065" s="22">
        <v>350000</v>
      </c>
      <c r="E1065" s="7">
        <v>9</v>
      </c>
      <c r="F1065" s="7">
        <v>3</v>
      </c>
      <c r="G1065" s="7">
        <v>2</v>
      </c>
      <c r="H1065" s="12">
        <v>1182</v>
      </c>
      <c r="I1065" s="9">
        <f t="shared" si="32"/>
        <v>296.10829103214888</v>
      </c>
      <c r="J1065" s="3" t="str">
        <f t="shared" si="33"/>
        <v>Medium</v>
      </c>
    </row>
    <row r="1066" spans="1:10">
      <c r="A1066" s="4" t="s">
        <v>1122</v>
      </c>
      <c r="B1066" s="4" t="s">
        <v>867</v>
      </c>
      <c r="C1066" s="4" t="s">
        <v>12</v>
      </c>
      <c r="D1066" s="21">
        <v>350000</v>
      </c>
      <c r="E1066" s="4">
        <v>15</v>
      </c>
      <c r="F1066" s="4">
        <v>4</v>
      </c>
      <c r="G1066" s="4">
        <v>3.1</v>
      </c>
      <c r="H1066" s="10">
        <v>2070</v>
      </c>
      <c r="I1066" s="11">
        <f t="shared" si="32"/>
        <v>169.08212560386474</v>
      </c>
      <c r="J1066" s="3" t="str">
        <f t="shared" si="33"/>
        <v>Low</v>
      </c>
    </row>
    <row r="1067" spans="1:10">
      <c r="A1067" s="7" t="s">
        <v>1123</v>
      </c>
      <c r="B1067" s="7" t="s">
        <v>56</v>
      </c>
      <c r="C1067" s="7" t="s">
        <v>12</v>
      </c>
      <c r="D1067" s="22">
        <v>350000</v>
      </c>
      <c r="E1067" s="7">
        <v>175</v>
      </c>
      <c r="F1067" s="7">
        <v>2</v>
      </c>
      <c r="G1067" s="7">
        <v>1</v>
      </c>
      <c r="H1067" s="12">
        <v>1224</v>
      </c>
      <c r="I1067" s="9">
        <f t="shared" si="32"/>
        <v>285.94771241830063</v>
      </c>
      <c r="J1067" s="3" t="str">
        <f t="shared" si="33"/>
        <v>Medium</v>
      </c>
    </row>
    <row r="1068" spans="1:10">
      <c r="A1068" s="4" t="s">
        <v>1124</v>
      </c>
      <c r="B1068" s="4" t="s">
        <v>960</v>
      </c>
      <c r="C1068" s="4" t="s">
        <v>12</v>
      </c>
      <c r="D1068" s="21">
        <v>350000</v>
      </c>
      <c r="E1068" s="4">
        <v>8</v>
      </c>
      <c r="F1068" s="4">
        <v>5</v>
      </c>
      <c r="G1068" s="4">
        <v>2.2000000000000002</v>
      </c>
      <c r="H1068" s="10">
        <v>2713</v>
      </c>
      <c r="I1068" s="11">
        <f t="shared" si="32"/>
        <v>129.00847769996315</v>
      </c>
      <c r="J1068" s="3" t="str">
        <f t="shared" si="33"/>
        <v>Low</v>
      </c>
    </row>
    <row r="1069" spans="1:10">
      <c r="A1069" s="7" t="s">
        <v>1125</v>
      </c>
      <c r="B1069" s="7" t="s">
        <v>73</v>
      </c>
      <c r="C1069" s="7" t="s">
        <v>12</v>
      </c>
      <c r="D1069" s="22">
        <v>350000</v>
      </c>
      <c r="E1069" s="7">
        <v>7</v>
      </c>
      <c r="F1069" s="7">
        <v>4</v>
      </c>
      <c r="G1069" s="7">
        <v>2.2000000000000002</v>
      </c>
      <c r="H1069" s="12">
        <v>3376</v>
      </c>
      <c r="I1069" s="9">
        <f t="shared" si="32"/>
        <v>103.67298578199052</v>
      </c>
      <c r="J1069" s="3" t="str">
        <f t="shared" si="33"/>
        <v>Low</v>
      </c>
    </row>
    <row r="1070" spans="1:10">
      <c r="A1070" s="4" t="s">
        <v>1126</v>
      </c>
      <c r="B1070" s="4" t="s">
        <v>131</v>
      </c>
      <c r="C1070" s="4" t="s">
        <v>12</v>
      </c>
      <c r="D1070" s="21">
        <v>350000</v>
      </c>
      <c r="E1070" s="4">
        <v>123</v>
      </c>
      <c r="F1070" s="4">
        <v>3</v>
      </c>
      <c r="G1070" s="4">
        <v>2</v>
      </c>
      <c r="H1070" s="10">
        <v>1409</v>
      </c>
      <c r="I1070" s="11">
        <f t="shared" si="32"/>
        <v>248.40312278211496</v>
      </c>
      <c r="J1070" s="3" t="str">
        <f t="shared" si="33"/>
        <v>Medium</v>
      </c>
    </row>
    <row r="1071" spans="1:10">
      <c r="A1071" s="7" t="s">
        <v>1127</v>
      </c>
      <c r="B1071" s="7" t="s">
        <v>823</v>
      </c>
      <c r="C1071" s="7" t="s">
        <v>12</v>
      </c>
      <c r="D1071" s="22">
        <v>350000</v>
      </c>
      <c r="E1071" s="7">
        <v>27</v>
      </c>
      <c r="F1071" s="7">
        <v>3</v>
      </c>
      <c r="G1071" s="7">
        <v>3</v>
      </c>
      <c r="H1071" s="12">
        <v>1826</v>
      </c>
      <c r="I1071" s="9">
        <f t="shared" si="32"/>
        <v>191.67579408543264</v>
      </c>
      <c r="J1071" s="3" t="str">
        <f t="shared" si="33"/>
        <v>Low</v>
      </c>
    </row>
    <row r="1072" spans="1:10">
      <c r="A1072" s="4" t="s">
        <v>1128</v>
      </c>
      <c r="B1072" s="4" t="s">
        <v>56</v>
      </c>
      <c r="C1072" s="4" t="s">
        <v>12</v>
      </c>
      <c r="D1072" s="21">
        <v>350000</v>
      </c>
      <c r="E1072" s="4">
        <v>60</v>
      </c>
      <c r="F1072" s="4">
        <v>3</v>
      </c>
      <c r="G1072" s="4">
        <v>2.1</v>
      </c>
      <c r="H1072" s="10">
        <v>1831</v>
      </c>
      <c r="I1072" s="11">
        <f t="shared" si="32"/>
        <v>191.15237575095577</v>
      </c>
      <c r="J1072" s="3" t="str">
        <f t="shared" si="33"/>
        <v>Low</v>
      </c>
    </row>
    <row r="1073" spans="1:10">
      <c r="A1073" s="7" t="s">
        <v>1129</v>
      </c>
      <c r="B1073" s="7" t="s">
        <v>18</v>
      </c>
      <c r="C1073" s="7" t="s">
        <v>12</v>
      </c>
      <c r="D1073" s="22">
        <v>350000</v>
      </c>
      <c r="E1073" s="7">
        <v>33</v>
      </c>
      <c r="F1073" s="7">
        <v>4</v>
      </c>
      <c r="G1073" s="7">
        <v>2.1</v>
      </c>
      <c r="H1073" s="12">
        <v>2398</v>
      </c>
      <c r="I1073" s="9">
        <f t="shared" si="32"/>
        <v>145.95496246872395</v>
      </c>
      <c r="J1073" s="3" t="str">
        <f t="shared" si="33"/>
        <v>Low</v>
      </c>
    </row>
    <row r="1074" spans="1:10">
      <c r="A1074" s="4" t="s">
        <v>1130</v>
      </c>
      <c r="B1074" s="4" t="s">
        <v>36</v>
      </c>
      <c r="C1074" s="4" t="s">
        <v>12</v>
      </c>
      <c r="D1074" s="21">
        <v>350000</v>
      </c>
      <c r="E1074" s="4">
        <v>35</v>
      </c>
      <c r="F1074" s="4">
        <v>4</v>
      </c>
      <c r="G1074" s="4">
        <v>2</v>
      </c>
      <c r="H1074" s="10">
        <v>2205</v>
      </c>
      <c r="I1074" s="11">
        <f t="shared" si="32"/>
        <v>158.73015873015873</v>
      </c>
      <c r="J1074" s="3" t="str">
        <f t="shared" si="33"/>
        <v>Low</v>
      </c>
    </row>
    <row r="1075" spans="1:10">
      <c r="A1075" s="7" t="s">
        <v>1131</v>
      </c>
      <c r="B1075" s="7" t="s">
        <v>93</v>
      </c>
      <c r="C1075" s="7" t="s">
        <v>12</v>
      </c>
      <c r="D1075" s="22">
        <v>350000</v>
      </c>
      <c r="E1075" s="7">
        <v>145</v>
      </c>
      <c r="F1075" s="7">
        <v>3</v>
      </c>
      <c r="G1075" s="7">
        <v>2</v>
      </c>
      <c r="H1075" s="12">
        <v>1746</v>
      </c>
      <c r="I1075" s="9">
        <f t="shared" si="32"/>
        <v>200.4581901489118</v>
      </c>
      <c r="J1075" s="3" t="str">
        <f t="shared" si="33"/>
        <v>Medium</v>
      </c>
    </row>
    <row r="1076" spans="1:10">
      <c r="A1076" s="4" t="s">
        <v>1132</v>
      </c>
      <c r="B1076" s="4" t="s">
        <v>679</v>
      </c>
      <c r="C1076" s="4" t="s">
        <v>12</v>
      </c>
      <c r="D1076" s="21">
        <v>350000</v>
      </c>
      <c r="E1076" s="4">
        <v>82</v>
      </c>
      <c r="F1076" s="4">
        <v>2</v>
      </c>
      <c r="G1076" s="4">
        <v>1</v>
      </c>
      <c r="H1076" s="4">
        <v>815</v>
      </c>
      <c r="I1076" s="11">
        <f t="shared" si="32"/>
        <v>429.44785276073617</v>
      </c>
      <c r="J1076" s="3" t="str">
        <f t="shared" si="33"/>
        <v>High</v>
      </c>
    </row>
    <row r="1077" spans="1:10">
      <c r="A1077" s="7" t="s">
        <v>1133</v>
      </c>
      <c r="B1077" s="7" t="s">
        <v>117</v>
      </c>
      <c r="C1077" s="7" t="s">
        <v>12</v>
      </c>
      <c r="D1077" s="22">
        <v>350000</v>
      </c>
      <c r="E1077" s="7">
        <v>12</v>
      </c>
      <c r="F1077" s="7">
        <v>4</v>
      </c>
      <c r="G1077" s="7">
        <v>2</v>
      </c>
      <c r="H1077" s="12">
        <v>1852</v>
      </c>
      <c r="I1077" s="9">
        <f t="shared" si="32"/>
        <v>188.98488120950324</v>
      </c>
      <c r="J1077" s="3" t="str">
        <f t="shared" si="33"/>
        <v>Low</v>
      </c>
    </row>
    <row r="1078" spans="1:10">
      <c r="A1078" s="4" t="s">
        <v>1134</v>
      </c>
      <c r="B1078" s="4" t="s">
        <v>867</v>
      </c>
      <c r="C1078" s="4" t="s">
        <v>12</v>
      </c>
      <c r="D1078" s="21">
        <v>350000</v>
      </c>
      <c r="E1078" s="4">
        <v>64</v>
      </c>
      <c r="F1078" s="4">
        <v>4</v>
      </c>
      <c r="G1078" s="4">
        <v>2.2000000000000002</v>
      </c>
      <c r="H1078" s="10">
        <v>2537</v>
      </c>
      <c r="I1078" s="11">
        <f t="shared" si="32"/>
        <v>137.95821836815136</v>
      </c>
      <c r="J1078" s="3" t="str">
        <f t="shared" si="33"/>
        <v>Low</v>
      </c>
    </row>
    <row r="1079" spans="1:10">
      <c r="A1079" s="7" t="s">
        <v>1135</v>
      </c>
      <c r="B1079" s="7" t="s">
        <v>155</v>
      </c>
      <c r="C1079" s="7" t="s">
        <v>12</v>
      </c>
      <c r="D1079" s="22">
        <v>350000</v>
      </c>
      <c r="E1079" s="7">
        <v>43</v>
      </c>
      <c r="F1079" s="7">
        <v>4</v>
      </c>
      <c r="G1079" s="7">
        <v>2.1</v>
      </c>
      <c r="H1079" s="12">
        <v>1864</v>
      </c>
      <c r="I1079" s="9">
        <f t="shared" si="32"/>
        <v>187.76824034334763</v>
      </c>
      <c r="J1079" s="3" t="str">
        <f t="shared" si="33"/>
        <v>Low</v>
      </c>
    </row>
    <row r="1080" spans="1:10">
      <c r="A1080" s="4" t="s">
        <v>1136</v>
      </c>
      <c r="B1080" s="4" t="s">
        <v>268</v>
      </c>
      <c r="C1080" s="4" t="s">
        <v>12</v>
      </c>
      <c r="D1080" s="21">
        <v>351000</v>
      </c>
      <c r="E1080" s="4">
        <v>98</v>
      </c>
      <c r="F1080" s="4">
        <v>4</v>
      </c>
      <c r="G1080" s="4">
        <v>2.1</v>
      </c>
      <c r="H1080" s="10">
        <v>2278</v>
      </c>
      <c r="I1080" s="11">
        <f t="shared" si="32"/>
        <v>154.08252853380159</v>
      </c>
      <c r="J1080" s="3" t="str">
        <f t="shared" si="33"/>
        <v>Low</v>
      </c>
    </row>
    <row r="1081" spans="1:10">
      <c r="A1081" s="7" t="s">
        <v>1137</v>
      </c>
      <c r="B1081" s="7" t="s">
        <v>70</v>
      </c>
      <c r="C1081" s="7" t="s">
        <v>12</v>
      </c>
      <c r="D1081" s="22">
        <v>352000</v>
      </c>
      <c r="E1081" s="7">
        <v>24</v>
      </c>
      <c r="F1081" s="7">
        <v>3</v>
      </c>
      <c r="G1081" s="7">
        <v>2.1</v>
      </c>
      <c r="H1081" s="12">
        <v>2479</v>
      </c>
      <c r="I1081" s="9">
        <f t="shared" si="32"/>
        <v>141.99273900766437</v>
      </c>
      <c r="J1081" s="3" t="str">
        <f t="shared" si="33"/>
        <v>Low</v>
      </c>
    </row>
    <row r="1082" spans="1:10">
      <c r="A1082" s="4" t="s">
        <v>1138</v>
      </c>
      <c r="B1082" s="4" t="s">
        <v>1139</v>
      </c>
      <c r="C1082" s="4" t="s">
        <v>12</v>
      </c>
      <c r="D1082" s="21">
        <v>352500</v>
      </c>
      <c r="E1082" s="4">
        <v>50</v>
      </c>
      <c r="F1082" s="4">
        <v>3</v>
      </c>
      <c r="G1082" s="4">
        <v>1</v>
      </c>
      <c r="H1082" s="10">
        <v>1271</v>
      </c>
      <c r="I1082" s="11">
        <f t="shared" si="32"/>
        <v>277.34067663257275</v>
      </c>
      <c r="J1082" s="3" t="str">
        <f t="shared" si="33"/>
        <v>Medium</v>
      </c>
    </row>
    <row r="1083" spans="1:10">
      <c r="A1083" s="7" t="s">
        <v>1140</v>
      </c>
      <c r="B1083" s="7" t="s">
        <v>11</v>
      </c>
      <c r="C1083" s="7" t="s">
        <v>12</v>
      </c>
      <c r="D1083" s="22">
        <v>353500</v>
      </c>
      <c r="E1083" s="7">
        <v>24</v>
      </c>
      <c r="F1083" s="7">
        <v>3</v>
      </c>
      <c r="G1083" s="7">
        <v>2.1</v>
      </c>
      <c r="H1083" s="12">
        <v>1592</v>
      </c>
      <c r="I1083" s="9">
        <f t="shared" si="32"/>
        <v>222.04773869346732</v>
      </c>
      <c r="J1083" s="3" t="str">
        <f t="shared" si="33"/>
        <v>Medium</v>
      </c>
    </row>
    <row r="1084" spans="1:10">
      <c r="A1084" s="4" t="s">
        <v>1141</v>
      </c>
      <c r="B1084" s="4" t="s">
        <v>212</v>
      </c>
      <c r="C1084" s="4" t="s">
        <v>12</v>
      </c>
      <c r="D1084" s="21">
        <v>355000</v>
      </c>
      <c r="E1084" s="4">
        <v>3</v>
      </c>
      <c r="F1084" s="4">
        <v>4</v>
      </c>
      <c r="G1084" s="4">
        <v>1.1000000000000001</v>
      </c>
      <c r="H1084" s="10">
        <v>1322</v>
      </c>
      <c r="I1084" s="11">
        <f t="shared" si="32"/>
        <v>268.5325264750378</v>
      </c>
      <c r="J1084" s="3" t="str">
        <f t="shared" si="33"/>
        <v>Medium</v>
      </c>
    </row>
    <row r="1085" spans="1:10">
      <c r="A1085" s="7" t="s">
        <v>1142</v>
      </c>
      <c r="B1085" s="7" t="s">
        <v>131</v>
      </c>
      <c r="C1085" s="7" t="s">
        <v>12</v>
      </c>
      <c r="D1085" s="22">
        <v>355000</v>
      </c>
      <c r="E1085" s="7">
        <v>10</v>
      </c>
      <c r="F1085" s="7">
        <v>3</v>
      </c>
      <c r="G1085" s="7">
        <v>2</v>
      </c>
      <c r="H1085" s="12">
        <v>1200</v>
      </c>
      <c r="I1085" s="9">
        <f t="shared" si="32"/>
        <v>295.83333333333331</v>
      </c>
      <c r="J1085" s="3" t="str">
        <f t="shared" si="33"/>
        <v>Medium</v>
      </c>
    </row>
    <row r="1086" spans="1:10">
      <c r="A1086" s="4" t="s">
        <v>1143</v>
      </c>
      <c r="B1086" s="4" t="s">
        <v>70</v>
      </c>
      <c r="C1086" s="4" t="s">
        <v>12</v>
      </c>
      <c r="D1086" s="21">
        <v>355000</v>
      </c>
      <c r="E1086" s="4">
        <v>13</v>
      </c>
      <c r="F1086" s="4">
        <v>4</v>
      </c>
      <c r="G1086" s="4">
        <v>3</v>
      </c>
      <c r="H1086" s="10">
        <v>2183</v>
      </c>
      <c r="I1086" s="11">
        <f t="shared" si="32"/>
        <v>162.62024736601009</v>
      </c>
      <c r="J1086" s="3" t="str">
        <f t="shared" si="33"/>
        <v>Low</v>
      </c>
    </row>
    <row r="1087" spans="1:10">
      <c r="A1087" s="7" t="s">
        <v>1144</v>
      </c>
      <c r="B1087" s="7" t="s">
        <v>29</v>
      </c>
      <c r="C1087" s="7" t="s">
        <v>12</v>
      </c>
      <c r="D1087" s="22">
        <v>355000</v>
      </c>
      <c r="E1087" s="7">
        <v>87</v>
      </c>
      <c r="F1087" s="7">
        <v>3</v>
      </c>
      <c r="G1087" s="7">
        <v>2</v>
      </c>
      <c r="H1087" s="12">
        <v>1699</v>
      </c>
      <c r="I1087" s="9">
        <f t="shared" si="32"/>
        <v>208.94643908181283</v>
      </c>
      <c r="J1087" s="3" t="str">
        <f t="shared" si="33"/>
        <v>Medium</v>
      </c>
    </row>
    <row r="1088" spans="1:10">
      <c r="A1088" s="4" t="s">
        <v>1145</v>
      </c>
      <c r="B1088" s="4" t="s">
        <v>282</v>
      </c>
      <c r="C1088" s="4" t="s">
        <v>12</v>
      </c>
      <c r="D1088" s="21">
        <v>355000</v>
      </c>
      <c r="E1088" s="4">
        <v>8</v>
      </c>
      <c r="F1088" s="4">
        <v>3</v>
      </c>
      <c r="G1088" s="4">
        <v>2</v>
      </c>
      <c r="H1088" s="10">
        <v>1057</v>
      </c>
      <c r="I1088" s="11">
        <f t="shared" si="32"/>
        <v>335.85619678334911</v>
      </c>
      <c r="J1088" s="3" t="str">
        <f t="shared" si="33"/>
        <v>High</v>
      </c>
    </row>
    <row r="1089" spans="1:10">
      <c r="A1089" s="7" t="s">
        <v>1146</v>
      </c>
      <c r="B1089" s="7" t="s">
        <v>131</v>
      </c>
      <c r="C1089" s="7" t="s">
        <v>12</v>
      </c>
      <c r="D1089" s="22">
        <v>355000</v>
      </c>
      <c r="E1089" s="7">
        <v>27</v>
      </c>
      <c r="F1089" s="7">
        <v>3</v>
      </c>
      <c r="G1089" s="7">
        <v>2</v>
      </c>
      <c r="H1089" s="12">
        <v>1319</v>
      </c>
      <c r="I1089" s="9">
        <f t="shared" si="32"/>
        <v>269.14329037149355</v>
      </c>
      <c r="J1089" s="3" t="str">
        <f t="shared" si="33"/>
        <v>Medium</v>
      </c>
    </row>
    <row r="1090" spans="1:10">
      <c r="A1090" s="4" t="s">
        <v>1147</v>
      </c>
      <c r="B1090" s="4" t="s">
        <v>16</v>
      </c>
      <c r="C1090" s="4" t="s">
        <v>12</v>
      </c>
      <c r="D1090" s="21">
        <v>355000</v>
      </c>
      <c r="E1090" s="4">
        <v>54</v>
      </c>
      <c r="F1090" s="4">
        <v>3</v>
      </c>
      <c r="G1090" s="4">
        <v>1.1000000000000001</v>
      </c>
      <c r="H1090" s="10">
        <v>1250</v>
      </c>
      <c r="I1090" s="11">
        <f t="shared" ref="I1090:I1153" si="34">D1090/H1090</f>
        <v>284</v>
      </c>
      <c r="J1090" s="3" t="str">
        <f t="shared" ref="J1090:J1153" si="35">IF(I1090 &gt; 300, "High", IF(AND(I1090 &lt;= 300, I1090 &gt; 200), "Medium", "Low"))</f>
        <v>Medium</v>
      </c>
    </row>
    <row r="1091" spans="1:10">
      <c r="A1091" s="7" t="s">
        <v>1148</v>
      </c>
      <c r="B1091" s="7" t="s">
        <v>318</v>
      </c>
      <c r="C1091" s="7" t="s">
        <v>12</v>
      </c>
      <c r="D1091" s="22">
        <v>355000</v>
      </c>
      <c r="E1091" s="7">
        <v>12</v>
      </c>
      <c r="F1091" s="7">
        <v>3</v>
      </c>
      <c r="G1091" s="7">
        <v>2</v>
      </c>
      <c r="H1091" s="12">
        <v>1550</v>
      </c>
      <c r="I1091" s="9">
        <f t="shared" si="34"/>
        <v>229.03225806451613</v>
      </c>
      <c r="J1091" s="3" t="str">
        <f t="shared" si="35"/>
        <v>Medium</v>
      </c>
    </row>
    <row r="1092" spans="1:10">
      <c r="A1092" s="4" t="s">
        <v>1149</v>
      </c>
      <c r="B1092" s="4" t="s">
        <v>131</v>
      </c>
      <c r="C1092" s="4" t="s">
        <v>12</v>
      </c>
      <c r="D1092" s="21">
        <v>355000</v>
      </c>
      <c r="E1092" s="4">
        <v>12</v>
      </c>
      <c r="F1092" s="4">
        <v>3</v>
      </c>
      <c r="G1092" s="4">
        <v>2</v>
      </c>
      <c r="H1092" s="10">
        <v>1248</v>
      </c>
      <c r="I1092" s="11">
        <f t="shared" si="34"/>
        <v>284.45512820512823</v>
      </c>
      <c r="J1092" s="3" t="str">
        <f t="shared" si="35"/>
        <v>Medium</v>
      </c>
    </row>
    <row r="1093" spans="1:10">
      <c r="A1093" s="7" t="s">
        <v>1150</v>
      </c>
      <c r="B1093" s="7" t="s">
        <v>54</v>
      </c>
      <c r="C1093" s="7" t="s">
        <v>12</v>
      </c>
      <c r="D1093" s="22">
        <v>355000</v>
      </c>
      <c r="E1093" s="7">
        <v>32</v>
      </c>
      <c r="F1093" s="7">
        <v>3</v>
      </c>
      <c r="G1093" s="7">
        <v>2.1</v>
      </c>
      <c r="H1093" s="12">
        <v>2063</v>
      </c>
      <c r="I1093" s="9">
        <f t="shared" si="34"/>
        <v>172.07949587978672</v>
      </c>
      <c r="J1093" s="3" t="str">
        <f t="shared" si="35"/>
        <v>Low</v>
      </c>
    </row>
    <row r="1094" spans="1:10">
      <c r="A1094" s="4" t="s">
        <v>1151</v>
      </c>
      <c r="B1094" s="4" t="s">
        <v>42</v>
      </c>
      <c r="C1094" s="4" t="s">
        <v>12</v>
      </c>
      <c r="D1094" s="21">
        <v>355000</v>
      </c>
      <c r="E1094" s="4">
        <v>28</v>
      </c>
      <c r="F1094" s="4">
        <v>4</v>
      </c>
      <c r="G1094" s="4">
        <v>2.1</v>
      </c>
      <c r="H1094" s="10">
        <v>2183</v>
      </c>
      <c r="I1094" s="11">
        <f t="shared" si="34"/>
        <v>162.62024736601009</v>
      </c>
      <c r="J1094" s="3" t="str">
        <f t="shared" si="35"/>
        <v>Low</v>
      </c>
    </row>
    <row r="1095" spans="1:10">
      <c r="A1095" s="7" t="s">
        <v>1152</v>
      </c>
      <c r="B1095" s="7" t="s">
        <v>212</v>
      </c>
      <c r="C1095" s="7" t="s">
        <v>12</v>
      </c>
      <c r="D1095" s="22">
        <v>355000</v>
      </c>
      <c r="E1095" s="7">
        <v>118</v>
      </c>
      <c r="F1095" s="7">
        <v>5</v>
      </c>
      <c r="G1095" s="7">
        <v>2</v>
      </c>
      <c r="H1095" s="12">
        <v>1866</v>
      </c>
      <c r="I1095" s="9">
        <f t="shared" si="34"/>
        <v>190.2465166130761</v>
      </c>
      <c r="J1095" s="3" t="str">
        <f t="shared" si="35"/>
        <v>Low</v>
      </c>
    </row>
    <row r="1096" spans="1:10">
      <c r="A1096" s="4" t="s">
        <v>1153</v>
      </c>
      <c r="B1096" s="4" t="s">
        <v>331</v>
      </c>
      <c r="C1096" s="4" t="s">
        <v>12</v>
      </c>
      <c r="D1096" s="21">
        <v>355500</v>
      </c>
      <c r="E1096" s="4">
        <v>23</v>
      </c>
      <c r="F1096" s="4">
        <v>4</v>
      </c>
      <c r="G1096" s="4">
        <v>1.1000000000000001</v>
      </c>
      <c r="H1096" s="10">
        <v>1945</v>
      </c>
      <c r="I1096" s="11">
        <f t="shared" si="34"/>
        <v>182.77634961439588</v>
      </c>
      <c r="J1096" s="3" t="str">
        <f t="shared" si="35"/>
        <v>Low</v>
      </c>
    </row>
    <row r="1097" spans="1:10">
      <c r="A1097" s="7" t="s">
        <v>1154</v>
      </c>
      <c r="B1097" s="7" t="s">
        <v>679</v>
      </c>
      <c r="C1097" s="7" t="s">
        <v>12</v>
      </c>
      <c r="D1097" s="22">
        <v>356500</v>
      </c>
      <c r="E1097" s="7">
        <v>2</v>
      </c>
      <c r="F1097" s="7">
        <v>2</v>
      </c>
      <c r="G1097" s="7">
        <v>1</v>
      </c>
      <c r="H1097" s="7">
        <v>772</v>
      </c>
      <c r="I1097" s="9">
        <f t="shared" si="34"/>
        <v>461.78756476683935</v>
      </c>
      <c r="J1097" s="3" t="str">
        <f t="shared" si="35"/>
        <v>High</v>
      </c>
    </row>
    <row r="1098" spans="1:10">
      <c r="A1098" s="4" t="s">
        <v>1155</v>
      </c>
      <c r="B1098" s="4" t="s">
        <v>18</v>
      </c>
      <c r="C1098" s="4" t="s">
        <v>12</v>
      </c>
      <c r="D1098" s="21">
        <v>357000</v>
      </c>
      <c r="E1098" s="4">
        <v>4</v>
      </c>
      <c r="F1098" s="4">
        <v>3</v>
      </c>
      <c r="G1098" s="4">
        <v>2</v>
      </c>
      <c r="H1098" s="10">
        <v>1424</v>
      </c>
      <c r="I1098" s="11">
        <f t="shared" si="34"/>
        <v>250.70224719101122</v>
      </c>
      <c r="J1098" s="3" t="str">
        <f t="shared" si="35"/>
        <v>Medium</v>
      </c>
    </row>
    <row r="1099" spans="1:10">
      <c r="A1099" s="7" t="s">
        <v>1156</v>
      </c>
      <c r="B1099" s="7" t="s">
        <v>56</v>
      </c>
      <c r="C1099" s="7" t="s">
        <v>12</v>
      </c>
      <c r="D1099" s="22">
        <v>358000</v>
      </c>
      <c r="E1099" s="7">
        <v>6</v>
      </c>
      <c r="F1099" s="7">
        <v>3</v>
      </c>
      <c r="G1099" s="7">
        <v>1.1000000000000001</v>
      </c>
      <c r="H1099" s="12">
        <v>1092</v>
      </c>
      <c r="I1099" s="9">
        <f t="shared" si="34"/>
        <v>327.83882783882785</v>
      </c>
      <c r="J1099" s="3" t="str">
        <f t="shared" si="35"/>
        <v>High</v>
      </c>
    </row>
    <row r="1100" spans="1:10">
      <c r="A1100" s="4" t="s">
        <v>1157</v>
      </c>
      <c r="B1100" s="4" t="s">
        <v>54</v>
      </c>
      <c r="C1100" s="4" t="s">
        <v>12</v>
      </c>
      <c r="D1100" s="21">
        <v>358000</v>
      </c>
      <c r="E1100" s="4">
        <v>55</v>
      </c>
      <c r="F1100" s="4">
        <v>3</v>
      </c>
      <c r="G1100" s="4">
        <v>3</v>
      </c>
      <c r="H1100" s="10">
        <v>1697</v>
      </c>
      <c r="I1100" s="11">
        <f t="shared" si="34"/>
        <v>210.96051856216855</v>
      </c>
      <c r="J1100" s="3" t="str">
        <f t="shared" si="35"/>
        <v>Medium</v>
      </c>
    </row>
    <row r="1101" spans="1:10">
      <c r="A1101" s="7" t="s">
        <v>1158</v>
      </c>
      <c r="B1101" s="7" t="s">
        <v>18</v>
      </c>
      <c r="C1101" s="7" t="s">
        <v>12</v>
      </c>
      <c r="D1101" s="22">
        <v>360000</v>
      </c>
      <c r="E1101" s="7">
        <v>3</v>
      </c>
      <c r="F1101" s="7">
        <v>3</v>
      </c>
      <c r="G1101" s="7">
        <v>2</v>
      </c>
      <c r="H1101" s="12">
        <v>1436</v>
      </c>
      <c r="I1101" s="9">
        <f t="shared" si="34"/>
        <v>250.69637883008357</v>
      </c>
      <c r="J1101" s="3" t="str">
        <f t="shared" si="35"/>
        <v>Medium</v>
      </c>
    </row>
    <row r="1102" spans="1:10">
      <c r="A1102" s="4" t="s">
        <v>1159</v>
      </c>
      <c r="B1102" s="4" t="s">
        <v>268</v>
      </c>
      <c r="C1102" s="4" t="s">
        <v>12</v>
      </c>
      <c r="D1102" s="21">
        <v>360000</v>
      </c>
      <c r="E1102" s="4">
        <v>78</v>
      </c>
      <c r="F1102" s="4">
        <v>4</v>
      </c>
      <c r="G1102" s="4">
        <v>0.1</v>
      </c>
      <c r="H1102" s="10">
        <v>1793</v>
      </c>
      <c r="I1102" s="11">
        <f t="shared" si="34"/>
        <v>200.7808142777468</v>
      </c>
      <c r="J1102" s="3" t="str">
        <f t="shared" si="35"/>
        <v>Medium</v>
      </c>
    </row>
    <row r="1103" spans="1:10">
      <c r="A1103" s="7" t="s">
        <v>1160</v>
      </c>
      <c r="B1103" s="7" t="s">
        <v>18</v>
      </c>
      <c r="C1103" s="7" t="s">
        <v>12</v>
      </c>
      <c r="D1103" s="22">
        <v>360000</v>
      </c>
      <c r="E1103" s="7">
        <v>6</v>
      </c>
      <c r="F1103" s="7">
        <v>3</v>
      </c>
      <c r="G1103" s="7">
        <v>2.1</v>
      </c>
      <c r="H1103" s="12">
        <v>1468</v>
      </c>
      <c r="I1103" s="9">
        <f t="shared" si="34"/>
        <v>245.2316076294278</v>
      </c>
      <c r="J1103" s="3" t="str">
        <f t="shared" si="35"/>
        <v>Medium</v>
      </c>
    </row>
    <row r="1104" spans="1:10">
      <c r="A1104" s="4" t="s">
        <v>1161</v>
      </c>
      <c r="B1104" s="4" t="s">
        <v>212</v>
      </c>
      <c r="C1104" s="4" t="s">
        <v>12</v>
      </c>
      <c r="D1104" s="21">
        <v>360000</v>
      </c>
      <c r="E1104" s="4">
        <v>8</v>
      </c>
      <c r="F1104" s="4">
        <v>4</v>
      </c>
      <c r="G1104" s="4">
        <v>2.1</v>
      </c>
      <c r="H1104" s="10">
        <v>2476</v>
      </c>
      <c r="I1104" s="11">
        <f t="shared" si="34"/>
        <v>145.39579967689824</v>
      </c>
      <c r="J1104" s="3" t="str">
        <f t="shared" si="35"/>
        <v>Low</v>
      </c>
    </row>
    <row r="1105" spans="1:10">
      <c r="A1105" s="7" t="s">
        <v>1162</v>
      </c>
      <c r="B1105" s="7" t="s">
        <v>54</v>
      </c>
      <c r="C1105" s="7" t="s">
        <v>12</v>
      </c>
      <c r="D1105" s="22">
        <v>360000</v>
      </c>
      <c r="E1105" s="7">
        <v>108</v>
      </c>
      <c r="F1105" s="7">
        <v>4</v>
      </c>
      <c r="G1105" s="7">
        <v>2.1</v>
      </c>
      <c r="H1105" s="12">
        <v>2239</v>
      </c>
      <c r="I1105" s="9">
        <f t="shared" si="34"/>
        <v>160.78606520768201</v>
      </c>
      <c r="J1105" s="3" t="str">
        <f t="shared" si="35"/>
        <v>Low</v>
      </c>
    </row>
    <row r="1106" spans="1:10">
      <c r="A1106" s="4" t="s">
        <v>1163</v>
      </c>
      <c r="B1106" s="4" t="s">
        <v>1164</v>
      </c>
      <c r="C1106" s="4" t="s">
        <v>12</v>
      </c>
      <c r="D1106" s="21">
        <v>360000</v>
      </c>
      <c r="E1106" s="4">
        <v>7</v>
      </c>
      <c r="F1106" s="4">
        <v>3</v>
      </c>
      <c r="G1106" s="4">
        <v>2</v>
      </c>
      <c r="H1106" s="10">
        <v>1770</v>
      </c>
      <c r="I1106" s="11">
        <f t="shared" si="34"/>
        <v>203.38983050847457</v>
      </c>
      <c r="J1106" s="3" t="str">
        <f t="shared" si="35"/>
        <v>Medium</v>
      </c>
    </row>
    <row r="1107" spans="1:10">
      <c r="A1107" s="7" t="s">
        <v>1165</v>
      </c>
      <c r="B1107" s="7" t="s">
        <v>70</v>
      </c>
      <c r="C1107" s="7" t="s">
        <v>12</v>
      </c>
      <c r="D1107" s="22">
        <v>360000</v>
      </c>
      <c r="E1107" s="7">
        <v>21</v>
      </c>
      <c r="F1107" s="7">
        <v>0</v>
      </c>
      <c r="G1107" s="7">
        <v>0.1</v>
      </c>
      <c r="H1107" s="12">
        <v>2544</v>
      </c>
      <c r="I1107" s="9">
        <f t="shared" si="34"/>
        <v>141.50943396226415</v>
      </c>
      <c r="J1107" s="3" t="str">
        <f t="shared" si="35"/>
        <v>Low</v>
      </c>
    </row>
    <row r="1108" spans="1:10">
      <c r="A1108" s="4" t="s">
        <v>1166</v>
      </c>
      <c r="B1108" s="4" t="s">
        <v>36</v>
      </c>
      <c r="C1108" s="4" t="s">
        <v>12</v>
      </c>
      <c r="D1108" s="21">
        <v>360000</v>
      </c>
      <c r="E1108" s="4">
        <v>12</v>
      </c>
      <c r="F1108" s="4">
        <v>3</v>
      </c>
      <c r="G1108" s="4">
        <v>2.1</v>
      </c>
      <c r="H1108" s="10">
        <v>2000</v>
      </c>
      <c r="I1108" s="11">
        <f t="shared" si="34"/>
        <v>180</v>
      </c>
      <c r="J1108" s="3" t="str">
        <f t="shared" si="35"/>
        <v>Low</v>
      </c>
    </row>
    <row r="1109" spans="1:10">
      <c r="A1109" s="7" t="s">
        <v>1167</v>
      </c>
      <c r="B1109" s="7" t="s">
        <v>77</v>
      </c>
      <c r="C1109" s="7" t="s">
        <v>12</v>
      </c>
      <c r="D1109" s="22">
        <v>360000</v>
      </c>
      <c r="E1109" s="7">
        <v>0</v>
      </c>
      <c r="F1109" s="7">
        <v>3</v>
      </c>
      <c r="G1109" s="7">
        <v>2.1</v>
      </c>
      <c r="H1109" s="12">
        <v>1872</v>
      </c>
      <c r="I1109" s="9">
        <f t="shared" si="34"/>
        <v>192.30769230769232</v>
      </c>
      <c r="J1109" s="3" t="str">
        <f t="shared" si="35"/>
        <v>Low</v>
      </c>
    </row>
    <row r="1110" spans="1:10">
      <c r="A1110" s="4" t="s">
        <v>1168</v>
      </c>
      <c r="B1110" s="4" t="s">
        <v>282</v>
      </c>
      <c r="C1110" s="4" t="s">
        <v>12</v>
      </c>
      <c r="D1110" s="21">
        <v>360000</v>
      </c>
      <c r="E1110" s="4">
        <v>5</v>
      </c>
      <c r="F1110" s="4">
        <v>4</v>
      </c>
      <c r="G1110" s="4">
        <v>1</v>
      </c>
      <c r="H1110" s="10">
        <v>1843</v>
      </c>
      <c r="I1110" s="11">
        <f t="shared" si="34"/>
        <v>195.33369506239828</v>
      </c>
      <c r="J1110" s="3" t="str">
        <f t="shared" si="35"/>
        <v>Low</v>
      </c>
    </row>
    <row r="1111" spans="1:10">
      <c r="A1111" s="7" t="s">
        <v>1169</v>
      </c>
      <c r="B1111" s="7" t="s">
        <v>318</v>
      </c>
      <c r="C1111" s="7" t="s">
        <v>12</v>
      </c>
      <c r="D1111" s="22">
        <v>360000</v>
      </c>
      <c r="E1111" s="7">
        <v>7</v>
      </c>
      <c r="F1111" s="7">
        <v>2</v>
      </c>
      <c r="G1111" s="7">
        <v>2</v>
      </c>
      <c r="H1111" s="12">
        <v>1616</v>
      </c>
      <c r="I1111" s="9">
        <f t="shared" si="34"/>
        <v>222.77227722772278</v>
      </c>
      <c r="J1111" s="3" t="str">
        <f t="shared" si="35"/>
        <v>Medium</v>
      </c>
    </row>
    <row r="1112" spans="1:10">
      <c r="A1112" s="4" t="s">
        <v>1170</v>
      </c>
      <c r="B1112" s="4" t="s">
        <v>679</v>
      </c>
      <c r="C1112" s="4" t="s">
        <v>12</v>
      </c>
      <c r="D1112" s="21">
        <v>360000</v>
      </c>
      <c r="E1112" s="4">
        <v>84</v>
      </c>
      <c r="F1112" s="4">
        <v>3</v>
      </c>
      <c r="G1112" s="4">
        <v>2</v>
      </c>
      <c r="H1112" s="4">
        <v>992</v>
      </c>
      <c r="I1112" s="11">
        <f t="shared" si="34"/>
        <v>362.90322580645159</v>
      </c>
      <c r="J1112" s="3" t="str">
        <f t="shared" si="35"/>
        <v>High</v>
      </c>
    </row>
    <row r="1113" spans="1:10">
      <c r="A1113" s="7" t="s">
        <v>1171</v>
      </c>
      <c r="B1113" s="7" t="s">
        <v>268</v>
      </c>
      <c r="C1113" s="7" t="s">
        <v>12</v>
      </c>
      <c r="D1113" s="22">
        <v>360000</v>
      </c>
      <c r="E1113" s="7">
        <v>154</v>
      </c>
      <c r="F1113" s="7">
        <v>3</v>
      </c>
      <c r="G1113" s="7">
        <v>2</v>
      </c>
      <c r="H1113" s="12">
        <v>1800</v>
      </c>
      <c r="I1113" s="9">
        <f t="shared" si="34"/>
        <v>200</v>
      </c>
      <c r="J1113" s="3" t="str">
        <f t="shared" si="35"/>
        <v>Low</v>
      </c>
    </row>
    <row r="1114" spans="1:10">
      <c r="A1114" s="4" t="s">
        <v>1159</v>
      </c>
      <c r="B1114" s="4" t="s">
        <v>268</v>
      </c>
      <c r="C1114" s="4" t="s">
        <v>12</v>
      </c>
      <c r="D1114" s="21">
        <v>360000</v>
      </c>
      <c r="E1114" s="4">
        <v>235</v>
      </c>
      <c r="F1114" s="4">
        <v>4</v>
      </c>
      <c r="G1114" s="4">
        <v>2.1</v>
      </c>
      <c r="H1114" s="10">
        <v>1793</v>
      </c>
      <c r="I1114" s="11">
        <f t="shared" si="34"/>
        <v>200.7808142777468</v>
      </c>
      <c r="J1114" s="3" t="str">
        <f t="shared" si="35"/>
        <v>Medium</v>
      </c>
    </row>
    <row r="1115" spans="1:10">
      <c r="A1115" s="7" t="s">
        <v>1172</v>
      </c>
      <c r="B1115" s="7" t="s">
        <v>93</v>
      </c>
      <c r="C1115" s="7" t="s">
        <v>12</v>
      </c>
      <c r="D1115" s="22">
        <v>361000</v>
      </c>
      <c r="E1115" s="7">
        <v>10</v>
      </c>
      <c r="F1115" s="7">
        <v>0</v>
      </c>
      <c r="G1115" s="7">
        <v>0</v>
      </c>
      <c r="H1115" s="12">
        <v>1482</v>
      </c>
      <c r="I1115" s="9">
        <f t="shared" si="34"/>
        <v>243.58974358974359</v>
      </c>
      <c r="J1115" s="3" t="str">
        <f t="shared" si="35"/>
        <v>Medium</v>
      </c>
    </row>
    <row r="1116" spans="1:10">
      <c r="A1116" s="4" t="s">
        <v>1173</v>
      </c>
      <c r="B1116" s="4" t="s">
        <v>70</v>
      </c>
      <c r="C1116" s="4" t="s">
        <v>12</v>
      </c>
      <c r="D1116" s="21">
        <v>362000</v>
      </c>
      <c r="E1116" s="4">
        <v>7</v>
      </c>
      <c r="F1116" s="4">
        <v>4</v>
      </c>
      <c r="G1116" s="4">
        <v>2.1</v>
      </c>
      <c r="H1116" s="10">
        <v>2129</v>
      </c>
      <c r="I1116" s="11">
        <f t="shared" si="34"/>
        <v>170.03287928604979</v>
      </c>
      <c r="J1116" s="3" t="str">
        <f t="shared" si="35"/>
        <v>Low</v>
      </c>
    </row>
    <row r="1117" spans="1:10">
      <c r="A1117" s="7" t="s">
        <v>1174</v>
      </c>
      <c r="B1117" s="7" t="s">
        <v>268</v>
      </c>
      <c r="C1117" s="7" t="s">
        <v>12</v>
      </c>
      <c r="D1117" s="22">
        <v>362000</v>
      </c>
      <c r="E1117" s="7">
        <v>13</v>
      </c>
      <c r="F1117" s="7">
        <v>4</v>
      </c>
      <c r="G1117" s="7">
        <v>3</v>
      </c>
      <c r="H1117" s="12">
        <v>2498</v>
      </c>
      <c r="I1117" s="9">
        <f t="shared" si="34"/>
        <v>144.91593274619694</v>
      </c>
      <c r="J1117" s="3" t="str">
        <f t="shared" si="35"/>
        <v>Low</v>
      </c>
    </row>
    <row r="1118" spans="1:10">
      <c r="A1118" s="4" t="s">
        <v>1175</v>
      </c>
      <c r="B1118" s="4" t="s">
        <v>679</v>
      </c>
      <c r="C1118" s="4" t="s">
        <v>12</v>
      </c>
      <c r="D1118" s="21">
        <v>362000</v>
      </c>
      <c r="E1118" s="4">
        <v>70</v>
      </c>
      <c r="F1118" s="4">
        <v>3</v>
      </c>
      <c r="G1118" s="4">
        <v>1</v>
      </c>
      <c r="H1118" s="10">
        <v>1057</v>
      </c>
      <c r="I1118" s="11">
        <f t="shared" si="34"/>
        <v>342.47871333964048</v>
      </c>
      <c r="J1118" s="3" t="str">
        <f t="shared" si="35"/>
        <v>High</v>
      </c>
    </row>
    <row r="1119" spans="1:10">
      <c r="A1119" s="7" t="s">
        <v>1176</v>
      </c>
      <c r="B1119" s="7" t="s">
        <v>131</v>
      </c>
      <c r="C1119" s="7" t="s">
        <v>12</v>
      </c>
      <c r="D1119" s="22">
        <v>362000</v>
      </c>
      <c r="E1119" s="7">
        <v>172</v>
      </c>
      <c r="F1119" s="7">
        <v>3</v>
      </c>
      <c r="G1119" s="7">
        <v>2.1</v>
      </c>
      <c r="H1119" s="12">
        <v>1234</v>
      </c>
      <c r="I1119" s="9">
        <f t="shared" si="34"/>
        <v>293.35494327390597</v>
      </c>
      <c r="J1119" s="3" t="str">
        <f t="shared" si="35"/>
        <v>Medium</v>
      </c>
    </row>
    <row r="1120" spans="1:10">
      <c r="A1120" s="4" t="s">
        <v>1177</v>
      </c>
      <c r="B1120" s="4" t="s">
        <v>70</v>
      </c>
      <c r="C1120" s="4" t="s">
        <v>12</v>
      </c>
      <c r="D1120" s="21">
        <v>362500</v>
      </c>
      <c r="E1120" s="4">
        <v>9</v>
      </c>
      <c r="F1120" s="4">
        <v>3</v>
      </c>
      <c r="G1120" s="4">
        <v>2.1</v>
      </c>
      <c r="H1120" s="10">
        <v>2226</v>
      </c>
      <c r="I1120" s="11">
        <f t="shared" si="34"/>
        <v>162.848158131177</v>
      </c>
      <c r="J1120" s="3" t="str">
        <f t="shared" si="35"/>
        <v>Low</v>
      </c>
    </row>
    <row r="1121" spans="1:10">
      <c r="A1121" s="7" t="s">
        <v>1178</v>
      </c>
      <c r="B1121" s="7" t="s">
        <v>728</v>
      </c>
      <c r="C1121" s="7" t="s">
        <v>12</v>
      </c>
      <c r="D1121" s="22">
        <v>364900</v>
      </c>
      <c r="E1121" s="7">
        <v>9</v>
      </c>
      <c r="F1121" s="7">
        <v>3</v>
      </c>
      <c r="G1121" s="7">
        <v>1.1000000000000001</v>
      </c>
      <c r="H1121" s="12">
        <v>1435</v>
      </c>
      <c r="I1121" s="9">
        <f t="shared" si="34"/>
        <v>254.28571428571428</v>
      </c>
      <c r="J1121" s="3" t="str">
        <f t="shared" si="35"/>
        <v>Medium</v>
      </c>
    </row>
    <row r="1122" spans="1:10">
      <c r="A1122" s="4" t="s">
        <v>1179</v>
      </c>
      <c r="B1122" s="4" t="s">
        <v>878</v>
      </c>
      <c r="C1122" s="4" t="s">
        <v>12</v>
      </c>
      <c r="D1122" s="21">
        <v>364900</v>
      </c>
      <c r="E1122" s="4">
        <v>150</v>
      </c>
      <c r="F1122" s="4">
        <v>4</v>
      </c>
      <c r="G1122" s="4">
        <v>2.1</v>
      </c>
      <c r="H1122" s="10">
        <v>1822</v>
      </c>
      <c r="I1122" s="11">
        <f t="shared" si="34"/>
        <v>200.27442371020857</v>
      </c>
      <c r="J1122" s="3" t="str">
        <f t="shared" si="35"/>
        <v>Medium</v>
      </c>
    </row>
    <row r="1123" spans="1:10">
      <c r="A1123" s="7" t="s">
        <v>1180</v>
      </c>
      <c r="B1123" s="7" t="s">
        <v>42</v>
      </c>
      <c r="C1123" s="7" t="s">
        <v>12</v>
      </c>
      <c r="D1123" s="22">
        <v>365000</v>
      </c>
      <c r="E1123" s="7">
        <v>6</v>
      </c>
      <c r="F1123" s="7">
        <v>3</v>
      </c>
      <c r="G1123" s="7">
        <v>3</v>
      </c>
      <c r="H1123" s="12">
        <v>2511</v>
      </c>
      <c r="I1123" s="9">
        <f t="shared" si="34"/>
        <v>145.36041417761848</v>
      </c>
      <c r="J1123" s="3" t="str">
        <f t="shared" si="35"/>
        <v>Low</v>
      </c>
    </row>
    <row r="1124" spans="1:10">
      <c r="A1124" s="4" t="s">
        <v>1181</v>
      </c>
      <c r="B1124" s="4" t="s">
        <v>18</v>
      </c>
      <c r="C1124" s="4" t="s">
        <v>12</v>
      </c>
      <c r="D1124" s="21">
        <v>365000</v>
      </c>
      <c r="E1124" s="4">
        <v>5</v>
      </c>
      <c r="F1124" s="4">
        <v>4</v>
      </c>
      <c r="G1124" s="4">
        <v>2.1</v>
      </c>
      <c r="H1124" s="10">
        <v>2116</v>
      </c>
      <c r="I1124" s="11">
        <f t="shared" si="34"/>
        <v>172.49527410207941</v>
      </c>
      <c r="J1124" s="3" t="str">
        <f t="shared" si="35"/>
        <v>Low</v>
      </c>
    </row>
    <row r="1125" spans="1:10">
      <c r="A1125" s="7" t="s">
        <v>1182</v>
      </c>
      <c r="B1125" s="7" t="s">
        <v>131</v>
      </c>
      <c r="C1125" s="7" t="s">
        <v>12</v>
      </c>
      <c r="D1125" s="22">
        <v>365000</v>
      </c>
      <c r="E1125" s="7">
        <v>2</v>
      </c>
      <c r="F1125" s="7">
        <v>4</v>
      </c>
      <c r="G1125" s="7">
        <v>1.2</v>
      </c>
      <c r="H1125" s="12">
        <v>1550</v>
      </c>
      <c r="I1125" s="9">
        <f t="shared" si="34"/>
        <v>235.48387096774192</v>
      </c>
      <c r="J1125" s="3" t="str">
        <f t="shared" si="35"/>
        <v>Medium</v>
      </c>
    </row>
    <row r="1126" spans="1:10">
      <c r="A1126" s="4" t="s">
        <v>1183</v>
      </c>
      <c r="B1126" s="4" t="s">
        <v>544</v>
      </c>
      <c r="C1126" s="4" t="s">
        <v>12</v>
      </c>
      <c r="D1126" s="21">
        <v>365000</v>
      </c>
      <c r="E1126" s="4">
        <v>21</v>
      </c>
      <c r="F1126" s="4">
        <v>3</v>
      </c>
      <c r="G1126" s="4">
        <v>2.1</v>
      </c>
      <c r="H1126" s="10">
        <v>1697</v>
      </c>
      <c r="I1126" s="11">
        <f t="shared" si="34"/>
        <v>215.08544490276958</v>
      </c>
      <c r="J1126" s="3" t="str">
        <f t="shared" si="35"/>
        <v>Medium</v>
      </c>
    </row>
    <row r="1127" spans="1:10">
      <c r="A1127" s="7" t="s">
        <v>1184</v>
      </c>
      <c r="B1127" s="7" t="s">
        <v>318</v>
      </c>
      <c r="C1127" s="7" t="s">
        <v>12</v>
      </c>
      <c r="D1127" s="22">
        <v>365000</v>
      </c>
      <c r="E1127" s="7">
        <v>3</v>
      </c>
      <c r="F1127" s="7">
        <v>2</v>
      </c>
      <c r="G1127" s="7">
        <v>2</v>
      </c>
      <c r="H1127" s="12">
        <v>1302</v>
      </c>
      <c r="I1127" s="9">
        <f t="shared" si="34"/>
        <v>280.33794162826422</v>
      </c>
      <c r="J1127" s="3" t="str">
        <f t="shared" si="35"/>
        <v>Medium</v>
      </c>
    </row>
    <row r="1128" spans="1:10">
      <c r="A1128" s="4" t="s">
        <v>1185</v>
      </c>
      <c r="B1128" s="4" t="s">
        <v>960</v>
      </c>
      <c r="C1128" s="4" t="s">
        <v>12</v>
      </c>
      <c r="D1128" s="21">
        <v>365000</v>
      </c>
      <c r="E1128" s="4">
        <v>24</v>
      </c>
      <c r="F1128" s="4">
        <v>3</v>
      </c>
      <c r="G1128" s="4">
        <v>2.1</v>
      </c>
      <c r="H1128" s="4">
        <v>2035</v>
      </c>
      <c r="I1128" s="11">
        <f t="shared" si="34"/>
        <v>179.36117936117935</v>
      </c>
      <c r="J1128" s="3" t="str">
        <f t="shared" si="35"/>
        <v>Low</v>
      </c>
    </row>
    <row r="1129" spans="1:10">
      <c r="A1129" s="7" t="s">
        <v>1186</v>
      </c>
      <c r="B1129" s="7" t="s">
        <v>18</v>
      </c>
      <c r="C1129" s="7" t="s">
        <v>12</v>
      </c>
      <c r="D1129" s="22">
        <v>365000</v>
      </c>
      <c r="E1129" s="7">
        <v>15</v>
      </c>
      <c r="F1129" s="7">
        <v>4</v>
      </c>
      <c r="G1129" s="7">
        <v>2.1</v>
      </c>
      <c r="H1129" s="12">
        <v>2240</v>
      </c>
      <c r="I1129" s="9">
        <f t="shared" si="34"/>
        <v>162.94642857142858</v>
      </c>
      <c r="J1129" s="3" t="str">
        <f t="shared" si="35"/>
        <v>Low</v>
      </c>
    </row>
    <row r="1130" spans="1:10">
      <c r="A1130" s="4" t="s">
        <v>1187</v>
      </c>
      <c r="B1130" s="4" t="s">
        <v>11</v>
      </c>
      <c r="C1130" s="4" t="s">
        <v>12</v>
      </c>
      <c r="D1130" s="21">
        <v>365000</v>
      </c>
      <c r="E1130" s="4">
        <v>6</v>
      </c>
      <c r="F1130" s="4">
        <v>4</v>
      </c>
      <c r="G1130" s="4">
        <v>2.1</v>
      </c>
      <c r="H1130" s="10">
        <v>1747</v>
      </c>
      <c r="I1130" s="11">
        <f t="shared" si="34"/>
        <v>208.92959358900973</v>
      </c>
      <c r="J1130" s="3" t="str">
        <f t="shared" si="35"/>
        <v>Medium</v>
      </c>
    </row>
    <row r="1131" spans="1:10">
      <c r="A1131" s="7" t="s">
        <v>1188</v>
      </c>
      <c r="B1131" s="7" t="s">
        <v>18</v>
      </c>
      <c r="C1131" s="7" t="s">
        <v>12</v>
      </c>
      <c r="D1131" s="22">
        <v>365000</v>
      </c>
      <c r="E1131" s="7">
        <v>12</v>
      </c>
      <c r="F1131" s="7">
        <v>3</v>
      </c>
      <c r="G1131" s="7">
        <v>3</v>
      </c>
      <c r="H1131" s="12">
        <v>2061</v>
      </c>
      <c r="I1131" s="9">
        <f t="shared" si="34"/>
        <v>177.09849587578844</v>
      </c>
      <c r="J1131" s="3" t="str">
        <f t="shared" si="35"/>
        <v>Low</v>
      </c>
    </row>
    <row r="1132" spans="1:10">
      <c r="A1132" s="4" t="s">
        <v>1189</v>
      </c>
      <c r="B1132" s="4" t="s">
        <v>155</v>
      </c>
      <c r="C1132" s="4" t="s">
        <v>12</v>
      </c>
      <c r="D1132" s="21">
        <v>365000</v>
      </c>
      <c r="E1132" s="4">
        <v>14</v>
      </c>
      <c r="F1132" s="4">
        <v>3</v>
      </c>
      <c r="G1132" s="4">
        <v>2.1</v>
      </c>
      <c r="H1132" s="10">
        <v>1870</v>
      </c>
      <c r="I1132" s="11">
        <f t="shared" si="34"/>
        <v>195.18716577540107</v>
      </c>
      <c r="J1132" s="3" t="str">
        <f t="shared" si="35"/>
        <v>Low</v>
      </c>
    </row>
    <row r="1133" spans="1:10">
      <c r="A1133" s="7" t="s">
        <v>1190</v>
      </c>
      <c r="B1133" s="7" t="s">
        <v>1139</v>
      </c>
      <c r="C1133" s="7" t="s">
        <v>12</v>
      </c>
      <c r="D1133" s="22">
        <v>365000</v>
      </c>
      <c r="E1133" s="7">
        <v>86</v>
      </c>
      <c r="F1133" s="7">
        <v>3</v>
      </c>
      <c r="G1133" s="7">
        <v>1.1000000000000001</v>
      </c>
      <c r="H1133" s="12">
        <v>1478</v>
      </c>
      <c r="I1133" s="9">
        <f t="shared" si="34"/>
        <v>246.95534506089311</v>
      </c>
      <c r="J1133" s="3" t="str">
        <f t="shared" si="35"/>
        <v>Medium</v>
      </c>
    </row>
    <row r="1134" spans="1:10">
      <c r="A1134" s="4" t="s">
        <v>1191</v>
      </c>
      <c r="B1134" s="4" t="s">
        <v>331</v>
      </c>
      <c r="C1134" s="4" t="s">
        <v>12</v>
      </c>
      <c r="D1134" s="21">
        <v>365000</v>
      </c>
      <c r="E1134" s="4">
        <v>101</v>
      </c>
      <c r="F1134" s="4">
        <v>3</v>
      </c>
      <c r="G1134" s="4">
        <v>3</v>
      </c>
      <c r="H1134" s="10">
        <v>1335</v>
      </c>
      <c r="I1134" s="11">
        <f t="shared" si="34"/>
        <v>273.40823970037451</v>
      </c>
      <c r="J1134" s="3" t="str">
        <f t="shared" si="35"/>
        <v>Medium</v>
      </c>
    </row>
    <row r="1135" spans="1:10">
      <c r="A1135" s="7" t="s">
        <v>1192</v>
      </c>
      <c r="B1135" s="7" t="s">
        <v>131</v>
      </c>
      <c r="C1135" s="7" t="s">
        <v>12</v>
      </c>
      <c r="D1135" s="22">
        <v>365000</v>
      </c>
      <c r="E1135" s="7">
        <v>27</v>
      </c>
      <c r="F1135" s="7">
        <v>4</v>
      </c>
      <c r="G1135" s="7">
        <v>2</v>
      </c>
      <c r="H1135" s="7">
        <v>903</v>
      </c>
      <c r="I1135" s="9">
        <f t="shared" si="34"/>
        <v>404.20819490586933</v>
      </c>
      <c r="J1135" s="3" t="str">
        <f t="shared" si="35"/>
        <v>High</v>
      </c>
    </row>
    <row r="1136" spans="1:10">
      <c r="A1136" s="4" t="s">
        <v>1193</v>
      </c>
      <c r="B1136" s="4" t="s">
        <v>268</v>
      </c>
      <c r="C1136" s="4" t="s">
        <v>12</v>
      </c>
      <c r="D1136" s="21">
        <v>365000</v>
      </c>
      <c r="E1136" s="4">
        <v>72</v>
      </c>
      <c r="F1136" s="4">
        <v>3</v>
      </c>
      <c r="G1136" s="4">
        <v>2.1</v>
      </c>
      <c r="H1136" s="10">
        <v>2023</v>
      </c>
      <c r="I1136" s="11">
        <f t="shared" si="34"/>
        <v>180.42511122095897</v>
      </c>
      <c r="J1136" s="3" t="str">
        <f t="shared" si="35"/>
        <v>Low</v>
      </c>
    </row>
    <row r="1137" spans="1:10">
      <c r="A1137" s="7" t="s">
        <v>1194</v>
      </c>
      <c r="B1137" s="7" t="s">
        <v>823</v>
      </c>
      <c r="C1137" s="7" t="s">
        <v>12</v>
      </c>
      <c r="D1137" s="22">
        <v>367000</v>
      </c>
      <c r="E1137" s="7">
        <v>6</v>
      </c>
      <c r="F1137" s="7">
        <v>3</v>
      </c>
      <c r="G1137" s="7">
        <v>1.1000000000000001</v>
      </c>
      <c r="H1137" s="12">
        <v>1676</v>
      </c>
      <c r="I1137" s="9">
        <f t="shared" si="34"/>
        <v>218.97374701670645</v>
      </c>
      <c r="J1137" s="3" t="str">
        <f t="shared" si="35"/>
        <v>Medium</v>
      </c>
    </row>
    <row r="1138" spans="1:10">
      <c r="A1138" s="4" t="s">
        <v>1195</v>
      </c>
      <c r="B1138" s="4" t="s">
        <v>18</v>
      </c>
      <c r="C1138" s="4" t="s">
        <v>12</v>
      </c>
      <c r="D1138" s="21">
        <v>367000</v>
      </c>
      <c r="E1138" s="4">
        <v>87</v>
      </c>
      <c r="F1138" s="4">
        <v>3</v>
      </c>
      <c r="G1138" s="4">
        <v>2</v>
      </c>
      <c r="H1138" s="10">
        <v>1963</v>
      </c>
      <c r="I1138" s="11">
        <f t="shared" si="34"/>
        <v>186.95873662761079</v>
      </c>
      <c r="J1138" s="3" t="str">
        <f t="shared" si="35"/>
        <v>Low</v>
      </c>
    </row>
    <row r="1139" spans="1:10">
      <c r="A1139" s="7" t="s">
        <v>1196</v>
      </c>
      <c r="B1139" s="7" t="s">
        <v>645</v>
      </c>
      <c r="C1139" s="7" t="s">
        <v>12</v>
      </c>
      <c r="D1139" s="22">
        <v>367500</v>
      </c>
      <c r="E1139" s="7">
        <v>144</v>
      </c>
      <c r="F1139" s="7">
        <v>3</v>
      </c>
      <c r="G1139" s="7">
        <v>2.1</v>
      </c>
      <c r="H1139" s="12">
        <v>1781</v>
      </c>
      <c r="I1139" s="9">
        <f t="shared" si="34"/>
        <v>206.34475014037056</v>
      </c>
      <c r="J1139" s="3" t="str">
        <f t="shared" si="35"/>
        <v>Medium</v>
      </c>
    </row>
    <row r="1140" spans="1:10">
      <c r="A1140" s="4" t="s">
        <v>1197</v>
      </c>
      <c r="B1140" s="4" t="s">
        <v>1051</v>
      </c>
      <c r="C1140" s="4" t="s">
        <v>12</v>
      </c>
      <c r="D1140" s="21">
        <v>368000</v>
      </c>
      <c r="E1140" s="4">
        <v>139</v>
      </c>
      <c r="F1140" s="4">
        <v>4</v>
      </c>
      <c r="G1140" s="4">
        <v>1.2</v>
      </c>
      <c r="H1140" s="10">
        <v>1719</v>
      </c>
      <c r="I1140" s="11">
        <f t="shared" si="34"/>
        <v>214.07795229784759</v>
      </c>
      <c r="J1140" s="3" t="str">
        <f t="shared" si="35"/>
        <v>Medium</v>
      </c>
    </row>
    <row r="1141" spans="1:10">
      <c r="A1141" s="7" t="s">
        <v>1198</v>
      </c>
      <c r="B1141" s="7" t="s">
        <v>131</v>
      </c>
      <c r="C1141" s="7" t="s">
        <v>12</v>
      </c>
      <c r="D1141" s="22">
        <v>369000</v>
      </c>
      <c r="E1141" s="7">
        <v>56</v>
      </c>
      <c r="F1141" s="7">
        <v>3</v>
      </c>
      <c r="G1141" s="7">
        <v>3</v>
      </c>
      <c r="H1141" s="12">
        <v>1424</v>
      </c>
      <c r="I1141" s="9">
        <f t="shared" si="34"/>
        <v>259.12921348314609</v>
      </c>
      <c r="J1141" s="3" t="str">
        <f t="shared" si="35"/>
        <v>Medium</v>
      </c>
    </row>
    <row r="1142" spans="1:10">
      <c r="A1142" s="4" t="s">
        <v>1199</v>
      </c>
      <c r="B1142" s="4" t="s">
        <v>282</v>
      </c>
      <c r="C1142" s="4" t="s">
        <v>12</v>
      </c>
      <c r="D1142" s="21">
        <v>369022</v>
      </c>
      <c r="E1142" s="4">
        <v>2</v>
      </c>
      <c r="F1142" s="4">
        <v>3</v>
      </c>
      <c r="G1142" s="4">
        <v>1.1000000000000001</v>
      </c>
      <c r="H1142" s="10">
        <v>1210</v>
      </c>
      <c r="I1142" s="11">
        <f t="shared" si="34"/>
        <v>304.97685950413222</v>
      </c>
      <c r="J1142" s="3" t="str">
        <f t="shared" si="35"/>
        <v>High</v>
      </c>
    </row>
    <row r="1143" spans="1:10">
      <c r="A1143" s="7" t="s">
        <v>1200</v>
      </c>
      <c r="B1143" s="7" t="s">
        <v>544</v>
      </c>
      <c r="C1143" s="7" t="s">
        <v>12</v>
      </c>
      <c r="D1143" s="22">
        <v>370000</v>
      </c>
      <c r="E1143" s="7">
        <v>7</v>
      </c>
      <c r="F1143" s="7">
        <v>3</v>
      </c>
      <c r="G1143" s="7">
        <v>1.1000000000000001</v>
      </c>
      <c r="H1143" s="12">
        <v>1348</v>
      </c>
      <c r="I1143" s="9">
        <f t="shared" si="34"/>
        <v>274.48071216617211</v>
      </c>
      <c r="J1143" s="3" t="str">
        <f t="shared" si="35"/>
        <v>Medium</v>
      </c>
    </row>
    <row r="1144" spans="1:10">
      <c r="A1144" s="4" t="s">
        <v>1201</v>
      </c>
      <c r="B1144" s="4" t="s">
        <v>212</v>
      </c>
      <c r="C1144" s="4" t="s">
        <v>12</v>
      </c>
      <c r="D1144" s="21">
        <v>370000</v>
      </c>
      <c r="E1144" s="4">
        <v>51</v>
      </c>
      <c r="F1144" s="4">
        <v>4</v>
      </c>
      <c r="G1144" s="4">
        <v>2</v>
      </c>
      <c r="H1144" s="10">
        <v>1834</v>
      </c>
      <c r="I1144" s="11">
        <f t="shared" si="34"/>
        <v>201.74482006543076</v>
      </c>
      <c r="J1144" s="3" t="str">
        <f t="shared" si="35"/>
        <v>Medium</v>
      </c>
    </row>
    <row r="1145" spans="1:10">
      <c r="A1145" s="7" t="s">
        <v>1202</v>
      </c>
      <c r="B1145" s="7" t="s">
        <v>823</v>
      </c>
      <c r="C1145" s="7" t="s">
        <v>12</v>
      </c>
      <c r="D1145" s="22">
        <v>370000</v>
      </c>
      <c r="E1145" s="7">
        <v>16</v>
      </c>
      <c r="F1145" s="7">
        <v>4</v>
      </c>
      <c r="G1145" s="7">
        <v>3.1</v>
      </c>
      <c r="H1145" s="12">
        <v>1835</v>
      </c>
      <c r="I1145" s="9">
        <f t="shared" si="34"/>
        <v>201.63487738419619</v>
      </c>
      <c r="J1145" s="3" t="str">
        <f t="shared" si="35"/>
        <v>Medium</v>
      </c>
    </row>
    <row r="1146" spans="1:10">
      <c r="A1146" s="4" t="s">
        <v>1203</v>
      </c>
      <c r="B1146" s="4" t="s">
        <v>80</v>
      </c>
      <c r="C1146" s="4" t="s">
        <v>12</v>
      </c>
      <c r="D1146" s="21">
        <v>370000</v>
      </c>
      <c r="E1146" s="4">
        <v>6</v>
      </c>
      <c r="F1146" s="4">
        <v>3</v>
      </c>
      <c r="G1146" s="4">
        <v>2</v>
      </c>
      <c r="H1146" s="10">
        <v>1500</v>
      </c>
      <c r="I1146" s="11">
        <f t="shared" si="34"/>
        <v>246.66666666666666</v>
      </c>
      <c r="J1146" s="3" t="str">
        <f t="shared" si="35"/>
        <v>Medium</v>
      </c>
    </row>
    <row r="1147" spans="1:10">
      <c r="A1147" s="7" t="s">
        <v>1204</v>
      </c>
      <c r="B1147" s="7" t="s">
        <v>268</v>
      </c>
      <c r="C1147" s="7" t="s">
        <v>12</v>
      </c>
      <c r="D1147" s="22">
        <v>370000</v>
      </c>
      <c r="E1147" s="7">
        <v>73</v>
      </c>
      <c r="F1147" s="7">
        <v>3</v>
      </c>
      <c r="G1147" s="7">
        <v>2.1</v>
      </c>
      <c r="H1147" s="12">
        <v>1871</v>
      </c>
      <c r="I1147" s="9">
        <f t="shared" si="34"/>
        <v>197.7552111170497</v>
      </c>
      <c r="J1147" s="3" t="str">
        <f t="shared" si="35"/>
        <v>Low</v>
      </c>
    </row>
    <row r="1148" spans="1:10">
      <c r="A1148" s="4" t="s">
        <v>1205</v>
      </c>
      <c r="B1148" s="4" t="s">
        <v>318</v>
      </c>
      <c r="C1148" s="4" t="s">
        <v>12</v>
      </c>
      <c r="D1148" s="21">
        <v>370000</v>
      </c>
      <c r="E1148" s="4">
        <v>23</v>
      </c>
      <c r="F1148" s="4">
        <v>4</v>
      </c>
      <c r="G1148" s="4">
        <v>3</v>
      </c>
      <c r="H1148" s="10">
        <v>2162</v>
      </c>
      <c r="I1148" s="11">
        <f t="shared" si="34"/>
        <v>171.13783533765033</v>
      </c>
      <c r="J1148" s="3" t="str">
        <f t="shared" si="35"/>
        <v>Low</v>
      </c>
    </row>
    <row r="1149" spans="1:10">
      <c r="A1149" s="7" t="s">
        <v>1206</v>
      </c>
      <c r="B1149" s="7" t="s">
        <v>73</v>
      </c>
      <c r="C1149" s="7" t="s">
        <v>12</v>
      </c>
      <c r="D1149" s="22">
        <v>370000</v>
      </c>
      <c r="E1149" s="7">
        <v>127</v>
      </c>
      <c r="F1149" s="7">
        <v>4</v>
      </c>
      <c r="G1149" s="7">
        <v>3</v>
      </c>
      <c r="H1149" s="12">
        <v>2495</v>
      </c>
      <c r="I1149" s="9">
        <f t="shared" si="34"/>
        <v>148.29659318637275</v>
      </c>
      <c r="J1149" s="3" t="str">
        <f t="shared" si="35"/>
        <v>Low</v>
      </c>
    </row>
    <row r="1150" spans="1:10">
      <c r="A1150" s="4" t="s">
        <v>1207</v>
      </c>
      <c r="B1150" s="4" t="s">
        <v>212</v>
      </c>
      <c r="C1150" s="4" t="s">
        <v>12</v>
      </c>
      <c r="D1150" s="21">
        <v>370000</v>
      </c>
      <c r="E1150" s="4">
        <v>69</v>
      </c>
      <c r="F1150" s="4">
        <v>4</v>
      </c>
      <c r="G1150" s="4">
        <v>2</v>
      </c>
      <c r="H1150" s="10">
        <v>1709</v>
      </c>
      <c r="I1150" s="11">
        <f t="shared" si="34"/>
        <v>216.50087770626098</v>
      </c>
      <c r="J1150" s="3" t="str">
        <f t="shared" si="35"/>
        <v>Medium</v>
      </c>
    </row>
    <row r="1151" spans="1:10">
      <c r="A1151" s="7" t="s">
        <v>1208</v>
      </c>
      <c r="B1151" s="7" t="s">
        <v>212</v>
      </c>
      <c r="C1151" s="7" t="s">
        <v>12</v>
      </c>
      <c r="D1151" s="22">
        <v>370000</v>
      </c>
      <c r="E1151" s="7">
        <v>35</v>
      </c>
      <c r="F1151" s="7">
        <v>3</v>
      </c>
      <c r="G1151" s="7">
        <v>2.1</v>
      </c>
      <c r="H1151" s="12">
        <v>2186</v>
      </c>
      <c r="I1151" s="9">
        <f t="shared" si="34"/>
        <v>169.25892040256176</v>
      </c>
      <c r="J1151" s="3" t="str">
        <f t="shared" si="35"/>
        <v>Low</v>
      </c>
    </row>
    <row r="1152" spans="1:10">
      <c r="A1152" s="4" t="s">
        <v>1209</v>
      </c>
      <c r="B1152" s="4" t="s">
        <v>131</v>
      </c>
      <c r="C1152" s="4" t="s">
        <v>12</v>
      </c>
      <c r="D1152" s="21">
        <v>370000</v>
      </c>
      <c r="E1152" s="4">
        <v>46</v>
      </c>
      <c r="F1152" s="4">
        <v>4</v>
      </c>
      <c r="G1152" s="4">
        <v>2</v>
      </c>
      <c r="H1152" s="10">
        <v>1633</v>
      </c>
      <c r="I1152" s="11">
        <f t="shared" si="34"/>
        <v>226.57685241886099</v>
      </c>
      <c r="J1152" s="3" t="str">
        <f t="shared" si="35"/>
        <v>Medium</v>
      </c>
    </row>
    <row r="1153" spans="1:10">
      <c r="A1153" s="7" t="s">
        <v>1210</v>
      </c>
      <c r="B1153" s="7" t="s">
        <v>384</v>
      </c>
      <c r="C1153" s="7" t="s">
        <v>12</v>
      </c>
      <c r="D1153" s="22">
        <v>370000</v>
      </c>
      <c r="E1153" s="7">
        <v>44</v>
      </c>
      <c r="F1153" s="7">
        <v>4</v>
      </c>
      <c r="G1153" s="7">
        <v>2.1</v>
      </c>
      <c r="H1153" s="12">
        <v>2772</v>
      </c>
      <c r="I1153" s="9">
        <f t="shared" si="34"/>
        <v>133.47763347763347</v>
      </c>
      <c r="J1153" s="3" t="str">
        <f t="shared" si="35"/>
        <v>Low</v>
      </c>
    </row>
    <row r="1154" spans="1:10">
      <c r="A1154" s="4" t="s">
        <v>1211</v>
      </c>
      <c r="B1154" s="4" t="s">
        <v>56</v>
      </c>
      <c r="C1154" s="4" t="s">
        <v>12</v>
      </c>
      <c r="D1154" s="21">
        <v>370000</v>
      </c>
      <c r="E1154" s="4">
        <v>113</v>
      </c>
      <c r="F1154" s="4">
        <v>3</v>
      </c>
      <c r="G1154" s="4">
        <v>2.1</v>
      </c>
      <c r="H1154" s="10">
        <v>2418</v>
      </c>
      <c r="I1154" s="11">
        <f t="shared" ref="I1154:I1217" si="36">D1154/H1154</f>
        <v>153.01902398676592</v>
      </c>
      <c r="J1154" s="3" t="str">
        <f t="shared" ref="J1154:J1217" si="37">IF(I1154 &gt; 300, "High", IF(AND(I1154 &lt;= 300, I1154 &gt; 200), "Medium", "Low"))</f>
        <v>Low</v>
      </c>
    </row>
    <row r="1155" spans="1:10">
      <c r="A1155" s="7" t="s">
        <v>1212</v>
      </c>
      <c r="B1155" s="7" t="s">
        <v>70</v>
      </c>
      <c r="C1155" s="7" t="s">
        <v>12</v>
      </c>
      <c r="D1155" s="22">
        <v>372000</v>
      </c>
      <c r="E1155" s="7">
        <v>5</v>
      </c>
      <c r="F1155" s="7">
        <v>4</v>
      </c>
      <c r="G1155" s="7">
        <v>2.1</v>
      </c>
      <c r="H1155" s="12">
        <v>1021</v>
      </c>
      <c r="I1155" s="9">
        <f t="shared" si="36"/>
        <v>364.34867776689521</v>
      </c>
      <c r="J1155" s="3" t="str">
        <f t="shared" si="37"/>
        <v>High</v>
      </c>
    </row>
    <row r="1156" spans="1:10">
      <c r="A1156" s="4" t="s">
        <v>1213</v>
      </c>
      <c r="B1156" s="4" t="s">
        <v>131</v>
      </c>
      <c r="C1156" s="4" t="s">
        <v>12</v>
      </c>
      <c r="D1156" s="21">
        <v>372300</v>
      </c>
      <c r="E1156" s="4">
        <v>2</v>
      </c>
      <c r="F1156" s="4">
        <v>3</v>
      </c>
      <c r="G1156" s="4">
        <v>2</v>
      </c>
      <c r="H1156" s="10">
        <v>1428</v>
      </c>
      <c r="I1156" s="11">
        <f t="shared" si="36"/>
        <v>260.71428571428572</v>
      </c>
      <c r="J1156" s="3" t="str">
        <f t="shared" si="37"/>
        <v>Medium</v>
      </c>
    </row>
    <row r="1157" spans="1:10">
      <c r="A1157" s="7" t="s">
        <v>1214</v>
      </c>
      <c r="B1157" s="7" t="s">
        <v>70</v>
      </c>
      <c r="C1157" s="7" t="s">
        <v>12</v>
      </c>
      <c r="D1157" s="22">
        <v>373000</v>
      </c>
      <c r="E1157" s="7">
        <v>7</v>
      </c>
      <c r="F1157" s="7">
        <v>3</v>
      </c>
      <c r="G1157" s="7">
        <v>2.1</v>
      </c>
      <c r="H1157" s="12">
        <v>2452</v>
      </c>
      <c r="I1157" s="9">
        <f t="shared" si="36"/>
        <v>152.12071778140293</v>
      </c>
      <c r="J1157" s="3" t="str">
        <f t="shared" si="37"/>
        <v>Low</v>
      </c>
    </row>
    <row r="1158" spans="1:10">
      <c r="A1158" s="4" t="s">
        <v>1215</v>
      </c>
      <c r="B1158" s="4" t="s">
        <v>29</v>
      </c>
      <c r="C1158" s="4" t="s">
        <v>12</v>
      </c>
      <c r="D1158" s="21">
        <v>373250</v>
      </c>
      <c r="E1158" s="4">
        <v>5</v>
      </c>
      <c r="F1158" s="4">
        <v>3</v>
      </c>
      <c r="G1158" s="4">
        <v>2</v>
      </c>
      <c r="H1158" s="10">
        <v>1397</v>
      </c>
      <c r="I1158" s="11">
        <f t="shared" si="36"/>
        <v>267.17967072297779</v>
      </c>
      <c r="J1158" s="3" t="str">
        <f t="shared" si="37"/>
        <v>Medium</v>
      </c>
    </row>
    <row r="1159" spans="1:10">
      <c r="A1159" s="7" t="s">
        <v>1216</v>
      </c>
      <c r="B1159" s="7" t="s">
        <v>888</v>
      </c>
      <c r="C1159" s="7" t="s">
        <v>12</v>
      </c>
      <c r="D1159" s="22">
        <v>374000</v>
      </c>
      <c r="E1159" s="7">
        <v>3</v>
      </c>
      <c r="F1159" s="7">
        <v>2</v>
      </c>
      <c r="G1159" s="7">
        <v>2</v>
      </c>
      <c r="H1159" s="7">
        <v>960</v>
      </c>
      <c r="I1159" s="9">
        <f t="shared" si="36"/>
        <v>389.58333333333331</v>
      </c>
      <c r="J1159" s="3" t="str">
        <f t="shared" si="37"/>
        <v>High</v>
      </c>
    </row>
    <row r="1160" spans="1:10">
      <c r="A1160" s="4" t="s">
        <v>1217</v>
      </c>
      <c r="B1160" s="4" t="s">
        <v>73</v>
      </c>
      <c r="C1160" s="4" t="s">
        <v>12</v>
      </c>
      <c r="D1160" s="21">
        <v>374000</v>
      </c>
      <c r="E1160" s="4">
        <v>33</v>
      </c>
      <c r="F1160" s="4">
        <v>4</v>
      </c>
      <c r="G1160" s="4">
        <v>2.1</v>
      </c>
      <c r="H1160" s="10">
        <v>1980</v>
      </c>
      <c r="I1160" s="11">
        <f t="shared" si="36"/>
        <v>188.88888888888889</v>
      </c>
      <c r="J1160" s="3" t="str">
        <f t="shared" si="37"/>
        <v>Low</v>
      </c>
    </row>
    <row r="1161" spans="1:10">
      <c r="A1161" s="7" t="s">
        <v>1218</v>
      </c>
      <c r="B1161" s="7" t="s">
        <v>131</v>
      </c>
      <c r="C1161" s="7" t="s">
        <v>12</v>
      </c>
      <c r="D1161" s="22">
        <v>374000</v>
      </c>
      <c r="E1161" s="7">
        <v>7</v>
      </c>
      <c r="F1161" s="7">
        <v>3</v>
      </c>
      <c r="G1161" s="7">
        <v>2</v>
      </c>
      <c r="H1161" s="12">
        <v>1184</v>
      </c>
      <c r="I1161" s="9">
        <f t="shared" si="36"/>
        <v>315.87837837837839</v>
      </c>
      <c r="J1161" s="3" t="str">
        <f t="shared" si="37"/>
        <v>High</v>
      </c>
    </row>
    <row r="1162" spans="1:10">
      <c r="A1162" s="4" t="s">
        <v>1219</v>
      </c>
      <c r="B1162" s="4" t="s">
        <v>388</v>
      </c>
      <c r="C1162" s="4" t="s">
        <v>12</v>
      </c>
      <c r="D1162" s="21">
        <v>374000</v>
      </c>
      <c r="E1162" s="4">
        <v>75</v>
      </c>
      <c r="F1162" s="4">
        <v>3</v>
      </c>
      <c r="G1162" s="4">
        <v>3</v>
      </c>
      <c r="H1162" s="10">
        <v>1453</v>
      </c>
      <c r="I1162" s="11">
        <f t="shared" si="36"/>
        <v>257.39848589125944</v>
      </c>
      <c r="J1162" s="3" t="str">
        <f t="shared" si="37"/>
        <v>Medium</v>
      </c>
    </row>
    <row r="1163" spans="1:10">
      <c r="A1163" s="7" t="s">
        <v>1220</v>
      </c>
      <c r="B1163" s="7" t="s">
        <v>70</v>
      </c>
      <c r="C1163" s="7" t="s">
        <v>12</v>
      </c>
      <c r="D1163" s="22">
        <v>374900</v>
      </c>
      <c r="E1163" s="7">
        <v>39</v>
      </c>
      <c r="F1163" s="7">
        <v>3</v>
      </c>
      <c r="G1163" s="7">
        <v>1.1000000000000001</v>
      </c>
      <c r="H1163" s="12">
        <v>1685</v>
      </c>
      <c r="I1163" s="9">
        <f t="shared" si="36"/>
        <v>222.49258160237389</v>
      </c>
      <c r="J1163" s="3" t="str">
        <f t="shared" si="37"/>
        <v>Medium</v>
      </c>
    </row>
    <row r="1164" spans="1:10">
      <c r="A1164" s="4" t="s">
        <v>1221</v>
      </c>
      <c r="B1164" s="4" t="s">
        <v>331</v>
      </c>
      <c r="C1164" s="4" t="s">
        <v>12</v>
      </c>
      <c r="D1164" s="21">
        <v>374900</v>
      </c>
      <c r="E1164" s="4">
        <v>4</v>
      </c>
      <c r="F1164" s="4">
        <v>4</v>
      </c>
      <c r="G1164" s="4">
        <v>2</v>
      </c>
      <c r="H1164" s="10">
        <v>1827</v>
      </c>
      <c r="I1164" s="11">
        <f t="shared" si="36"/>
        <v>205.19978106185002</v>
      </c>
      <c r="J1164" s="3" t="str">
        <f t="shared" si="37"/>
        <v>Medium</v>
      </c>
    </row>
    <row r="1165" spans="1:10">
      <c r="A1165" s="7" t="s">
        <v>1222</v>
      </c>
      <c r="B1165" s="7" t="s">
        <v>70</v>
      </c>
      <c r="C1165" s="7" t="s">
        <v>12</v>
      </c>
      <c r="D1165" s="22">
        <v>374900</v>
      </c>
      <c r="E1165" s="7">
        <v>14</v>
      </c>
      <c r="F1165" s="7">
        <v>3</v>
      </c>
      <c r="G1165" s="7">
        <v>1.1000000000000001</v>
      </c>
      <c r="H1165" s="12">
        <v>1685</v>
      </c>
      <c r="I1165" s="9">
        <f t="shared" si="36"/>
        <v>222.49258160237389</v>
      </c>
      <c r="J1165" s="3" t="str">
        <f t="shared" si="37"/>
        <v>Medium</v>
      </c>
    </row>
    <row r="1166" spans="1:10">
      <c r="A1166" s="4" t="s">
        <v>1223</v>
      </c>
      <c r="B1166" s="4" t="s">
        <v>1051</v>
      </c>
      <c r="C1166" s="4" t="s">
        <v>12</v>
      </c>
      <c r="D1166" s="21">
        <v>375000</v>
      </c>
      <c r="E1166" s="4">
        <v>7</v>
      </c>
      <c r="F1166" s="4">
        <v>3</v>
      </c>
      <c r="G1166" s="4">
        <v>2.1</v>
      </c>
      <c r="H1166" s="10">
        <v>1290</v>
      </c>
      <c r="I1166" s="11">
        <f t="shared" si="36"/>
        <v>290.69767441860466</v>
      </c>
      <c r="J1166" s="3" t="str">
        <f t="shared" si="37"/>
        <v>Medium</v>
      </c>
    </row>
    <row r="1167" spans="1:10">
      <c r="A1167" s="7" t="s">
        <v>1224</v>
      </c>
      <c r="B1167" s="7" t="s">
        <v>363</v>
      </c>
      <c r="C1167" s="7" t="s">
        <v>12</v>
      </c>
      <c r="D1167" s="22">
        <v>375000</v>
      </c>
      <c r="E1167" s="7">
        <v>2</v>
      </c>
      <c r="F1167" s="7">
        <v>3</v>
      </c>
      <c r="G1167" s="7">
        <v>2</v>
      </c>
      <c r="H1167" s="12">
        <v>1131</v>
      </c>
      <c r="I1167" s="9">
        <f t="shared" si="36"/>
        <v>331.56498673740055</v>
      </c>
      <c r="J1167" s="3" t="str">
        <f t="shared" si="37"/>
        <v>High</v>
      </c>
    </row>
    <row r="1168" spans="1:10">
      <c r="A1168" s="4" t="s">
        <v>1225</v>
      </c>
      <c r="B1168" s="4" t="s">
        <v>29</v>
      </c>
      <c r="C1168" s="4" t="s">
        <v>12</v>
      </c>
      <c r="D1168" s="21">
        <v>375000</v>
      </c>
      <c r="E1168" s="4">
        <v>5</v>
      </c>
      <c r="F1168" s="4">
        <v>3</v>
      </c>
      <c r="G1168" s="4">
        <v>2</v>
      </c>
      <c r="H1168" s="10">
        <v>1202</v>
      </c>
      <c r="I1168" s="11">
        <f t="shared" si="36"/>
        <v>311.98003327787023</v>
      </c>
      <c r="J1168" s="3" t="str">
        <f t="shared" si="37"/>
        <v>High</v>
      </c>
    </row>
    <row r="1169" spans="1:10">
      <c r="A1169" s="7" t="s">
        <v>1226</v>
      </c>
      <c r="B1169" s="7" t="s">
        <v>878</v>
      </c>
      <c r="C1169" s="7" t="s">
        <v>12</v>
      </c>
      <c r="D1169" s="22">
        <v>375000</v>
      </c>
      <c r="E1169" s="7">
        <v>31</v>
      </c>
      <c r="F1169" s="7">
        <v>4</v>
      </c>
      <c r="G1169" s="7">
        <v>2</v>
      </c>
      <c r="H1169" s="12">
        <v>1364</v>
      </c>
      <c r="I1169" s="9">
        <f t="shared" si="36"/>
        <v>274.92668621700881</v>
      </c>
      <c r="J1169" s="3" t="str">
        <f t="shared" si="37"/>
        <v>Medium</v>
      </c>
    </row>
    <row r="1170" spans="1:10">
      <c r="A1170" s="4" t="s">
        <v>1227</v>
      </c>
      <c r="B1170" s="4" t="s">
        <v>77</v>
      </c>
      <c r="C1170" s="4" t="s">
        <v>12</v>
      </c>
      <c r="D1170" s="21">
        <v>375000</v>
      </c>
      <c r="E1170" s="4">
        <v>9</v>
      </c>
      <c r="F1170" s="4">
        <v>5</v>
      </c>
      <c r="G1170" s="4">
        <v>2.1</v>
      </c>
      <c r="H1170" s="10">
        <v>1540</v>
      </c>
      <c r="I1170" s="11">
        <f t="shared" si="36"/>
        <v>243.50649350649351</v>
      </c>
      <c r="J1170" s="3" t="str">
        <f t="shared" si="37"/>
        <v>Medium</v>
      </c>
    </row>
    <row r="1171" spans="1:10">
      <c r="A1171" s="7" t="s">
        <v>1228</v>
      </c>
      <c r="B1171" s="7" t="s">
        <v>474</v>
      </c>
      <c r="C1171" s="7" t="s">
        <v>12</v>
      </c>
      <c r="D1171" s="22">
        <v>375000</v>
      </c>
      <c r="E1171" s="7">
        <v>4</v>
      </c>
      <c r="F1171" s="7">
        <v>4</v>
      </c>
      <c r="G1171" s="7">
        <v>2</v>
      </c>
      <c r="H1171" s="12">
        <v>1456</v>
      </c>
      <c r="I1171" s="9">
        <f t="shared" si="36"/>
        <v>257.55494505494505</v>
      </c>
      <c r="J1171" s="3" t="str">
        <f t="shared" si="37"/>
        <v>Medium</v>
      </c>
    </row>
    <row r="1172" spans="1:10">
      <c r="A1172" s="4" t="s">
        <v>1229</v>
      </c>
      <c r="B1172" s="4" t="s">
        <v>331</v>
      </c>
      <c r="C1172" s="4" t="s">
        <v>12</v>
      </c>
      <c r="D1172" s="21">
        <v>375000</v>
      </c>
      <c r="E1172" s="4">
        <v>8</v>
      </c>
      <c r="F1172" s="4">
        <v>4</v>
      </c>
      <c r="G1172" s="4">
        <v>2.1</v>
      </c>
      <c r="H1172" s="10">
        <v>2068</v>
      </c>
      <c r="I1172" s="11">
        <f t="shared" si="36"/>
        <v>181.33462282398452</v>
      </c>
      <c r="J1172" s="3" t="str">
        <f t="shared" si="37"/>
        <v>Low</v>
      </c>
    </row>
    <row r="1173" spans="1:10">
      <c r="A1173" s="7" t="s">
        <v>1230</v>
      </c>
      <c r="B1173" s="7" t="s">
        <v>282</v>
      </c>
      <c r="C1173" s="7" t="s">
        <v>12</v>
      </c>
      <c r="D1173" s="22">
        <v>375000</v>
      </c>
      <c r="E1173" s="7">
        <v>7</v>
      </c>
      <c r="F1173" s="7">
        <v>3</v>
      </c>
      <c r="G1173" s="7">
        <v>2</v>
      </c>
      <c r="H1173" s="12">
        <v>1118</v>
      </c>
      <c r="I1173" s="9">
        <f t="shared" si="36"/>
        <v>335.42039355992847</v>
      </c>
      <c r="J1173" s="3" t="str">
        <f t="shared" si="37"/>
        <v>High</v>
      </c>
    </row>
    <row r="1174" spans="1:10">
      <c r="A1174" s="4" t="s">
        <v>1231</v>
      </c>
      <c r="B1174" s="4" t="s">
        <v>29</v>
      </c>
      <c r="C1174" s="4" t="s">
        <v>12</v>
      </c>
      <c r="D1174" s="21">
        <v>375000</v>
      </c>
      <c r="E1174" s="4">
        <v>99</v>
      </c>
      <c r="F1174" s="4">
        <v>3</v>
      </c>
      <c r="G1174" s="4">
        <v>2.1</v>
      </c>
      <c r="H1174" s="10">
        <v>1536</v>
      </c>
      <c r="I1174" s="11">
        <f t="shared" si="36"/>
        <v>244.140625</v>
      </c>
      <c r="J1174" s="3" t="str">
        <f t="shared" si="37"/>
        <v>Medium</v>
      </c>
    </row>
    <row r="1175" spans="1:10">
      <c r="A1175" s="7" t="s">
        <v>1232</v>
      </c>
      <c r="B1175" s="7" t="s">
        <v>18</v>
      </c>
      <c r="C1175" s="7" t="s">
        <v>12</v>
      </c>
      <c r="D1175" s="22">
        <v>375000</v>
      </c>
      <c r="E1175" s="7">
        <v>52</v>
      </c>
      <c r="F1175" s="7">
        <v>4</v>
      </c>
      <c r="G1175" s="7">
        <v>2.1</v>
      </c>
      <c r="H1175" s="12">
        <v>1719</v>
      </c>
      <c r="I1175" s="9">
        <f t="shared" si="36"/>
        <v>218.15008726003489</v>
      </c>
      <c r="J1175" s="3" t="str">
        <f t="shared" si="37"/>
        <v>Medium</v>
      </c>
    </row>
    <row r="1176" spans="1:10">
      <c r="A1176" s="4" t="s">
        <v>1233</v>
      </c>
      <c r="B1176" s="4" t="s">
        <v>11</v>
      </c>
      <c r="C1176" s="4" t="s">
        <v>12</v>
      </c>
      <c r="D1176" s="21">
        <v>375000</v>
      </c>
      <c r="E1176" s="4">
        <v>187</v>
      </c>
      <c r="F1176" s="4">
        <v>4</v>
      </c>
      <c r="G1176" s="4">
        <v>2.1</v>
      </c>
      <c r="H1176" s="10">
        <v>2482</v>
      </c>
      <c r="I1176" s="11">
        <f t="shared" si="36"/>
        <v>151.08783239323125</v>
      </c>
      <c r="J1176" s="3" t="str">
        <f t="shared" si="37"/>
        <v>Low</v>
      </c>
    </row>
    <row r="1177" spans="1:10">
      <c r="A1177" s="7" t="s">
        <v>1234</v>
      </c>
      <c r="B1177" s="7" t="s">
        <v>56</v>
      </c>
      <c r="C1177" s="7" t="s">
        <v>12</v>
      </c>
      <c r="D1177" s="22">
        <v>375620</v>
      </c>
      <c r="E1177" s="7">
        <v>91</v>
      </c>
      <c r="F1177" s="7">
        <v>3</v>
      </c>
      <c r="G1177" s="7">
        <v>2.1</v>
      </c>
      <c r="H1177" s="12">
        <v>1879</v>
      </c>
      <c r="I1177" s="9">
        <f t="shared" si="36"/>
        <v>199.90420436402343</v>
      </c>
      <c r="J1177" s="3" t="str">
        <f t="shared" si="37"/>
        <v>Low</v>
      </c>
    </row>
    <row r="1178" spans="1:10">
      <c r="A1178" s="4" t="s">
        <v>1235</v>
      </c>
      <c r="B1178" s="4" t="s">
        <v>823</v>
      </c>
      <c r="C1178" s="4" t="s">
        <v>12</v>
      </c>
      <c r="D1178" s="21">
        <v>377000</v>
      </c>
      <c r="E1178" s="4">
        <v>15</v>
      </c>
      <c r="F1178" s="4">
        <v>3</v>
      </c>
      <c r="G1178" s="4">
        <v>2</v>
      </c>
      <c r="H1178" s="10">
        <v>1537</v>
      </c>
      <c r="I1178" s="11">
        <f t="shared" si="36"/>
        <v>245.28301886792454</v>
      </c>
      <c r="J1178" s="3" t="str">
        <f t="shared" si="37"/>
        <v>Medium</v>
      </c>
    </row>
    <row r="1179" spans="1:10">
      <c r="A1179" s="7" t="s">
        <v>1236</v>
      </c>
      <c r="B1179" s="7" t="s">
        <v>1164</v>
      </c>
      <c r="C1179" s="7" t="s">
        <v>12</v>
      </c>
      <c r="D1179" s="22">
        <v>377025</v>
      </c>
      <c r="E1179" s="7">
        <v>5</v>
      </c>
      <c r="F1179" s="7">
        <v>3</v>
      </c>
      <c r="G1179" s="7">
        <v>2.1</v>
      </c>
      <c r="H1179" s="12">
        <v>1729</v>
      </c>
      <c r="I1179" s="9">
        <f t="shared" si="36"/>
        <v>218.05957200694044</v>
      </c>
      <c r="J1179" s="3" t="str">
        <f t="shared" si="37"/>
        <v>Medium</v>
      </c>
    </row>
    <row r="1180" spans="1:10">
      <c r="A1180" s="4" t="s">
        <v>1237</v>
      </c>
      <c r="B1180" s="4" t="s">
        <v>11</v>
      </c>
      <c r="C1180" s="4" t="s">
        <v>12</v>
      </c>
      <c r="D1180" s="21">
        <v>377371</v>
      </c>
      <c r="E1180" s="4">
        <v>73</v>
      </c>
      <c r="F1180" s="4">
        <v>4</v>
      </c>
      <c r="G1180" s="4">
        <v>2.1</v>
      </c>
      <c r="H1180" s="10">
        <v>2448</v>
      </c>
      <c r="I1180" s="11">
        <f t="shared" si="36"/>
        <v>154.15482026143792</v>
      </c>
      <c r="J1180" s="3" t="str">
        <f t="shared" si="37"/>
        <v>Low</v>
      </c>
    </row>
    <row r="1181" spans="1:10">
      <c r="A1181" s="7" t="s">
        <v>1238</v>
      </c>
      <c r="B1181" s="7" t="s">
        <v>212</v>
      </c>
      <c r="C1181" s="7" t="s">
        <v>12</v>
      </c>
      <c r="D1181" s="22">
        <v>378000</v>
      </c>
      <c r="E1181" s="7">
        <v>82</v>
      </c>
      <c r="F1181" s="7">
        <v>3</v>
      </c>
      <c r="G1181" s="7">
        <v>1.1000000000000001</v>
      </c>
      <c r="H1181" s="12">
        <v>1753</v>
      </c>
      <c r="I1181" s="9">
        <f t="shared" si="36"/>
        <v>215.63034797490016</v>
      </c>
      <c r="J1181" s="3" t="str">
        <f t="shared" si="37"/>
        <v>Medium</v>
      </c>
    </row>
    <row r="1182" spans="1:10">
      <c r="A1182" s="4" t="s">
        <v>1239</v>
      </c>
      <c r="B1182" s="4" t="s">
        <v>212</v>
      </c>
      <c r="C1182" s="4" t="s">
        <v>12</v>
      </c>
      <c r="D1182" s="21">
        <v>379000</v>
      </c>
      <c r="E1182" s="4">
        <v>2</v>
      </c>
      <c r="F1182" s="4">
        <v>5</v>
      </c>
      <c r="G1182" s="4">
        <v>2.1</v>
      </c>
      <c r="H1182" s="10">
        <v>2128</v>
      </c>
      <c r="I1182" s="11">
        <f t="shared" si="36"/>
        <v>178.1015037593985</v>
      </c>
      <c r="J1182" s="3" t="str">
        <f t="shared" si="37"/>
        <v>Low</v>
      </c>
    </row>
    <row r="1183" spans="1:10">
      <c r="A1183" s="7" t="s">
        <v>1240</v>
      </c>
      <c r="B1183" s="7" t="s">
        <v>400</v>
      </c>
      <c r="C1183" s="7" t="s">
        <v>12</v>
      </c>
      <c r="D1183" s="22">
        <v>379000</v>
      </c>
      <c r="E1183" s="7">
        <v>124</v>
      </c>
      <c r="F1183" s="7">
        <v>3</v>
      </c>
      <c r="G1183" s="7">
        <v>2</v>
      </c>
      <c r="H1183" s="12">
        <v>1724</v>
      </c>
      <c r="I1183" s="9">
        <f t="shared" si="36"/>
        <v>219.83758700696055</v>
      </c>
      <c r="J1183" s="3" t="str">
        <f t="shared" si="37"/>
        <v>Medium</v>
      </c>
    </row>
    <row r="1184" spans="1:10">
      <c r="A1184" s="4" t="s">
        <v>1241</v>
      </c>
      <c r="B1184" s="4" t="s">
        <v>80</v>
      </c>
      <c r="C1184" s="4" t="s">
        <v>12</v>
      </c>
      <c r="D1184" s="21">
        <v>379900</v>
      </c>
      <c r="E1184" s="4">
        <v>7</v>
      </c>
      <c r="F1184" s="4">
        <v>3</v>
      </c>
      <c r="G1184" s="4">
        <v>2</v>
      </c>
      <c r="H1184" s="10">
        <v>1752</v>
      </c>
      <c r="I1184" s="11">
        <f t="shared" si="36"/>
        <v>216.837899543379</v>
      </c>
      <c r="J1184" s="3" t="str">
        <f t="shared" si="37"/>
        <v>Medium</v>
      </c>
    </row>
    <row r="1185" spans="1:10">
      <c r="A1185" s="7" t="s">
        <v>1242</v>
      </c>
      <c r="B1185" s="7" t="s">
        <v>212</v>
      </c>
      <c r="C1185" s="7" t="s">
        <v>12</v>
      </c>
      <c r="D1185" s="22">
        <v>379900</v>
      </c>
      <c r="E1185" s="7">
        <v>12</v>
      </c>
      <c r="F1185" s="7">
        <v>3</v>
      </c>
      <c r="G1185" s="7">
        <v>2.1</v>
      </c>
      <c r="H1185" s="12">
        <v>1402</v>
      </c>
      <c r="I1185" s="9">
        <f t="shared" si="36"/>
        <v>270.97004279600571</v>
      </c>
      <c r="J1185" s="3" t="str">
        <f t="shared" si="37"/>
        <v>Medium</v>
      </c>
    </row>
    <row r="1186" spans="1:10">
      <c r="A1186" s="4" t="s">
        <v>1243</v>
      </c>
      <c r="B1186" s="4" t="s">
        <v>16</v>
      </c>
      <c r="C1186" s="4" t="s">
        <v>12</v>
      </c>
      <c r="D1186" s="21">
        <v>379900</v>
      </c>
      <c r="E1186" s="4">
        <v>9</v>
      </c>
      <c r="F1186" s="4">
        <v>3</v>
      </c>
      <c r="G1186" s="4">
        <v>2</v>
      </c>
      <c r="H1186" s="10">
        <v>1262</v>
      </c>
      <c r="I1186" s="11">
        <f t="shared" si="36"/>
        <v>301.0301109350238</v>
      </c>
      <c r="J1186" s="3" t="str">
        <f t="shared" si="37"/>
        <v>High</v>
      </c>
    </row>
    <row r="1187" spans="1:10">
      <c r="A1187" s="7" t="s">
        <v>1244</v>
      </c>
      <c r="B1187" s="7" t="s">
        <v>268</v>
      </c>
      <c r="C1187" s="7" t="s">
        <v>12</v>
      </c>
      <c r="D1187" s="22">
        <v>380000</v>
      </c>
      <c r="E1187" s="7">
        <v>8</v>
      </c>
      <c r="F1187" s="7">
        <v>0</v>
      </c>
      <c r="G1187" s="7">
        <v>0</v>
      </c>
      <c r="H1187" s="12">
        <v>2750</v>
      </c>
      <c r="I1187" s="9">
        <f t="shared" si="36"/>
        <v>138.18181818181819</v>
      </c>
      <c r="J1187" s="3" t="str">
        <f t="shared" si="37"/>
        <v>Low</v>
      </c>
    </row>
    <row r="1188" spans="1:10">
      <c r="A1188" s="4" t="s">
        <v>1245</v>
      </c>
      <c r="B1188" s="4" t="s">
        <v>73</v>
      </c>
      <c r="C1188" s="4" t="s">
        <v>12</v>
      </c>
      <c r="D1188" s="21">
        <v>380000</v>
      </c>
      <c r="E1188" s="4">
        <v>5</v>
      </c>
      <c r="F1188" s="4">
        <v>6</v>
      </c>
      <c r="G1188" s="4">
        <v>4.0999999999999996</v>
      </c>
      <c r="H1188" s="10">
        <v>2636</v>
      </c>
      <c r="I1188" s="11">
        <f t="shared" si="36"/>
        <v>144.15781487101668</v>
      </c>
      <c r="J1188" s="3" t="str">
        <f t="shared" si="37"/>
        <v>Low</v>
      </c>
    </row>
    <row r="1189" spans="1:10">
      <c r="A1189" s="7" t="s">
        <v>1246</v>
      </c>
      <c r="B1189" s="7" t="s">
        <v>155</v>
      </c>
      <c r="C1189" s="7" t="s">
        <v>12</v>
      </c>
      <c r="D1189" s="22">
        <v>380000</v>
      </c>
      <c r="E1189" s="7">
        <v>47</v>
      </c>
      <c r="F1189" s="7">
        <v>3</v>
      </c>
      <c r="G1189" s="7">
        <v>2.1</v>
      </c>
      <c r="H1189" s="12">
        <v>2336</v>
      </c>
      <c r="I1189" s="9">
        <f t="shared" si="36"/>
        <v>162.67123287671234</v>
      </c>
      <c r="J1189" s="3" t="str">
        <f t="shared" si="37"/>
        <v>Low</v>
      </c>
    </row>
    <row r="1190" spans="1:10">
      <c r="A1190" s="4" t="s">
        <v>1247</v>
      </c>
      <c r="B1190" s="4" t="s">
        <v>948</v>
      </c>
      <c r="C1190" s="4" t="s">
        <v>12</v>
      </c>
      <c r="D1190" s="21">
        <v>380000</v>
      </c>
      <c r="E1190" s="4">
        <v>7</v>
      </c>
      <c r="F1190" s="4">
        <v>3</v>
      </c>
      <c r="G1190" s="4">
        <v>2.1</v>
      </c>
      <c r="H1190" s="10">
        <v>2055</v>
      </c>
      <c r="I1190" s="11">
        <f t="shared" si="36"/>
        <v>184.91484184914842</v>
      </c>
      <c r="J1190" s="3" t="str">
        <f t="shared" si="37"/>
        <v>Low</v>
      </c>
    </row>
    <row r="1191" spans="1:10">
      <c r="A1191" s="7" t="s">
        <v>1248</v>
      </c>
      <c r="B1191" s="7" t="s">
        <v>80</v>
      </c>
      <c r="C1191" s="7" t="s">
        <v>12</v>
      </c>
      <c r="D1191" s="22">
        <v>381000</v>
      </c>
      <c r="E1191" s="7">
        <v>29</v>
      </c>
      <c r="F1191" s="7">
        <v>4</v>
      </c>
      <c r="G1191" s="7">
        <v>3</v>
      </c>
      <c r="H1191" s="12">
        <v>2048</v>
      </c>
      <c r="I1191" s="9">
        <f t="shared" si="36"/>
        <v>186.03515625</v>
      </c>
      <c r="J1191" s="3" t="str">
        <f t="shared" si="37"/>
        <v>Low</v>
      </c>
    </row>
    <row r="1192" spans="1:10">
      <c r="A1192" s="4" t="s">
        <v>1249</v>
      </c>
      <c r="B1192" s="4" t="s">
        <v>823</v>
      </c>
      <c r="C1192" s="4" t="s">
        <v>12</v>
      </c>
      <c r="D1192" s="21">
        <v>382000</v>
      </c>
      <c r="E1192" s="4">
        <v>52</v>
      </c>
      <c r="F1192" s="4">
        <v>3</v>
      </c>
      <c r="G1192" s="4">
        <v>2.2000000000000002</v>
      </c>
      <c r="H1192" s="10">
        <v>1992</v>
      </c>
      <c r="I1192" s="11">
        <f t="shared" si="36"/>
        <v>191.76706827309238</v>
      </c>
      <c r="J1192" s="3" t="str">
        <f t="shared" si="37"/>
        <v>Low</v>
      </c>
    </row>
    <row r="1193" spans="1:10">
      <c r="A1193" s="7" t="s">
        <v>1250</v>
      </c>
      <c r="B1193" s="7" t="s">
        <v>728</v>
      </c>
      <c r="C1193" s="7" t="s">
        <v>12</v>
      </c>
      <c r="D1193" s="22">
        <v>383000</v>
      </c>
      <c r="E1193" s="7">
        <v>6</v>
      </c>
      <c r="F1193" s="7">
        <v>3</v>
      </c>
      <c r="G1193" s="7">
        <v>1.1000000000000001</v>
      </c>
      <c r="H1193" s="12">
        <v>1554</v>
      </c>
      <c r="I1193" s="9">
        <f t="shared" si="36"/>
        <v>246.46074646074646</v>
      </c>
      <c r="J1193" s="3" t="str">
        <f t="shared" si="37"/>
        <v>Medium</v>
      </c>
    </row>
    <row r="1194" spans="1:10">
      <c r="A1194" s="4" t="s">
        <v>1251</v>
      </c>
      <c r="B1194" s="4" t="s">
        <v>155</v>
      </c>
      <c r="C1194" s="4" t="s">
        <v>12</v>
      </c>
      <c r="D1194" s="21">
        <v>385000</v>
      </c>
      <c r="E1194" s="4">
        <v>10</v>
      </c>
      <c r="F1194" s="4">
        <v>3</v>
      </c>
      <c r="G1194" s="4">
        <v>2.1</v>
      </c>
      <c r="H1194" s="10">
        <v>2028</v>
      </c>
      <c r="I1194" s="11">
        <f t="shared" si="36"/>
        <v>189.84220907297831</v>
      </c>
      <c r="J1194" s="3" t="str">
        <f t="shared" si="37"/>
        <v>Low</v>
      </c>
    </row>
    <row r="1195" spans="1:10">
      <c r="A1195" s="7" t="s">
        <v>1252</v>
      </c>
      <c r="B1195" s="7" t="s">
        <v>960</v>
      </c>
      <c r="C1195" s="7" t="s">
        <v>12</v>
      </c>
      <c r="D1195" s="22">
        <v>385000</v>
      </c>
      <c r="E1195" s="7">
        <v>5</v>
      </c>
      <c r="F1195" s="7">
        <v>3</v>
      </c>
      <c r="G1195" s="7">
        <v>2</v>
      </c>
      <c r="H1195" s="12">
        <v>1900</v>
      </c>
      <c r="I1195" s="9">
        <f t="shared" si="36"/>
        <v>202.63157894736841</v>
      </c>
      <c r="J1195" s="3" t="str">
        <f t="shared" si="37"/>
        <v>Medium</v>
      </c>
    </row>
    <row r="1196" spans="1:10">
      <c r="A1196" s="4" t="s">
        <v>1253</v>
      </c>
      <c r="B1196" s="4" t="s">
        <v>268</v>
      </c>
      <c r="C1196" s="4" t="s">
        <v>12</v>
      </c>
      <c r="D1196" s="21">
        <v>385000</v>
      </c>
      <c r="E1196" s="4">
        <v>5</v>
      </c>
      <c r="F1196" s="4">
        <v>3</v>
      </c>
      <c r="G1196" s="4">
        <v>2</v>
      </c>
      <c r="H1196" s="10">
        <v>1671</v>
      </c>
      <c r="I1196" s="11">
        <f t="shared" si="36"/>
        <v>230.40095751047278</v>
      </c>
      <c r="J1196" s="3" t="str">
        <f t="shared" si="37"/>
        <v>Medium</v>
      </c>
    </row>
    <row r="1197" spans="1:10">
      <c r="A1197" s="7" t="s">
        <v>1254</v>
      </c>
      <c r="B1197" s="7" t="s">
        <v>268</v>
      </c>
      <c r="C1197" s="7" t="s">
        <v>12</v>
      </c>
      <c r="D1197" s="22">
        <v>385000</v>
      </c>
      <c r="E1197" s="7">
        <v>10</v>
      </c>
      <c r="F1197" s="7">
        <v>4</v>
      </c>
      <c r="G1197" s="7">
        <v>2.1</v>
      </c>
      <c r="H1197" s="12">
        <v>2594</v>
      </c>
      <c r="I1197" s="9">
        <f t="shared" si="36"/>
        <v>148.41942945258288</v>
      </c>
      <c r="J1197" s="3" t="str">
        <f t="shared" si="37"/>
        <v>Low</v>
      </c>
    </row>
    <row r="1198" spans="1:10">
      <c r="A1198" s="4" t="s">
        <v>1255</v>
      </c>
      <c r="B1198" s="4" t="s">
        <v>131</v>
      </c>
      <c r="C1198" s="4" t="s">
        <v>12</v>
      </c>
      <c r="D1198" s="21">
        <v>385000</v>
      </c>
      <c r="E1198" s="4">
        <v>13</v>
      </c>
      <c r="F1198" s="4">
        <v>3</v>
      </c>
      <c r="G1198" s="4">
        <v>2.1</v>
      </c>
      <c r="H1198" s="10">
        <v>1678</v>
      </c>
      <c r="I1198" s="11">
        <f t="shared" si="36"/>
        <v>229.43980929678187</v>
      </c>
      <c r="J1198" s="3" t="str">
        <f t="shared" si="37"/>
        <v>Medium</v>
      </c>
    </row>
    <row r="1199" spans="1:10">
      <c r="A1199" s="7" t="s">
        <v>1256</v>
      </c>
      <c r="B1199" s="7" t="s">
        <v>960</v>
      </c>
      <c r="C1199" s="7" t="s">
        <v>12</v>
      </c>
      <c r="D1199" s="22">
        <v>385000</v>
      </c>
      <c r="E1199" s="7">
        <v>4</v>
      </c>
      <c r="F1199" s="7">
        <v>4</v>
      </c>
      <c r="G1199" s="7">
        <v>3</v>
      </c>
      <c r="H1199" s="12">
        <v>2768</v>
      </c>
      <c r="I1199" s="9">
        <f t="shared" si="36"/>
        <v>139.08959537572255</v>
      </c>
      <c r="J1199" s="3" t="str">
        <f t="shared" si="37"/>
        <v>Low</v>
      </c>
    </row>
    <row r="1200" spans="1:10">
      <c r="A1200" s="4" t="s">
        <v>1257</v>
      </c>
      <c r="B1200" s="4" t="s">
        <v>212</v>
      </c>
      <c r="C1200" s="4" t="s">
        <v>12</v>
      </c>
      <c r="D1200" s="21">
        <v>385000</v>
      </c>
      <c r="E1200" s="4">
        <v>8</v>
      </c>
      <c r="F1200" s="4">
        <v>4</v>
      </c>
      <c r="G1200" s="4">
        <v>2</v>
      </c>
      <c r="H1200" s="10">
        <v>1814</v>
      </c>
      <c r="I1200" s="11">
        <f t="shared" si="36"/>
        <v>212.23814773980155</v>
      </c>
      <c r="J1200" s="3" t="str">
        <f t="shared" si="37"/>
        <v>Medium</v>
      </c>
    </row>
    <row r="1201" spans="1:10">
      <c r="A1201" s="7" t="s">
        <v>1258</v>
      </c>
      <c r="B1201" s="7" t="s">
        <v>155</v>
      </c>
      <c r="C1201" s="7" t="s">
        <v>12</v>
      </c>
      <c r="D1201" s="22">
        <v>385000</v>
      </c>
      <c r="E1201" s="7">
        <v>11</v>
      </c>
      <c r="F1201" s="7">
        <v>4</v>
      </c>
      <c r="G1201" s="7">
        <v>2.1</v>
      </c>
      <c r="H1201" s="12">
        <v>2368</v>
      </c>
      <c r="I1201" s="9">
        <f t="shared" si="36"/>
        <v>162.58445945945945</v>
      </c>
      <c r="J1201" s="3" t="str">
        <f t="shared" si="37"/>
        <v>Low</v>
      </c>
    </row>
    <row r="1202" spans="1:10">
      <c r="A1202" s="4" t="s">
        <v>1259</v>
      </c>
      <c r="B1202" s="4" t="s">
        <v>11</v>
      </c>
      <c r="C1202" s="4" t="s">
        <v>12</v>
      </c>
      <c r="D1202" s="21">
        <v>385000</v>
      </c>
      <c r="E1202" s="4">
        <v>29</v>
      </c>
      <c r="F1202" s="4">
        <v>3</v>
      </c>
      <c r="G1202" s="4">
        <v>2.1</v>
      </c>
      <c r="H1202" s="10">
        <v>1871</v>
      </c>
      <c r="I1202" s="11">
        <f t="shared" si="36"/>
        <v>205.77231427044362</v>
      </c>
      <c r="J1202" s="3" t="str">
        <f t="shared" si="37"/>
        <v>Medium</v>
      </c>
    </row>
    <row r="1203" spans="1:10">
      <c r="A1203" s="7" t="s">
        <v>1260</v>
      </c>
      <c r="B1203" s="7" t="s">
        <v>823</v>
      </c>
      <c r="C1203" s="7" t="s">
        <v>12</v>
      </c>
      <c r="D1203" s="22">
        <v>385000</v>
      </c>
      <c r="E1203" s="7">
        <v>5</v>
      </c>
      <c r="F1203" s="7">
        <v>4</v>
      </c>
      <c r="G1203" s="7">
        <v>2.1</v>
      </c>
      <c r="H1203" s="12">
        <v>1702</v>
      </c>
      <c r="I1203" s="9">
        <f t="shared" si="36"/>
        <v>226.20446533490011</v>
      </c>
      <c r="J1203" s="3" t="str">
        <f t="shared" si="37"/>
        <v>Medium</v>
      </c>
    </row>
    <row r="1204" spans="1:10">
      <c r="A1204" s="4" t="s">
        <v>1261</v>
      </c>
      <c r="B1204" s="4" t="s">
        <v>268</v>
      </c>
      <c r="C1204" s="4" t="s">
        <v>12</v>
      </c>
      <c r="D1204" s="21">
        <v>385000</v>
      </c>
      <c r="E1204" s="4">
        <v>4</v>
      </c>
      <c r="F1204" s="4">
        <v>3</v>
      </c>
      <c r="G1204" s="4">
        <v>2.1</v>
      </c>
      <c r="H1204" s="10">
        <v>2349</v>
      </c>
      <c r="I1204" s="11">
        <f t="shared" si="36"/>
        <v>163.89953171562368</v>
      </c>
      <c r="J1204" s="3" t="str">
        <f t="shared" si="37"/>
        <v>Low</v>
      </c>
    </row>
    <row r="1205" spans="1:10">
      <c r="A1205" s="7" t="s">
        <v>1262</v>
      </c>
      <c r="B1205" s="7" t="s">
        <v>155</v>
      </c>
      <c r="C1205" s="7" t="s">
        <v>12</v>
      </c>
      <c r="D1205" s="22">
        <v>385000</v>
      </c>
      <c r="E1205" s="7">
        <v>103</v>
      </c>
      <c r="F1205" s="7">
        <v>4</v>
      </c>
      <c r="G1205" s="7">
        <v>3.1</v>
      </c>
      <c r="H1205" s="12">
        <v>1917</v>
      </c>
      <c r="I1205" s="9">
        <f t="shared" si="36"/>
        <v>200.83463745435577</v>
      </c>
      <c r="J1205" s="3" t="str">
        <f t="shared" si="37"/>
        <v>Medium</v>
      </c>
    </row>
    <row r="1206" spans="1:10">
      <c r="A1206" s="4" t="s">
        <v>1263</v>
      </c>
      <c r="B1206" s="4" t="s">
        <v>131</v>
      </c>
      <c r="C1206" s="4" t="s">
        <v>12</v>
      </c>
      <c r="D1206" s="21">
        <v>385000</v>
      </c>
      <c r="E1206" s="4">
        <v>173</v>
      </c>
      <c r="F1206" s="4">
        <v>3</v>
      </c>
      <c r="G1206" s="4">
        <v>3</v>
      </c>
      <c r="H1206" s="10">
        <v>1466</v>
      </c>
      <c r="I1206" s="11">
        <f t="shared" si="36"/>
        <v>262.61937244201908</v>
      </c>
      <c r="J1206" s="3" t="str">
        <f t="shared" si="37"/>
        <v>Medium</v>
      </c>
    </row>
    <row r="1207" spans="1:10">
      <c r="A1207" s="7" t="s">
        <v>1264</v>
      </c>
      <c r="B1207" s="7" t="s">
        <v>318</v>
      </c>
      <c r="C1207" s="7" t="s">
        <v>12</v>
      </c>
      <c r="D1207" s="22">
        <v>385000</v>
      </c>
      <c r="E1207" s="7">
        <v>362</v>
      </c>
      <c r="F1207" s="7">
        <v>3</v>
      </c>
      <c r="G1207" s="7">
        <v>2.1</v>
      </c>
      <c r="H1207" s="12">
        <v>2063</v>
      </c>
      <c r="I1207" s="9">
        <f t="shared" si="36"/>
        <v>186.62142510906446</v>
      </c>
      <c r="J1207" s="3" t="str">
        <f t="shared" si="37"/>
        <v>Low</v>
      </c>
    </row>
    <row r="1208" spans="1:10">
      <c r="A1208" s="4" t="s">
        <v>1265</v>
      </c>
      <c r="B1208" s="4" t="s">
        <v>212</v>
      </c>
      <c r="C1208" s="4" t="s">
        <v>12</v>
      </c>
      <c r="D1208" s="21">
        <v>386000</v>
      </c>
      <c r="E1208" s="4">
        <v>5</v>
      </c>
      <c r="F1208" s="4">
        <v>3</v>
      </c>
      <c r="G1208" s="4">
        <v>2</v>
      </c>
      <c r="H1208" s="10">
        <v>1721</v>
      </c>
      <c r="I1208" s="11">
        <f t="shared" si="36"/>
        <v>224.2882045322487</v>
      </c>
      <c r="J1208" s="3" t="str">
        <f t="shared" si="37"/>
        <v>Medium</v>
      </c>
    </row>
    <row r="1209" spans="1:10">
      <c r="A1209" s="7" t="s">
        <v>1266</v>
      </c>
      <c r="B1209" s="7" t="s">
        <v>553</v>
      </c>
      <c r="C1209" s="7" t="s">
        <v>12</v>
      </c>
      <c r="D1209" s="22">
        <v>386000</v>
      </c>
      <c r="E1209" s="7">
        <v>45</v>
      </c>
      <c r="F1209" s="7">
        <v>5</v>
      </c>
      <c r="G1209" s="7">
        <v>2.1</v>
      </c>
      <c r="H1209" s="12">
        <v>2136</v>
      </c>
      <c r="I1209" s="9">
        <f t="shared" si="36"/>
        <v>180.71161048689137</v>
      </c>
      <c r="J1209" s="3" t="str">
        <f t="shared" si="37"/>
        <v>Low</v>
      </c>
    </row>
    <row r="1210" spans="1:10">
      <c r="A1210" s="4" t="s">
        <v>1267</v>
      </c>
      <c r="B1210" s="4" t="s">
        <v>331</v>
      </c>
      <c r="C1210" s="4" t="s">
        <v>12</v>
      </c>
      <c r="D1210" s="21">
        <v>386500</v>
      </c>
      <c r="E1210" s="4">
        <v>7</v>
      </c>
      <c r="F1210" s="4">
        <v>4</v>
      </c>
      <c r="G1210" s="4">
        <v>2.1</v>
      </c>
      <c r="H1210" s="10">
        <v>2068</v>
      </c>
      <c r="I1210" s="11">
        <f t="shared" si="36"/>
        <v>186.89555125725337</v>
      </c>
      <c r="J1210" s="3" t="str">
        <f t="shared" si="37"/>
        <v>Low</v>
      </c>
    </row>
    <row r="1211" spans="1:10">
      <c r="A1211" s="7" t="s">
        <v>1268</v>
      </c>
      <c r="B1211" s="7" t="s">
        <v>131</v>
      </c>
      <c r="C1211" s="7" t="s">
        <v>12</v>
      </c>
      <c r="D1211" s="22">
        <v>387500</v>
      </c>
      <c r="E1211" s="7">
        <v>4</v>
      </c>
      <c r="F1211" s="7">
        <v>3</v>
      </c>
      <c r="G1211" s="7">
        <v>2</v>
      </c>
      <c r="H1211" s="12">
        <v>1382</v>
      </c>
      <c r="I1211" s="9">
        <f t="shared" si="36"/>
        <v>280.39073806078147</v>
      </c>
      <c r="J1211" s="3" t="str">
        <f t="shared" si="37"/>
        <v>Medium</v>
      </c>
    </row>
    <row r="1212" spans="1:10">
      <c r="A1212" s="4" t="s">
        <v>1269</v>
      </c>
      <c r="B1212" s="4" t="s">
        <v>131</v>
      </c>
      <c r="C1212" s="4" t="s">
        <v>12</v>
      </c>
      <c r="D1212" s="21">
        <v>388000</v>
      </c>
      <c r="E1212" s="4">
        <v>0</v>
      </c>
      <c r="F1212" s="4">
        <v>4</v>
      </c>
      <c r="G1212" s="4">
        <v>2</v>
      </c>
      <c r="H1212" s="10">
        <v>1311</v>
      </c>
      <c r="I1212" s="11">
        <f t="shared" si="36"/>
        <v>295.9572845156369</v>
      </c>
      <c r="J1212" s="3" t="str">
        <f t="shared" si="37"/>
        <v>Medium</v>
      </c>
    </row>
    <row r="1213" spans="1:10">
      <c r="A1213" s="7" t="s">
        <v>1270</v>
      </c>
      <c r="B1213" s="7" t="s">
        <v>1051</v>
      </c>
      <c r="C1213" s="7" t="s">
        <v>12</v>
      </c>
      <c r="D1213" s="22">
        <v>389000</v>
      </c>
      <c r="E1213" s="7">
        <v>6</v>
      </c>
      <c r="F1213" s="7">
        <v>3</v>
      </c>
      <c r="G1213" s="7">
        <v>2.1</v>
      </c>
      <c r="H1213" s="12">
        <v>1894</v>
      </c>
      <c r="I1213" s="9">
        <f t="shared" si="36"/>
        <v>205.38542766631468</v>
      </c>
      <c r="J1213" s="3" t="str">
        <f t="shared" si="37"/>
        <v>Medium</v>
      </c>
    </row>
    <row r="1214" spans="1:10">
      <c r="A1214" s="4" t="s">
        <v>1271</v>
      </c>
      <c r="B1214" s="4" t="s">
        <v>1139</v>
      </c>
      <c r="C1214" s="4" t="s">
        <v>12</v>
      </c>
      <c r="D1214" s="21">
        <v>389000</v>
      </c>
      <c r="E1214" s="4">
        <v>11</v>
      </c>
      <c r="F1214" s="4">
        <v>3</v>
      </c>
      <c r="G1214" s="4">
        <v>2.1</v>
      </c>
      <c r="H1214" s="10">
        <v>1975</v>
      </c>
      <c r="I1214" s="11">
        <f t="shared" si="36"/>
        <v>196.96202531645571</v>
      </c>
      <c r="J1214" s="3" t="str">
        <f t="shared" si="37"/>
        <v>Low</v>
      </c>
    </row>
    <row r="1215" spans="1:10">
      <c r="A1215" s="7" t="s">
        <v>1272</v>
      </c>
      <c r="B1215" s="7" t="s">
        <v>268</v>
      </c>
      <c r="C1215" s="7" t="s">
        <v>12</v>
      </c>
      <c r="D1215" s="22">
        <v>389250</v>
      </c>
      <c r="E1215" s="7">
        <v>39</v>
      </c>
      <c r="F1215" s="7">
        <v>4</v>
      </c>
      <c r="G1215" s="7">
        <v>2.1</v>
      </c>
      <c r="H1215" s="12">
        <v>2488</v>
      </c>
      <c r="I1215" s="9">
        <f t="shared" si="36"/>
        <v>156.45096463022509</v>
      </c>
      <c r="J1215" s="3" t="str">
        <f t="shared" si="37"/>
        <v>Low</v>
      </c>
    </row>
    <row r="1216" spans="1:10">
      <c r="A1216" s="4" t="s">
        <v>1273</v>
      </c>
      <c r="B1216" s="4" t="s">
        <v>70</v>
      </c>
      <c r="C1216" s="4" t="s">
        <v>12</v>
      </c>
      <c r="D1216" s="21">
        <v>390000</v>
      </c>
      <c r="E1216" s="4">
        <v>0</v>
      </c>
      <c r="F1216" s="4">
        <v>3</v>
      </c>
      <c r="G1216" s="4">
        <v>2</v>
      </c>
      <c r="H1216" s="10">
        <v>1753</v>
      </c>
      <c r="I1216" s="11">
        <f t="shared" si="36"/>
        <v>222.47575584711922</v>
      </c>
      <c r="J1216" s="3" t="str">
        <f t="shared" si="37"/>
        <v>Medium</v>
      </c>
    </row>
    <row r="1217" spans="1:10">
      <c r="A1217" s="7" t="s">
        <v>1274</v>
      </c>
      <c r="B1217" s="7" t="s">
        <v>131</v>
      </c>
      <c r="C1217" s="7" t="s">
        <v>12</v>
      </c>
      <c r="D1217" s="22">
        <v>390000</v>
      </c>
      <c r="E1217" s="7">
        <v>6</v>
      </c>
      <c r="F1217" s="7">
        <v>3</v>
      </c>
      <c r="G1217" s="7">
        <v>2</v>
      </c>
      <c r="H1217" s="12">
        <v>1070</v>
      </c>
      <c r="I1217" s="9">
        <f t="shared" si="36"/>
        <v>364.48598130841123</v>
      </c>
      <c r="J1217" s="3" t="str">
        <f t="shared" si="37"/>
        <v>High</v>
      </c>
    </row>
    <row r="1218" spans="1:10">
      <c r="A1218" s="4" t="s">
        <v>1275</v>
      </c>
      <c r="B1218" s="4" t="s">
        <v>70</v>
      </c>
      <c r="C1218" s="4" t="s">
        <v>12</v>
      </c>
      <c r="D1218" s="21">
        <v>390000</v>
      </c>
      <c r="E1218" s="4">
        <v>4</v>
      </c>
      <c r="F1218" s="4">
        <v>3</v>
      </c>
      <c r="G1218" s="4">
        <v>2</v>
      </c>
      <c r="H1218" s="10">
        <v>1753</v>
      </c>
      <c r="I1218" s="11">
        <f t="shared" ref="I1218:I1281" si="38">D1218/H1218</f>
        <v>222.47575584711922</v>
      </c>
      <c r="J1218" s="3" t="str">
        <f t="shared" ref="J1218:J1281" si="39">IF(I1218 &gt; 300, "High", IF(AND(I1218 &lt;= 300, I1218 &gt; 200), "Medium", "Low"))</f>
        <v>Medium</v>
      </c>
    </row>
    <row r="1219" spans="1:10">
      <c r="A1219" s="7" t="s">
        <v>1276</v>
      </c>
      <c r="B1219" s="7" t="s">
        <v>11</v>
      </c>
      <c r="C1219" s="7" t="s">
        <v>12</v>
      </c>
      <c r="D1219" s="22">
        <v>390000</v>
      </c>
      <c r="E1219" s="7">
        <v>14</v>
      </c>
      <c r="F1219" s="7">
        <v>3</v>
      </c>
      <c r="G1219" s="7">
        <v>3.1</v>
      </c>
      <c r="H1219" s="12">
        <v>2127</v>
      </c>
      <c r="I1219" s="9">
        <f t="shared" si="38"/>
        <v>183.35684062059238</v>
      </c>
      <c r="J1219" s="3" t="str">
        <f t="shared" si="39"/>
        <v>Low</v>
      </c>
    </row>
    <row r="1220" spans="1:10">
      <c r="A1220" s="4" t="s">
        <v>1277</v>
      </c>
      <c r="B1220" s="4" t="s">
        <v>56</v>
      </c>
      <c r="C1220" s="4" t="s">
        <v>12</v>
      </c>
      <c r="D1220" s="21">
        <v>390000</v>
      </c>
      <c r="E1220" s="4">
        <v>26</v>
      </c>
      <c r="F1220" s="4">
        <v>4</v>
      </c>
      <c r="G1220" s="4">
        <v>2.1</v>
      </c>
      <c r="H1220" s="10">
        <v>2094</v>
      </c>
      <c r="I1220" s="11">
        <f t="shared" si="38"/>
        <v>186.2464183381089</v>
      </c>
      <c r="J1220" s="3" t="str">
        <f t="shared" si="39"/>
        <v>Low</v>
      </c>
    </row>
    <row r="1221" spans="1:10">
      <c r="A1221" s="7" t="s">
        <v>1278</v>
      </c>
      <c r="B1221" s="7" t="s">
        <v>11</v>
      </c>
      <c r="C1221" s="7" t="s">
        <v>12</v>
      </c>
      <c r="D1221" s="22">
        <v>390000</v>
      </c>
      <c r="E1221" s="7">
        <v>48</v>
      </c>
      <c r="F1221" s="7">
        <v>3</v>
      </c>
      <c r="G1221" s="7">
        <v>2.1</v>
      </c>
      <c r="H1221" s="12">
        <v>1669</v>
      </c>
      <c r="I1221" s="9">
        <f t="shared" si="38"/>
        <v>233.67285799880167</v>
      </c>
      <c r="J1221" s="3" t="str">
        <f t="shared" si="39"/>
        <v>Medium</v>
      </c>
    </row>
    <row r="1222" spans="1:10">
      <c r="A1222" s="4" t="s">
        <v>1279</v>
      </c>
      <c r="B1222" s="4" t="s">
        <v>131</v>
      </c>
      <c r="C1222" s="4" t="s">
        <v>12</v>
      </c>
      <c r="D1222" s="21">
        <v>390000</v>
      </c>
      <c r="E1222" s="4">
        <v>3</v>
      </c>
      <c r="F1222" s="4">
        <v>4</v>
      </c>
      <c r="G1222" s="4">
        <v>2.1</v>
      </c>
      <c r="H1222" s="10">
        <v>2126</v>
      </c>
      <c r="I1222" s="11">
        <f t="shared" si="38"/>
        <v>183.44308560677328</v>
      </c>
      <c r="J1222" s="3" t="str">
        <f t="shared" si="39"/>
        <v>Low</v>
      </c>
    </row>
    <row r="1223" spans="1:10">
      <c r="A1223" s="7" t="s">
        <v>1280</v>
      </c>
      <c r="B1223" s="7" t="s">
        <v>56</v>
      </c>
      <c r="C1223" s="7" t="s">
        <v>12</v>
      </c>
      <c r="D1223" s="22">
        <v>390000</v>
      </c>
      <c r="E1223" s="7">
        <v>75</v>
      </c>
      <c r="F1223" s="7">
        <v>3</v>
      </c>
      <c r="G1223" s="7">
        <v>1.1000000000000001</v>
      </c>
      <c r="H1223" s="12">
        <v>1700</v>
      </c>
      <c r="I1223" s="9">
        <f t="shared" si="38"/>
        <v>229.41176470588235</v>
      </c>
      <c r="J1223" s="3" t="str">
        <f t="shared" si="39"/>
        <v>Medium</v>
      </c>
    </row>
    <row r="1224" spans="1:10">
      <c r="A1224" s="4" t="s">
        <v>1281</v>
      </c>
      <c r="B1224" s="4" t="s">
        <v>18</v>
      </c>
      <c r="C1224" s="4" t="s">
        <v>12</v>
      </c>
      <c r="D1224" s="21">
        <v>390000</v>
      </c>
      <c r="E1224" s="4">
        <v>30</v>
      </c>
      <c r="F1224" s="4">
        <v>4</v>
      </c>
      <c r="G1224" s="4">
        <v>2.1</v>
      </c>
      <c r="H1224" s="10">
        <v>1531</v>
      </c>
      <c r="I1224" s="11">
        <f t="shared" si="38"/>
        <v>254.73546701502286</v>
      </c>
      <c r="J1224" s="3" t="str">
        <f t="shared" si="39"/>
        <v>Medium</v>
      </c>
    </row>
    <row r="1225" spans="1:10">
      <c r="A1225" s="7" t="s">
        <v>1282</v>
      </c>
      <c r="B1225" s="7" t="s">
        <v>11</v>
      </c>
      <c r="C1225" s="7" t="s">
        <v>12</v>
      </c>
      <c r="D1225" s="22">
        <v>390000</v>
      </c>
      <c r="E1225" s="7">
        <v>77</v>
      </c>
      <c r="F1225" s="7">
        <v>4</v>
      </c>
      <c r="G1225" s="7">
        <v>2.1</v>
      </c>
      <c r="H1225" s="12">
        <v>2577</v>
      </c>
      <c r="I1225" s="9">
        <f t="shared" si="38"/>
        <v>151.33876600698486</v>
      </c>
      <c r="J1225" s="3" t="str">
        <f t="shared" si="39"/>
        <v>Low</v>
      </c>
    </row>
    <row r="1226" spans="1:10">
      <c r="A1226" s="4" t="s">
        <v>1283</v>
      </c>
      <c r="B1226" s="4" t="s">
        <v>1139</v>
      </c>
      <c r="C1226" s="4" t="s">
        <v>12</v>
      </c>
      <c r="D1226" s="21">
        <v>390000</v>
      </c>
      <c r="E1226" s="4">
        <v>28</v>
      </c>
      <c r="F1226" s="4">
        <v>3</v>
      </c>
      <c r="G1226" s="4">
        <v>2.1</v>
      </c>
      <c r="H1226" s="10">
        <v>1855</v>
      </c>
      <c r="I1226" s="11">
        <f t="shared" si="38"/>
        <v>210.24258760107816</v>
      </c>
      <c r="J1226" s="3" t="str">
        <f t="shared" si="39"/>
        <v>Medium</v>
      </c>
    </row>
    <row r="1227" spans="1:10">
      <c r="A1227" s="7" t="s">
        <v>1284</v>
      </c>
      <c r="B1227" s="7" t="s">
        <v>728</v>
      </c>
      <c r="C1227" s="7" t="s">
        <v>12</v>
      </c>
      <c r="D1227" s="22">
        <v>390000</v>
      </c>
      <c r="E1227" s="7">
        <v>38</v>
      </c>
      <c r="F1227" s="7">
        <v>3</v>
      </c>
      <c r="G1227" s="7">
        <v>1.1000000000000001</v>
      </c>
      <c r="H1227" s="12">
        <v>1300</v>
      </c>
      <c r="I1227" s="9">
        <f t="shared" si="38"/>
        <v>300</v>
      </c>
      <c r="J1227" s="3" t="str">
        <f t="shared" si="39"/>
        <v>Medium</v>
      </c>
    </row>
    <row r="1228" spans="1:10">
      <c r="A1228" s="4" t="s">
        <v>1285</v>
      </c>
      <c r="B1228" s="4" t="s">
        <v>70</v>
      </c>
      <c r="C1228" s="4" t="s">
        <v>12</v>
      </c>
      <c r="D1228" s="21">
        <v>390000</v>
      </c>
      <c r="E1228" s="4">
        <v>16</v>
      </c>
      <c r="F1228" s="4">
        <v>4</v>
      </c>
      <c r="G1228" s="4">
        <v>2.1</v>
      </c>
      <c r="H1228" s="10">
        <v>3104</v>
      </c>
      <c r="I1228" s="11">
        <f t="shared" si="38"/>
        <v>125.64432989690722</v>
      </c>
      <c r="J1228" s="3" t="str">
        <f t="shared" si="39"/>
        <v>Low</v>
      </c>
    </row>
    <row r="1229" spans="1:10">
      <c r="A1229" s="7" t="s">
        <v>1286</v>
      </c>
      <c r="B1229" s="7" t="s">
        <v>11</v>
      </c>
      <c r="C1229" s="7" t="s">
        <v>12</v>
      </c>
      <c r="D1229" s="22">
        <v>390000</v>
      </c>
      <c r="E1229" s="7">
        <v>222</v>
      </c>
      <c r="F1229" s="7">
        <v>3</v>
      </c>
      <c r="G1229" s="7">
        <v>2</v>
      </c>
      <c r="H1229" s="12">
        <v>1625</v>
      </c>
      <c r="I1229" s="9">
        <f t="shared" si="38"/>
        <v>240</v>
      </c>
      <c r="J1229" s="3" t="str">
        <f t="shared" si="39"/>
        <v>Medium</v>
      </c>
    </row>
    <row r="1230" spans="1:10">
      <c r="A1230" s="4" t="s">
        <v>1287</v>
      </c>
      <c r="B1230" s="4" t="s">
        <v>878</v>
      </c>
      <c r="C1230" s="4" t="s">
        <v>12</v>
      </c>
      <c r="D1230" s="21">
        <v>392500</v>
      </c>
      <c r="E1230" s="4">
        <v>5</v>
      </c>
      <c r="F1230" s="4">
        <v>4</v>
      </c>
      <c r="G1230" s="4">
        <v>2.1</v>
      </c>
      <c r="H1230" s="10">
        <v>2395</v>
      </c>
      <c r="I1230" s="11">
        <f t="shared" si="38"/>
        <v>163.8830897703549</v>
      </c>
      <c r="J1230" s="3" t="str">
        <f t="shared" si="39"/>
        <v>Low</v>
      </c>
    </row>
    <row r="1231" spans="1:10">
      <c r="A1231" s="7" t="s">
        <v>1288</v>
      </c>
      <c r="B1231" s="7" t="s">
        <v>77</v>
      </c>
      <c r="C1231" s="7" t="s">
        <v>12</v>
      </c>
      <c r="D1231" s="22">
        <v>395000</v>
      </c>
      <c r="E1231" s="7">
        <v>6</v>
      </c>
      <c r="F1231" s="7">
        <v>4</v>
      </c>
      <c r="G1231" s="7">
        <v>3.1</v>
      </c>
      <c r="H1231" s="12">
        <v>1755</v>
      </c>
      <c r="I1231" s="9">
        <f t="shared" si="38"/>
        <v>225.07122507122506</v>
      </c>
      <c r="J1231" s="3" t="str">
        <f t="shared" si="39"/>
        <v>Medium</v>
      </c>
    </row>
    <row r="1232" spans="1:10">
      <c r="A1232" s="4" t="s">
        <v>1289</v>
      </c>
      <c r="B1232" s="4" t="s">
        <v>131</v>
      </c>
      <c r="C1232" s="4" t="s">
        <v>12</v>
      </c>
      <c r="D1232" s="21">
        <v>395000</v>
      </c>
      <c r="E1232" s="4">
        <v>27</v>
      </c>
      <c r="F1232" s="4">
        <v>4</v>
      </c>
      <c r="G1232" s="4">
        <v>2</v>
      </c>
      <c r="H1232" s="10">
        <v>1390</v>
      </c>
      <c r="I1232" s="11">
        <f t="shared" si="38"/>
        <v>284.17266187050359</v>
      </c>
      <c r="J1232" s="3" t="str">
        <f t="shared" si="39"/>
        <v>Medium</v>
      </c>
    </row>
    <row r="1233" spans="1:10">
      <c r="A1233" s="7" t="s">
        <v>1290</v>
      </c>
      <c r="B1233" s="7" t="s">
        <v>73</v>
      </c>
      <c r="C1233" s="7" t="s">
        <v>12</v>
      </c>
      <c r="D1233" s="22">
        <v>395000</v>
      </c>
      <c r="E1233" s="7">
        <v>6</v>
      </c>
      <c r="F1233" s="7">
        <v>5</v>
      </c>
      <c r="G1233" s="7">
        <v>2.1</v>
      </c>
      <c r="H1233" s="12">
        <v>2621</v>
      </c>
      <c r="I1233" s="9">
        <f t="shared" si="38"/>
        <v>150.7058374666158</v>
      </c>
      <c r="J1233" s="3" t="str">
        <f t="shared" si="39"/>
        <v>Low</v>
      </c>
    </row>
    <row r="1234" spans="1:10">
      <c r="A1234" s="4" t="s">
        <v>1291</v>
      </c>
      <c r="B1234" s="4" t="s">
        <v>823</v>
      </c>
      <c r="C1234" s="4" t="s">
        <v>12</v>
      </c>
      <c r="D1234" s="21">
        <v>396000</v>
      </c>
      <c r="E1234" s="4">
        <v>107</v>
      </c>
      <c r="F1234" s="4">
        <v>3</v>
      </c>
      <c r="G1234" s="4">
        <v>3.1</v>
      </c>
      <c r="H1234" s="10">
        <v>2069</v>
      </c>
      <c r="I1234" s="11">
        <f t="shared" si="38"/>
        <v>191.39681005316578</v>
      </c>
      <c r="J1234" s="3" t="str">
        <f t="shared" si="39"/>
        <v>Low</v>
      </c>
    </row>
    <row r="1235" spans="1:10">
      <c r="A1235" s="7" t="s">
        <v>1292</v>
      </c>
      <c r="B1235" s="7" t="s">
        <v>11</v>
      </c>
      <c r="C1235" s="7" t="s">
        <v>12</v>
      </c>
      <c r="D1235" s="22">
        <v>399000</v>
      </c>
      <c r="E1235" s="7">
        <v>5</v>
      </c>
      <c r="F1235" s="7">
        <v>3</v>
      </c>
      <c r="G1235" s="7">
        <v>2.1</v>
      </c>
      <c r="H1235" s="12">
        <v>1756</v>
      </c>
      <c r="I1235" s="9">
        <f t="shared" si="38"/>
        <v>227.22095671981776</v>
      </c>
      <c r="J1235" s="3" t="str">
        <f t="shared" si="39"/>
        <v>Medium</v>
      </c>
    </row>
    <row r="1236" spans="1:10">
      <c r="A1236" s="4" t="s">
        <v>1293</v>
      </c>
      <c r="B1236" s="4" t="s">
        <v>1139</v>
      </c>
      <c r="C1236" s="4" t="s">
        <v>12</v>
      </c>
      <c r="D1236" s="21">
        <v>399900</v>
      </c>
      <c r="E1236" s="4">
        <v>26</v>
      </c>
      <c r="F1236" s="4">
        <v>4</v>
      </c>
      <c r="G1236" s="4">
        <v>2</v>
      </c>
      <c r="H1236" s="10">
        <v>1487</v>
      </c>
      <c r="I1236" s="11">
        <f t="shared" si="38"/>
        <v>268.93073301950233</v>
      </c>
      <c r="J1236" s="3" t="str">
        <f t="shared" si="39"/>
        <v>Medium</v>
      </c>
    </row>
    <row r="1237" spans="1:10">
      <c r="A1237" s="7" t="s">
        <v>1294</v>
      </c>
      <c r="B1237" s="7" t="s">
        <v>878</v>
      </c>
      <c r="C1237" s="7" t="s">
        <v>12</v>
      </c>
      <c r="D1237" s="22">
        <v>399900</v>
      </c>
      <c r="E1237" s="7">
        <v>157</v>
      </c>
      <c r="F1237" s="7">
        <v>4</v>
      </c>
      <c r="G1237" s="7">
        <v>2.1</v>
      </c>
      <c r="H1237" s="12">
        <v>2063</v>
      </c>
      <c r="I1237" s="9">
        <f t="shared" si="38"/>
        <v>193.84391662627243</v>
      </c>
      <c r="J1237" s="3" t="str">
        <f t="shared" si="39"/>
        <v>Low</v>
      </c>
    </row>
    <row r="1238" spans="1:10">
      <c r="A1238" s="4" t="s">
        <v>1295</v>
      </c>
      <c r="B1238" s="4" t="s">
        <v>18</v>
      </c>
      <c r="C1238" s="4" t="s">
        <v>12</v>
      </c>
      <c r="D1238" s="21">
        <v>400000</v>
      </c>
      <c r="E1238" s="4">
        <v>0</v>
      </c>
      <c r="F1238" s="4">
        <v>3</v>
      </c>
      <c r="G1238" s="4">
        <v>2</v>
      </c>
      <c r="H1238" s="10">
        <v>1933</v>
      </c>
      <c r="I1238" s="11">
        <f t="shared" si="38"/>
        <v>206.93222969477497</v>
      </c>
      <c r="J1238" s="3" t="str">
        <f t="shared" si="39"/>
        <v>Medium</v>
      </c>
    </row>
    <row r="1239" spans="1:10">
      <c r="A1239" s="7" t="s">
        <v>1296</v>
      </c>
      <c r="B1239" s="7" t="s">
        <v>70</v>
      </c>
      <c r="C1239" s="7" t="s">
        <v>12</v>
      </c>
      <c r="D1239" s="22">
        <v>400000</v>
      </c>
      <c r="E1239" s="7">
        <v>12</v>
      </c>
      <c r="F1239" s="7">
        <v>4</v>
      </c>
      <c r="G1239" s="7">
        <v>2.1</v>
      </c>
      <c r="H1239" s="12">
        <v>2590</v>
      </c>
      <c r="I1239" s="9">
        <f t="shared" si="38"/>
        <v>154.44015444015443</v>
      </c>
      <c r="J1239" s="3" t="str">
        <f t="shared" si="39"/>
        <v>Low</v>
      </c>
    </row>
    <row r="1240" spans="1:10">
      <c r="A1240" s="4" t="s">
        <v>1297</v>
      </c>
      <c r="B1240" s="4" t="s">
        <v>131</v>
      </c>
      <c r="C1240" s="4" t="s">
        <v>12</v>
      </c>
      <c r="D1240" s="21">
        <v>400000</v>
      </c>
      <c r="E1240" s="4">
        <v>6</v>
      </c>
      <c r="F1240" s="4">
        <v>3</v>
      </c>
      <c r="G1240" s="4">
        <v>1</v>
      </c>
      <c r="H1240" s="10">
        <v>1334</v>
      </c>
      <c r="I1240" s="11">
        <f t="shared" si="38"/>
        <v>299.85007496251876</v>
      </c>
      <c r="J1240" s="3" t="str">
        <f t="shared" si="39"/>
        <v>Medium</v>
      </c>
    </row>
    <row r="1241" spans="1:10">
      <c r="A1241" s="7" t="s">
        <v>1298</v>
      </c>
      <c r="B1241" s="7" t="s">
        <v>212</v>
      </c>
      <c r="C1241" s="7" t="s">
        <v>12</v>
      </c>
      <c r="D1241" s="22">
        <v>400000</v>
      </c>
      <c r="E1241" s="7">
        <v>5</v>
      </c>
      <c r="F1241" s="7">
        <v>3</v>
      </c>
      <c r="G1241" s="7">
        <v>2.1</v>
      </c>
      <c r="H1241" s="12">
        <v>1536</v>
      </c>
      <c r="I1241" s="9">
        <f t="shared" si="38"/>
        <v>260.41666666666669</v>
      </c>
      <c r="J1241" s="3" t="str">
        <f t="shared" si="39"/>
        <v>Medium</v>
      </c>
    </row>
    <row r="1242" spans="1:10">
      <c r="A1242" s="4" t="s">
        <v>1299</v>
      </c>
      <c r="B1242" s="4" t="s">
        <v>11</v>
      </c>
      <c r="C1242" s="4" t="s">
        <v>12</v>
      </c>
      <c r="D1242" s="21">
        <v>400000</v>
      </c>
      <c r="E1242" s="4">
        <v>1</v>
      </c>
      <c r="F1242" s="4">
        <v>3</v>
      </c>
      <c r="G1242" s="4">
        <v>3.1</v>
      </c>
      <c r="H1242" s="10">
        <v>2120</v>
      </c>
      <c r="I1242" s="11">
        <f t="shared" si="38"/>
        <v>188.67924528301887</v>
      </c>
      <c r="J1242" s="3" t="str">
        <f t="shared" si="39"/>
        <v>Low</v>
      </c>
    </row>
    <row r="1243" spans="1:10">
      <c r="A1243" s="7" t="s">
        <v>1300</v>
      </c>
      <c r="B1243" s="7" t="s">
        <v>93</v>
      </c>
      <c r="C1243" s="7" t="s">
        <v>12</v>
      </c>
      <c r="D1243" s="22">
        <v>400000</v>
      </c>
      <c r="E1243" s="7">
        <v>16</v>
      </c>
      <c r="F1243" s="7">
        <v>3</v>
      </c>
      <c r="G1243" s="7">
        <v>2.1</v>
      </c>
      <c r="H1243" s="12">
        <v>2402</v>
      </c>
      <c r="I1243" s="9">
        <f t="shared" si="38"/>
        <v>166.5278934221482</v>
      </c>
      <c r="J1243" s="3" t="str">
        <f t="shared" si="39"/>
        <v>Low</v>
      </c>
    </row>
    <row r="1244" spans="1:10">
      <c r="A1244" s="4" t="s">
        <v>1301</v>
      </c>
      <c r="B1244" s="4" t="s">
        <v>77</v>
      </c>
      <c r="C1244" s="4" t="s">
        <v>12</v>
      </c>
      <c r="D1244" s="21">
        <v>400000</v>
      </c>
      <c r="E1244" s="4">
        <v>10</v>
      </c>
      <c r="F1244" s="4">
        <v>3</v>
      </c>
      <c r="G1244" s="4">
        <v>2.2000000000000002</v>
      </c>
      <c r="H1244" s="10">
        <v>1772</v>
      </c>
      <c r="I1244" s="11">
        <f t="shared" si="38"/>
        <v>225.73363431151242</v>
      </c>
      <c r="J1244" s="3" t="str">
        <f t="shared" si="39"/>
        <v>Medium</v>
      </c>
    </row>
    <row r="1245" spans="1:10">
      <c r="A1245" s="7" t="s">
        <v>1302</v>
      </c>
      <c r="B1245" s="7" t="s">
        <v>70</v>
      </c>
      <c r="C1245" s="7" t="s">
        <v>12</v>
      </c>
      <c r="D1245" s="22">
        <v>400000</v>
      </c>
      <c r="E1245" s="7">
        <v>70</v>
      </c>
      <c r="F1245" s="7">
        <v>4</v>
      </c>
      <c r="G1245" s="7">
        <v>2.1</v>
      </c>
      <c r="H1245" s="12">
        <v>3000</v>
      </c>
      <c r="I1245" s="9">
        <f t="shared" si="38"/>
        <v>133.33333333333334</v>
      </c>
      <c r="J1245" s="3" t="str">
        <f t="shared" si="39"/>
        <v>Low</v>
      </c>
    </row>
    <row r="1246" spans="1:10">
      <c r="A1246" s="4" t="s">
        <v>1303</v>
      </c>
      <c r="B1246" s="4" t="s">
        <v>948</v>
      </c>
      <c r="C1246" s="4" t="s">
        <v>12</v>
      </c>
      <c r="D1246" s="21">
        <v>400000</v>
      </c>
      <c r="E1246" s="4">
        <v>89</v>
      </c>
      <c r="F1246" s="4">
        <v>3</v>
      </c>
      <c r="G1246" s="4">
        <v>2.1</v>
      </c>
      <c r="H1246" s="10">
        <v>1864</v>
      </c>
      <c r="I1246" s="11">
        <f t="shared" si="38"/>
        <v>214.59227467811158</v>
      </c>
      <c r="J1246" s="3" t="str">
        <f t="shared" si="39"/>
        <v>Medium</v>
      </c>
    </row>
    <row r="1247" spans="1:10">
      <c r="A1247" s="7" t="s">
        <v>1304</v>
      </c>
      <c r="B1247" s="7" t="s">
        <v>1305</v>
      </c>
      <c r="C1247" s="7" t="s">
        <v>12</v>
      </c>
      <c r="D1247" s="22">
        <v>400000</v>
      </c>
      <c r="E1247" s="7">
        <v>5</v>
      </c>
      <c r="F1247" s="7">
        <v>3</v>
      </c>
      <c r="G1247" s="7">
        <v>1.2</v>
      </c>
      <c r="H1247" s="12">
        <v>1231</v>
      </c>
      <c r="I1247" s="9">
        <f t="shared" si="38"/>
        <v>324.93907392363934</v>
      </c>
      <c r="J1247" s="3" t="str">
        <f t="shared" si="39"/>
        <v>High</v>
      </c>
    </row>
    <row r="1248" spans="1:10">
      <c r="A1248" s="4" t="s">
        <v>1306</v>
      </c>
      <c r="B1248" s="4" t="s">
        <v>11</v>
      </c>
      <c r="C1248" s="4" t="s">
        <v>12</v>
      </c>
      <c r="D1248" s="21">
        <v>400000</v>
      </c>
      <c r="E1248" s="4">
        <v>23</v>
      </c>
      <c r="F1248" s="4">
        <v>4</v>
      </c>
      <c r="G1248" s="4">
        <v>2.1</v>
      </c>
      <c r="H1248" s="10">
        <v>2616</v>
      </c>
      <c r="I1248" s="11">
        <f t="shared" si="38"/>
        <v>152.9051987767584</v>
      </c>
      <c r="J1248" s="3" t="str">
        <f t="shared" si="39"/>
        <v>Low</v>
      </c>
    </row>
    <row r="1249" spans="1:10">
      <c r="A1249" s="7" t="s">
        <v>1307</v>
      </c>
      <c r="B1249" s="7" t="s">
        <v>400</v>
      </c>
      <c r="C1249" s="7" t="s">
        <v>12</v>
      </c>
      <c r="D1249" s="22">
        <v>400000</v>
      </c>
      <c r="E1249" s="7">
        <v>54</v>
      </c>
      <c r="F1249" s="7">
        <v>3</v>
      </c>
      <c r="G1249" s="7">
        <v>2.1</v>
      </c>
      <c r="H1249" s="12">
        <v>2089</v>
      </c>
      <c r="I1249" s="9">
        <f t="shared" si="38"/>
        <v>191.47917663954044</v>
      </c>
      <c r="J1249" s="3" t="str">
        <f t="shared" si="39"/>
        <v>Low</v>
      </c>
    </row>
    <row r="1250" spans="1:10">
      <c r="A1250" s="4" t="s">
        <v>1308</v>
      </c>
      <c r="B1250" s="4" t="s">
        <v>70</v>
      </c>
      <c r="C1250" s="4" t="s">
        <v>12</v>
      </c>
      <c r="D1250" s="21">
        <v>400000</v>
      </c>
      <c r="E1250" s="4">
        <v>48</v>
      </c>
      <c r="F1250" s="4">
        <v>3</v>
      </c>
      <c r="G1250" s="4">
        <v>2.1</v>
      </c>
      <c r="H1250" s="10">
        <v>2000</v>
      </c>
      <c r="I1250" s="11">
        <f t="shared" si="38"/>
        <v>200</v>
      </c>
      <c r="J1250" s="3" t="str">
        <f t="shared" si="39"/>
        <v>Low</v>
      </c>
    </row>
    <row r="1251" spans="1:10">
      <c r="A1251" s="7" t="s">
        <v>1309</v>
      </c>
      <c r="B1251" s="7" t="s">
        <v>823</v>
      </c>
      <c r="C1251" s="7" t="s">
        <v>12</v>
      </c>
      <c r="D1251" s="22">
        <v>400000</v>
      </c>
      <c r="E1251" s="7">
        <v>35</v>
      </c>
      <c r="F1251" s="7">
        <v>4</v>
      </c>
      <c r="G1251" s="7">
        <v>2.1</v>
      </c>
      <c r="H1251" s="12">
        <v>2203</v>
      </c>
      <c r="I1251" s="9">
        <f t="shared" si="38"/>
        <v>181.57058556513846</v>
      </c>
      <c r="J1251" s="3" t="str">
        <f t="shared" si="39"/>
        <v>Low</v>
      </c>
    </row>
    <row r="1252" spans="1:10">
      <c r="A1252" s="4" t="s">
        <v>1310</v>
      </c>
      <c r="B1252" s="4" t="s">
        <v>80</v>
      </c>
      <c r="C1252" s="4" t="s">
        <v>12</v>
      </c>
      <c r="D1252" s="21">
        <v>400000</v>
      </c>
      <c r="E1252" s="4">
        <v>3</v>
      </c>
      <c r="F1252" s="4">
        <v>3</v>
      </c>
      <c r="G1252" s="4">
        <v>2.1</v>
      </c>
      <c r="H1252" s="10">
        <v>1832</v>
      </c>
      <c r="I1252" s="11">
        <f t="shared" si="38"/>
        <v>218.34061135371178</v>
      </c>
      <c r="J1252" s="3" t="str">
        <f t="shared" si="39"/>
        <v>Medium</v>
      </c>
    </row>
    <row r="1253" spans="1:10">
      <c r="A1253" s="7" t="s">
        <v>1311</v>
      </c>
      <c r="B1253" s="7" t="s">
        <v>80</v>
      </c>
      <c r="C1253" s="7" t="s">
        <v>12</v>
      </c>
      <c r="D1253" s="22">
        <v>400000</v>
      </c>
      <c r="E1253" s="7">
        <v>66</v>
      </c>
      <c r="F1253" s="7">
        <v>4</v>
      </c>
      <c r="G1253" s="7">
        <v>2.1</v>
      </c>
      <c r="H1253" s="12">
        <v>2300</v>
      </c>
      <c r="I1253" s="9">
        <f t="shared" si="38"/>
        <v>173.91304347826087</v>
      </c>
      <c r="J1253" s="3" t="str">
        <f t="shared" si="39"/>
        <v>Low</v>
      </c>
    </row>
    <row r="1254" spans="1:10">
      <c r="A1254" s="4" t="s">
        <v>1312</v>
      </c>
      <c r="B1254" s="4" t="s">
        <v>268</v>
      </c>
      <c r="C1254" s="4" t="s">
        <v>12</v>
      </c>
      <c r="D1254" s="21">
        <v>400009</v>
      </c>
      <c r="E1254" s="4">
        <v>9</v>
      </c>
      <c r="F1254" s="4">
        <v>4</v>
      </c>
      <c r="G1254" s="4">
        <v>3.1</v>
      </c>
      <c r="H1254" s="10">
        <v>2355</v>
      </c>
      <c r="I1254" s="11">
        <f t="shared" si="38"/>
        <v>169.85520169851381</v>
      </c>
      <c r="J1254" s="3" t="str">
        <f t="shared" si="39"/>
        <v>Low</v>
      </c>
    </row>
    <row r="1255" spans="1:10">
      <c r="A1255" s="7" t="s">
        <v>1313</v>
      </c>
      <c r="B1255" s="7" t="s">
        <v>16</v>
      </c>
      <c r="C1255" s="7" t="s">
        <v>12</v>
      </c>
      <c r="D1255" s="22">
        <v>401000</v>
      </c>
      <c r="E1255" s="7">
        <v>8</v>
      </c>
      <c r="F1255" s="7">
        <v>4</v>
      </c>
      <c r="G1255" s="7">
        <v>2.1</v>
      </c>
      <c r="H1255" s="12">
        <v>2026</v>
      </c>
      <c r="I1255" s="9">
        <f t="shared" si="38"/>
        <v>197.92694965449161</v>
      </c>
      <c r="J1255" s="3" t="str">
        <f t="shared" si="39"/>
        <v>Low</v>
      </c>
    </row>
    <row r="1256" spans="1:10">
      <c r="A1256" s="4" t="s">
        <v>1314</v>
      </c>
      <c r="B1256" s="4" t="s">
        <v>131</v>
      </c>
      <c r="C1256" s="4" t="s">
        <v>12</v>
      </c>
      <c r="D1256" s="21">
        <v>402000</v>
      </c>
      <c r="E1256" s="4">
        <v>6</v>
      </c>
      <c r="F1256" s="4">
        <v>3</v>
      </c>
      <c r="G1256" s="4">
        <v>2</v>
      </c>
      <c r="H1256" s="10">
        <v>1332</v>
      </c>
      <c r="I1256" s="11">
        <f t="shared" si="38"/>
        <v>301.80180180180179</v>
      </c>
      <c r="J1256" s="3" t="str">
        <f t="shared" si="39"/>
        <v>High</v>
      </c>
    </row>
    <row r="1257" spans="1:10">
      <c r="A1257" s="7" t="s">
        <v>1315</v>
      </c>
      <c r="B1257" s="7" t="s">
        <v>363</v>
      </c>
      <c r="C1257" s="7" t="s">
        <v>12</v>
      </c>
      <c r="D1257" s="22">
        <v>402000</v>
      </c>
      <c r="E1257" s="7">
        <v>6</v>
      </c>
      <c r="F1257" s="7">
        <v>3</v>
      </c>
      <c r="G1257" s="7">
        <v>1.1000000000000001</v>
      </c>
      <c r="H1257" s="12">
        <v>1656</v>
      </c>
      <c r="I1257" s="9">
        <f t="shared" si="38"/>
        <v>242.75362318840581</v>
      </c>
      <c r="J1257" s="3" t="str">
        <f t="shared" si="39"/>
        <v>Medium</v>
      </c>
    </row>
    <row r="1258" spans="1:10">
      <c r="A1258" s="4" t="s">
        <v>1316</v>
      </c>
      <c r="B1258" s="4" t="s">
        <v>29</v>
      </c>
      <c r="C1258" s="4" t="s">
        <v>12</v>
      </c>
      <c r="D1258" s="21">
        <v>402500</v>
      </c>
      <c r="E1258" s="4">
        <v>98</v>
      </c>
      <c r="F1258" s="4">
        <v>3</v>
      </c>
      <c r="G1258" s="4">
        <v>1.1000000000000001</v>
      </c>
      <c r="H1258" s="10">
        <v>1674</v>
      </c>
      <c r="I1258" s="11">
        <f t="shared" si="38"/>
        <v>240.442054958184</v>
      </c>
      <c r="J1258" s="3" t="str">
        <f t="shared" si="39"/>
        <v>Medium</v>
      </c>
    </row>
    <row r="1259" spans="1:10">
      <c r="A1259" s="7" t="s">
        <v>1317</v>
      </c>
      <c r="B1259" s="7" t="s">
        <v>80</v>
      </c>
      <c r="C1259" s="7" t="s">
        <v>12</v>
      </c>
      <c r="D1259" s="22">
        <v>402500</v>
      </c>
      <c r="E1259" s="7">
        <v>5</v>
      </c>
      <c r="F1259" s="7">
        <v>4</v>
      </c>
      <c r="G1259" s="7">
        <v>2</v>
      </c>
      <c r="H1259" s="12">
        <v>1768</v>
      </c>
      <c r="I1259" s="9">
        <f t="shared" si="38"/>
        <v>227.65837104072398</v>
      </c>
      <c r="J1259" s="3" t="str">
        <f t="shared" si="39"/>
        <v>Medium</v>
      </c>
    </row>
    <row r="1260" spans="1:10">
      <c r="A1260" s="4" t="s">
        <v>1318</v>
      </c>
      <c r="B1260" s="4" t="s">
        <v>212</v>
      </c>
      <c r="C1260" s="4" t="s">
        <v>12</v>
      </c>
      <c r="D1260" s="21">
        <v>403500</v>
      </c>
      <c r="E1260" s="4">
        <v>12</v>
      </c>
      <c r="F1260" s="4">
        <v>3</v>
      </c>
      <c r="G1260" s="4">
        <v>3.1</v>
      </c>
      <c r="H1260" s="10">
        <v>1660</v>
      </c>
      <c r="I1260" s="11">
        <f t="shared" si="38"/>
        <v>243.07228915662651</v>
      </c>
      <c r="J1260" s="3" t="str">
        <f t="shared" si="39"/>
        <v>Medium</v>
      </c>
    </row>
    <row r="1261" spans="1:10">
      <c r="A1261" s="7" t="s">
        <v>1319</v>
      </c>
      <c r="B1261" s="7" t="s">
        <v>131</v>
      </c>
      <c r="C1261" s="7" t="s">
        <v>12</v>
      </c>
      <c r="D1261" s="22">
        <v>404000</v>
      </c>
      <c r="E1261" s="7">
        <v>2</v>
      </c>
      <c r="F1261" s="7">
        <v>3</v>
      </c>
      <c r="G1261" s="7">
        <v>3</v>
      </c>
      <c r="H1261" s="12">
        <v>1750</v>
      </c>
      <c r="I1261" s="9">
        <f t="shared" si="38"/>
        <v>230.85714285714286</v>
      </c>
      <c r="J1261" s="3" t="str">
        <f t="shared" si="39"/>
        <v>Medium</v>
      </c>
    </row>
    <row r="1262" spans="1:10">
      <c r="A1262" s="4" t="s">
        <v>1320</v>
      </c>
      <c r="B1262" s="4" t="s">
        <v>73</v>
      </c>
      <c r="C1262" s="4" t="s">
        <v>12</v>
      </c>
      <c r="D1262" s="21">
        <v>405000</v>
      </c>
      <c r="E1262" s="4">
        <v>0</v>
      </c>
      <c r="F1262" s="4">
        <v>3</v>
      </c>
      <c r="G1262" s="4">
        <v>2.1</v>
      </c>
      <c r="H1262" s="10">
        <v>1851</v>
      </c>
      <c r="I1262" s="11">
        <f t="shared" si="38"/>
        <v>218.80064829821717</v>
      </c>
      <c r="J1262" s="3" t="str">
        <f t="shared" si="39"/>
        <v>Medium</v>
      </c>
    </row>
    <row r="1263" spans="1:10">
      <c r="A1263" s="7" t="s">
        <v>1321</v>
      </c>
      <c r="B1263" s="7" t="s">
        <v>679</v>
      </c>
      <c r="C1263" s="7" t="s">
        <v>12</v>
      </c>
      <c r="D1263" s="22">
        <v>405000</v>
      </c>
      <c r="E1263" s="7">
        <v>2</v>
      </c>
      <c r="F1263" s="7">
        <v>3</v>
      </c>
      <c r="G1263" s="7">
        <v>2</v>
      </c>
      <c r="H1263" s="12">
        <v>1024</v>
      </c>
      <c r="I1263" s="9">
        <f t="shared" si="38"/>
        <v>395.5078125</v>
      </c>
      <c r="J1263" s="3" t="str">
        <f t="shared" si="39"/>
        <v>High</v>
      </c>
    </row>
    <row r="1264" spans="1:10">
      <c r="A1264" s="4" t="s">
        <v>1322</v>
      </c>
      <c r="B1264" s="4" t="s">
        <v>42</v>
      </c>
      <c r="C1264" s="4" t="s">
        <v>12</v>
      </c>
      <c r="D1264" s="21">
        <v>405000</v>
      </c>
      <c r="E1264" s="4">
        <v>8</v>
      </c>
      <c r="F1264" s="4">
        <v>3</v>
      </c>
      <c r="G1264" s="4">
        <v>1.1000000000000001</v>
      </c>
      <c r="H1264" s="10">
        <v>1747</v>
      </c>
      <c r="I1264" s="11">
        <f t="shared" si="38"/>
        <v>231.82598740698339</v>
      </c>
      <c r="J1264" s="3" t="str">
        <f t="shared" si="39"/>
        <v>Medium</v>
      </c>
    </row>
    <row r="1265" spans="1:10">
      <c r="A1265" s="7" t="s">
        <v>1323</v>
      </c>
      <c r="B1265" s="7" t="s">
        <v>18</v>
      </c>
      <c r="C1265" s="7" t="s">
        <v>12</v>
      </c>
      <c r="D1265" s="22">
        <v>405000</v>
      </c>
      <c r="E1265" s="7">
        <v>6</v>
      </c>
      <c r="F1265" s="7">
        <v>4</v>
      </c>
      <c r="G1265" s="7">
        <v>3</v>
      </c>
      <c r="H1265" s="12">
        <v>2100</v>
      </c>
      <c r="I1265" s="9">
        <f t="shared" si="38"/>
        <v>192.85714285714286</v>
      </c>
      <c r="J1265" s="3" t="str">
        <f t="shared" si="39"/>
        <v>Low</v>
      </c>
    </row>
    <row r="1266" spans="1:10">
      <c r="A1266" s="4" t="s">
        <v>1324</v>
      </c>
      <c r="B1266" s="4" t="s">
        <v>282</v>
      </c>
      <c r="C1266" s="4" t="s">
        <v>12</v>
      </c>
      <c r="D1266" s="21">
        <v>405000</v>
      </c>
      <c r="E1266" s="4">
        <v>9</v>
      </c>
      <c r="F1266" s="4">
        <v>3</v>
      </c>
      <c r="G1266" s="4">
        <v>2</v>
      </c>
      <c r="H1266" s="10">
        <v>1146</v>
      </c>
      <c r="I1266" s="11">
        <f t="shared" si="38"/>
        <v>353.40314136125653</v>
      </c>
      <c r="J1266" s="3" t="str">
        <f t="shared" si="39"/>
        <v>High</v>
      </c>
    </row>
    <row r="1267" spans="1:10">
      <c r="A1267" s="7" t="s">
        <v>1325</v>
      </c>
      <c r="B1267" s="7" t="s">
        <v>331</v>
      </c>
      <c r="C1267" s="7" t="s">
        <v>12</v>
      </c>
      <c r="D1267" s="22">
        <v>405000</v>
      </c>
      <c r="E1267" s="7">
        <v>69</v>
      </c>
      <c r="F1267" s="7">
        <v>4</v>
      </c>
      <c r="G1267" s="7">
        <v>2</v>
      </c>
      <c r="H1267" s="12">
        <v>1638</v>
      </c>
      <c r="I1267" s="9">
        <f t="shared" si="38"/>
        <v>247.25274725274724</v>
      </c>
      <c r="J1267" s="3" t="str">
        <f t="shared" si="39"/>
        <v>Medium</v>
      </c>
    </row>
    <row r="1268" spans="1:10">
      <c r="A1268" s="4" t="s">
        <v>1326</v>
      </c>
      <c r="B1268" s="4" t="s">
        <v>93</v>
      </c>
      <c r="C1268" s="4" t="s">
        <v>12</v>
      </c>
      <c r="D1268" s="21">
        <v>406000</v>
      </c>
      <c r="E1268" s="4">
        <v>34</v>
      </c>
      <c r="F1268" s="4">
        <v>3</v>
      </c>
      <c r="G1268" s="4">
        <v>2.1</v>
      </c>
      <c r="H1268" s="10">
        <v>1481</v>
      </c>
      <c r="I1268" s="11">
        <f t="shared" si="38"/>
        <v>274.13909520594194</v>
      </c>
      <c r="J1268" s="3" t="str">
        <f t="shared" si="39"/>
        <v>Medium</v>
      </c>
    </row>
    <row r="1269" spans="1:10">
      <c r="A1269" s="7" t="s">
        <v>1327</v>
      </c>
      <c r="B1269" s="7" t="s">
        <v>16</v>
      </c>
      <c r="C1269" s="7" t="s">
        <v>12</v>
      </c>
      <c r="D1269" s="22">
        <v>407000</v>
      </c>
      <c r="E1269" s="7">
        <v>2</v>
      </c>
      <c r="F1269" s="7">
        <v>4</v>
      </c>
      <c r="G1269" s="7">
        <v>2.1</v>
      </c>
      <c r="H1269" s="12">
        <v>2124</v>
      </c>
      <c r="I1269" s="9">
        <f t="shared" si="38"/>
        <v>191.61958568738228</v>
      </c>
      <c r="J1269" s="3" t="str">
        <f t="shared" si="39"/>
        <v>Low</v>
      </c>
    </row>
    <row r="1270" spans="1:10">
      <c r="A1270" s="4" t="s">
        <v>1328</v>
      </c>
      <c r="B1270" s="4" t="s">
        <v>77</v>
      </c>
      <c r="C1270" s="4" t="s">
        <v>12</v>
      </c>
      <c r="D1270" s="21">
        <v>407000</v>
      </c>
      <c r="E1270" s="4">
        <v>28</v>
      </c>
      <c r="F1270" s="4">
        <v>4</v>
      </c>
      <c r="G1270" s="4">
        <v>2.1</v>
      </c>
      <c r="H1270" s="10">
        <v>1958</v>
      </c>
      <c r="I1270" s="11">
        <f t="shared" si="38"/>
        <v>207.86516853932585</v>
      </c>
      <c r="J1270" s="3" t="str">
        <f t="shared" si="39"/>
        <v>Medium</v>
      </c>
    </row>
    <row r="1271" spans="1:10">
      <c r="A1271" s="7" t="s">
        <v>1329</v>
      </c>
      <c r="B1271" s="7" t="s">
        <v>331</v>
      </c>
      <c r="C1271" s="7" t="s">
        <v>12</v>
      </c>
      <c r="D1271" s="22">
        <v>408500</v>
      </c>
      <c r="E1271" s="7">
        <v>4</v>
      </c>
      <c r="F1271" s="7">
        <v>3</v>
      </c>
      <c r="G1271" s="7">
        <v>2.1</v>
      </c>
      <c r="H1271" s="12">
        <v>2028</v>
      </c>
      <c r="I1271" s="9">
        <f t="shared" si="38"/>
        <v>201.42998027613413</v>
      </c>
      <c r="J1271" s="3" t="str">
        <f t="shared" si="39"/>
        <v>Medium</v>
      </c>
    </row>
    <row r="1272" spans="1:10">
      <c r="A1272" s="4" t="s">
        <v>1330</v>
      </c>
      <c r="B1272" s="4" t="s">
        <v>400</v>
      </c>
      <c r="C1272" s="4" t="s">
        <v>12</v>
      </c>
      <c r="D1272" s="21">
        <v>409000</v>
      </c>
      <c r="E1272" s="4">
        <v>99</v>
      </c>
      <c r="F1272" s="4">
        <v>4</v>
      </c>
      <c r="G1272" s="4">
        <v>2.1</v>
      </c>
      <c r="H1272" s="10">
        <v>2136</v>
      </c>
      <c r="I1272" s="11">
        <f t="shared" si="38"/>
        <v>191.47940074906367</v>
      </c>
      <c r="J1272" s="3" t="str">
        <f t="shared" si="39"/>
        <v>Low</v>
      </c>
    </row>
    <row r="1273" spans="1:10">
      <c r="A1273" s="7" t="s">
        <v>1331</v>
      </c>
      <c r="B1273" s="7" t="s">
        <v>1139</v>
      </c>
      <c r="C1273" s="7" t="s">
        <v>12</v>
      </c>
      <c r="D1273" s="22">
        <v>410000</v>
      </c>
      <c r="E1273" s="7">
        <v>25</v>
      </c>
      <c r="F1273" s="7">
        <v>4</v>
      </c>
      <c r="G1273" s="7">
        <v>2.1</v>
      </c>
      <c r="H1273" s="12">
        <v>1362</v>
      </c>
      <c r="I1273" s="9">
        <f t="shared" si="38"/>
        <v>301.02790014684285</v>
      </c>
      <c r="J1273" s="3" t="str">
        <f t="shared" si="39"/>
        <v>High</v>
      </c>
    </row>
    <row r="1274" spans="1:10">
      <c r="A1274" s="4" t="s">
        <v>1332</v>
      </c>
      <c r="B1274" s="4" t="s">
        <v>363</v>
      </c>
      <c r="C1274" s="4" t="s">
        <v>12</v>
      </c>
      <c r="D1274" s="21">
        <v>410000</v>
      </c>
      <c r="E1274" s="4">
        <v>5</v>
      </c>
      <c r="F1274" s="4">
        <v>3</v>
      </c>
      <c r="G1274" s="4">
        <v>2.1</v>
      </c>
      <c r="H1274" s="10">
        <v>1500</v>
      </c>
      <c r="I1274" s="11">
        <f t="shared" si="38"/>
        <v>273.33333333333331</v>
      </c>
      <c r="J1274" s="3" t="str">
        <f t="shared" si="39"/>
        <v>Medium</v>
      </c>
    </row>
    <row r="1275" spans="1:10">
      <c r="A1275" s="7" t="s">
        <v>1333</v>
      </c>
      <c r="B1275" s="7" t="s">
        <v>18</v>
      </c>
      <c r="C1275" s="7" t="s">
        <v>12</v>
      </c>
      <c r="D1275" s="22">
        <v>410000</v>
      </c>
      <c r="E1275" s="7">
        <v>3</v>
      </c>
      <c r="F1275" s="7">
        <v>4</v>
      </c>
      <c r="G1275" s="7">
        <v>2</v>
      </c>
      <c r="H1275" s="12">
        <v>2160</v>
      </c>
      <c r="I1275" s="9">
        <f t="shared" si="38"/>
        <v>189.81481481481481</v>
      </c>
      <c r="J1275" s="3" t="str">
        <f t="shared" si="39"/>
        <v>Low</v>
      </c>
    </row>
    <row r="1276" spans="1:10">
      <c r="A1276" s="4" t="s">
        <v>1334</v>
      </c>
      <c r="B1276" s="4" t="s">
        <v>70</v>
      </c>
      <c r="C1276" s="4" t="s">
        <v>12</v>
      </c>
      <c r="D1276" s="21">
        <v>410000</v>
      </c>
      <c r="E1276" s="4">
        <v>5</v>
      </c>
      <c r="F1276" s="4">
        <v>4</v>
      </c>
      <c r="G1276" s="4">
        <v>2.1</v>
      </c>
      <c r="H1276" s="10">
        <v>2440</v>
      </c>
      <c r="I1276" s="11">
        <f t="shared" si="38"/>
        <v>168.03278688524591</v>
      </c>
      <c r="J1276" s="3" t="str">
        <f t="shared" si="39"/>
        <v>Low</v>
      </c>
    </row>
    <row r="1277" spans="1:10">
      <c r="A1277" s="7" t="s">
        <v>1335</v>
      </c>
      <c r="B1277" s="7" t="s">
        <v>268</v>
      </c>
      <c r="C1277" s="7" t="s">
        <v>12</v>
      </c>
      <c r="D1277" s="22">
        <v>410000</v>
      </c>
      <c r="E1277" s="7">
        <v>10</v>
      </c>
      <c r="F1277" s="7">
        <v>4</v>
      </c>
      <c r="G1277" s="7">
        <v>2.1</v>
      </c>
      <c r="H1277" s="12">
        <v>2595</v>
      </c>
      <c r="I1277" s="9">
        <f t="shared" si="38"/>
        <v>157.9961464354528</v>
      </c>
      <c r="J1277" s="3" t="str">
        <f t="shared" si="39"/>
        <v>Low</v>
      </c>
    </row>
    <row r="1278" spans="1:10">
      <c r="A1278" s="4" t="s">
        <v>1336</v>
      </c>
      <c r="B1278" s="4" t="s">
        <v>70</v>
      </c>
      <c r="C1278" s="4" t="s">
        <v>12</v>
      </c>
      <c r="D1278" s="21">
        <v>410000</v>
      </c>
      <c r="E1278" s="4">
        <v>13</v>
      </c>
      <c r="F1278" s="4">
        <v>4</v>
      </c>
      <c r="G1278" s="4">
        <v>2.1</v>
      </c>
      <c r="H1278" s="10">
        <v>2450</v>
      </c>
      <c r="I1278" s="11">
        <f t="shared" si="38"/>
        <v>167.34693877551021</v>
      </c>
      <c r="J1278" s="3" t="str">
        <f t="shared" si="39"/>
        <v>Low</v>
      </c>
    </row>
    <row r="1279" spans="1:10">
      <c r="A1279" s="7" t="s">
        <v>1337</v>
      </c>
      <c r="B1279" s="7" t="s">
        <v>131</v>
      </c>
      <c r="C1279" s="7" t="s">
        <v>12</v>
      </c>
      <c r="D1279" s="22">
        <v>410000</v>
      </c>
      <c r="E1279" s="7">
        <v>392</v>
      </c>
      <c r="F1279" s="7">
        <v>3</v>
      </c>
      <c r="G1279" s="7">
        <v>1.1000000000000001</v>
      </c>
      <c r="H1279" s="7">
        <v>1391</v>
      </c>
      <c r="I1279" s="9">
        <f t="shared" si="38"/>
        <v>294.75197699496766</v>
      </c>
      <c r="J1279" s="3" t="str">
        <f t="shared" si="39"/>
        <v>Medium</v>
      </c>
    </row>
    <row r="1280" spans="1:10">
      <c r="A1280" s="4" t="s">
        <v>1338</v>
      </c>
      <c r="B1280" s="4" t="s">
        <v>131</v>
      </c>
      <c r="C1280" s="4" t="s">
        <v>12</v>
      </c>
      <c r="D1280" s="21">
        <v>410000</v>
      </c>
      <c r="E1280" s="4">
        <v>28</v>
      </c>
      <c r="F1280" s="4">
        <v>4</v>
      </c>
      <c r="G1280" s="4">
        <v>2</v>
      </c>
      <c r="H1280" s="10">
        <v>1319</v>
      </c>
      <c r="I1280" s="11">
        <f t="shared" si="38"/>
        <v>310.841546626232</v>
      </c>
      <c r="J1280" s="3" t="str">
        <f t="shared" si="39"/>
        <v>High</v>
      </c>
    </row>
    <row r="1281" spans="1:10">
      <c r="A1281" s="7" t="s">
        <v>1339</v>
      </c>
      <c r="B1281" s="7" t="s">
        <v>817</v>
      </c>
      <c r="C1281" s="7" t="s">
        <v>12</v>
      </c>
      <c r="D1281" s="22">
        <v>410000</v>
      </c>
      <c r="E1281" s="7">
        <v>12</v>
      </c>
      <c r="F1281" s="7">
        <v>3</v>
      </c>
      <c r="G1281" s="7">
        <v>2</v>
      </c>
      <c r="H1281" s="12">
        <v>1530</v>
      </c>
      <c r="I1281" s="9">
        <f t="shared" si="38"/>
        <v>267.97385620915031</v>
      </c>
      <c r="J1281" s="3" t="str">
        <f t="shared" si="39"/>
        <v>Medium</v>
      </c>
    </row>
    <row r="1282" spans="1:10">
      <c r="A1282" s="4" t="s">
        <v>1340</v>
      </c>
      <c r="B1282" s="4" t="s">
        <v>117</v>
      </c>
      <c r="C1282" s="4" t="s">
        <v>12</v>
      </c>
      <c r="D1282" s="21">
        <v>410000</v>
      </c>
      <c r="E1282" s="4">
        <v>76</v>
      </c>
      <c r="F1282" s="4">
        <v>5</v>
      </c>
      <c r="G1282" s="4">
        <v>3.1</v>
      </c>
      <c r="H1282" s="10">
        <v>1942</v>
      </c>
      <c r="I1282" s="11">
        <f t="shared" ref="I1282:I1345" si="40">D1282/H1282</f>
        <v>211.12255406797115</v>
      </c>
      <c r="J1282" s="3" t="str">
        <f t="shared" ref="J1282:J1345" si="41">IF(I1282 &gt; 300, "High", IF(AND(I1282 &lt;= 300, I1282 &gt; 200), "Medium", "Low"))</f>
        <v>Medium</v>
      </c>
    </row>
    <row r="1283" spans="1:10">
      <c r="A1283" s="7" t="s">
        <v>1341</v>
      </c>
      <c r="B1283" s="7" t="s">
        <v>29</v>
      </c>
      <c r="C1283" s="7" t="s">
        <v>12</v>
      </c>
      <c r="D1283" s="22">
        <v>411000</v>
      </c>
      <c r="E1283" s="7">
        <v>6</v>
      </c>
      <c r="F1283" s="7">
        <v>3</v>
      </c>
      <c r="G1283" s="7">
        <v>1.1000000000000001</v>
      </c>
      <c r="H1283" s="12">
        <v>1331</v>
      </c>
      <c r="I1283" s="9">
        <f t="shared" si="40"/>
        <v>308.79038317054847</v>
      </c>
      <c r="J1283" s="3" t="str">
        <f t="shared" si="41"/>
        <v>High</v>
      </c>
    </row>
    <row r="1284" spans="1:10">
      <c r="A1284" s="4" t="s">
        <v>1342</v>
      </c>
      <c r="B1284" s="4" t="s">
        <v>131</v>
      </c>
      <c r="C1284" s="4" t="s">
        <v>12</v>
      </c>
      <c r="D1284" s="21">
        <v>411841</v>
      </c>
      <c r="E1284" s="4">
        <v>22</v>
      </c>
      <c r="F1284" s="4">
        <v>3</v>
      </c>
      <c r="G1284" s="4">
        <v>2.1</v>
      </c>
      <c r="H1284" s="10">
        <v>1856</v>
      </c>
      <c r="I1284" s="11">
        <f t="shared" si="40"/>
        <v>221.89709051724137</v>
      </c>
      <c r="J1284" s="3" t="str">
        <f t="shared" si="41"/>
        <v>Medium</v>
      </c>
    </row>
    <row r="1285" spans="1:10">
      <c r="A1285" s="7" t="s">
        <v>1343</v>
      </c>
      <c r="B1285" s="7" t="s">
        <v>1344</v>
      </c>
      <c r="C1285" s="7" t="s">
        <v>12</v>
      </c>
      <c r="D1285" s="22">
        <v>412000</v>
      </c>
      <c r="E1285" s="7">
        <v>100</v>
      </c>
      <c r="F1285" s="7">
        <v>3</v>
      </c>
      <c r="G1285" s="7">
        <v>2</v>
      </c>
      <c r="H1285" s="12">
        <v>1456</v>
      </c>
      <c r="I1285" s="9">
        <f t="shared" si="40"/>
        <v>282.96703296703299</v>
      </c>
      <c r="J1285" s="3" t="str">
        <f t="shared" si="41"/>
        <v>Medium</v>
      </c>
    </row>
    <row r="1286" spans="1:10">
      <c r="A1286" s="4" t="s">
        <v>1345</v>
      </c>
      <c r="B1286" s="4" t="s">
        <v>544</v>
      </c>
      <c r="C1286" s="4" t="s">
        <v>12</v>
      </c>
      <c r="D1286" s="21">
        <v>412500</v>
      </c>
      <c r="E1286" s="4">
        <v>68</v>
      </c>
      <c r="F1286" s="4">
        <v>3</v>
      </c>
      <c r="G1286" s="4">
        <v>2</v>
      </c>
      <c r="H1286" s="10">
        <v>2365</v>
      </c>
      <c r="I1286" s="11">
        <f t="shared" si="40"/>
        <v>174.41860465116278</v>
      </c>
      <c r="J1286" s="3" t="str">
        <f t="shared" si="41"/>
        <v>Low</v>
      </c>
    </row>
    <row r="1287" spans="1:10">
      <c r="A1287" s="7" t="s">
        <v>1346</v>
      </c>
      <c r="B1287" s="7" t="s">
        <v>331</v>
      </c>
      <c r="C1287" s="7" t="s">
        <v>12</v>
      </c>
      <c r="D1287" s="22">
        <v>412500</v>
      </c>
      <c r="E1287" s="7">
        <v>236</v>
      </c>
      <c r="F1287" s="7">
        <v>4</v>
      </c>
      <c r="G1287" s="7">
        <v>2.1</v>
      </c>
      <c r="H1287" s="12">
        <v>2536</v>
      </c>
      <c r="I1287" s="9">
        <f t="shared" si="40"/>
        <v>162.6577287066246</v>
      </c>
      <c r="J1287" s="3" t="str">
        <f t="shared" si="41"/>
        <v>Low</v>
      </c>
    </row>
    <row r="1288" spans="1:10">
      <c r="A1288" s="4" t="s">
        <v>1347</v>
      </c>
      <c r="B1288" s="4" t="s">
        <v>268</v>
      </c>
      <c r="C1288" s="4" t="s">
        <v>12</v>
      </c>
      <c r="D1288" s="21">
        <v>415000</v>
      </c>
      <c r="E1288" s="4">
        <v>5</v>
      </c>
      <c r="F1288" s="4">
        <v>4</v>
      </c>
      <c r="G1288" s="4">
        <v>2.1</v>
      </c>
      <c r="H1288" s="10">
        <v>2334</v>
      </c>
      <c r="I1288" s="11">
        <f t="shared" si="40"/>
        <v>177.80634104541559</v>
      </c>
      <c r="J1288" s="3" t="str">
        <f t="shared" si="41"/>
        <v>Low</v>
      </c>
    </row>
    <row r="1289" spans="1:10">
      <c r="A1289" s="7" t="s">
        <v>1348</v>
      </c>
      <c r="B1289" s="7" t="s">
        <v>318</v>
      </c>
      <c r="C1289" s="7" t="s">
        <v>12</v>
      </c>
      <c r="D1289" s="22">
        <v>415000</v>
      </c>
      <c r="E1289" s="7">
        <v>8</v>
      </c>
      <c r="F1289" s="7">
        <v>4</v>
      </c>
      <c r="G1289" s="7">
        <v>2.1</v>
      </c>
      <c r="H1289" s="12">
        <v>2700</v>
      </c>
      <c r="I1289" s="9">
        <f t="shared" si="40"/>
        <v>153.7037037037037</v>
      </c>
      <c r="J1289" s="3" t="str">
        <f t="shared" si="41"/>
        <v>Low</v>
      </c>
    </row>
    <row r="1290" spans="1:10">
      <c r="A1290" s="4" t="s">
        <v>1349</v>
      </c>
      <c r="B1290" s="4" t="s">
        <v>29</v>
      </c>
      <c r="C1290" s="4" t="s">
        <v>12</v>
      </c>
      <c r="D1290" s="21">
        <v>415000</v>
      </c>
      <c r="E1290" s="4">
        <v>40</v>
      </c>
      <c r="F1290" s="4">
        <v>3</v>
      </c>
      <c r="G1290" s="4">
        <v>2</v>
      </c>
      <c r="H1290" s="10">
        <v>1560</v>
      </c>
      <c r="I1290" s="11">
        <f t="shared" si="40"/>
        <v>266.02564102564105</v>
      </c>
      <c r="J1290" s="3" t="str">
        <f t="shared" si="41"/>
        <v>Medium</v>
      </c>
    </row>
    <row r="1291" spans="1:10">
      <c r="A1291" s="7" t="s">
        <v>1350</v>
      </c>
      <c r="B1291" s="7" t="s">
        <v>18</v>
      </c>
      <c r="C1291" s="7" t="s">
        <v>12</v>
      </c>
      <c r="D1291" s="22">
        <v>415000</v>
      </c>
      <c r="E1291" s="7">
        <v>15</v>
      </c>
      <c r="F1291" s="7">
        <v>3</v>
      </c>
      <c r="G1291" s="7">
        <v>3</v>
      </c>
      <c r="H1291" s="12">
        <v>2039</v>
      </c>
      <c r="I1291" s="9">
        <f t="shared" si="40"/>
        <v>203.53114271701816</v>
      </c>
      <c r="J1291" s="3" t="str">
        <f t="shared" si="41"/>
        <v>Medium</v>
      </c>
    </row>
    <row r="1292" spans="1:10">
      <c r="A1292" s="4" t="s">
        <v>1351</v>
      </c>
      <c r="B1292" s="4" t="s">
        <v>960</v>
      </c>
      <c r="C1292" s="4" t="s">
        <v>12</v>
      </c>
      <c r="D1292" s="21">
        <v>415000</v>
      </c>
      <c r="E1292" s="4">
        <v>3</v>
      </c>
      <c r="F1292" s="4">
        <v>4</v>
      </c>
      <c r="G1292" s="4">
        <v>2.1</v>
      </c>
      <c r="H1292" s="10">
        <v>2729</v>
      </c>
      <c r="I1292" s="11">
        <f t="shared" si="40"/>
        <v>152.07035544155369</v>
      </c>
      <c r="J1292" s="3" t="str">
        <f t="shared" si="41"/>
        <v>Low</v>
      </c>
    </row>
    <row r="1293" spans="1:10">
      <c r="A1293" s="7" t="s">
        <v>1352</v>
      </c>
      <c r="B1293" s="7" t="s">
        <v>728</v>
      </c>
      <c r="C1293" s="7" t="s">
        <v>12</v>
      </c>
      <c r="D1293" s="22">
        <v>415000</v>
      </c>
      <c r="E1293" s="7">
        <v>2</v>
      </c>
      <c r="F1293" s="7">
        <v>4</v>
      </c>
      <c r="G1293" s="7">
        <v>2.1</v>
      </c>
      <c r="H1293" s="12">
        <v>2014</v>
      </c>
      <c r="I1293" s="9">
        <f t="shared" si="40"/>
        <v>206.05759682224428</v>
      </c>
      <c r="J1293" s="3" t="str">
        <f t="shared" si="41"/>
        <v>Medium</v>
      </c>
    </row>
    <row r="1294" spans="1:10">
      <c r="A1294" s="4" t="s">
        <v>1353</v>
      </c>
      <c r="B1294" s="4" t="s">
        <v>679</v>
      </c>
      <c r="C1294" s="4" t="s">
        <v>12</v>
      </c>
      <c r="D1294" s="21">
        <v>415000</v>
      </c>
      <c r="E1294" s="4">
        <v>61</v>
      </c>
      <c r="F1294" s="4">
        <v>4</v>
      </c>
      <c r="G1294" s="4">
        <v>1</v>
      </c>
      <c r="H1294" s="4">
        <v>955</v>
      </c>
      <c r="I1294" s="11">
        <f t="shared" si="40"/>
        <v>434.55497382198951</v>
      </c>
      <c r="J1294" s="3" t="str">
        <f t="shared" si="41"/>
        <v>High</v>
      </c>
    </row>
    <row r="1295" spans="1:10">
      <c r="A1295" s="7" t="s">
        <v>1354</v>
      </c>
      <c r="B1295" s="7" t="s">
        <v>77</v>
      </c>
      <c r="C1295" s="7" t="s">
        <v>12</v>
      </c>
      <c r="D1295" s="22">
        <v>415000</v>
      </c>
      <c r="E1295" s="7">
        <v>23</v>
      </c>
      <c r="F1295" s="7">
        <v>5</v>
      </c>
      <c r="G1295" s="7">
        <v>2.1</v>
      </c>
      <c r="H1295" s="12">
        <v>2545</v>
      </c>
      <c r="I1295" s="9">
        <f t="shared" si="40"/>
        <v>163.06483300589392</v>
      </c>
      <c r="J1295" s="3" t="str">
        <f t="shared" si="41"/>
        <v>Low</v>
      </c>
    </row>
    <row r="1296" spans="1:10">
      <c r="A1296" s="4" t="s">
        <v>1355</v>
      </c>
      <c r="B1296" s="4" t="s">
        <v>268</v>
      </c>
      <c r="C1296" s="4" t="s">
        <v>12</v>
      </c>
      <c r="D1296" s="21">
        <v>415000</v>
      </c>
      <c r="E1296" s="4">
        <v>20</v>
      </c>
      <c r="F1296" s="4">
        <v>4</v>
      </c>
      <c r="G1296" s="4">
        <v>3.1</v>
      </c>
      <c r="H1296" s="10">
        <v>2313</v>
      </c>
      <c r="I1296" s="11">
        <f t="shared" si="40"/>
        <v>179.42066580198875</v>
      </c>
      <c r="J1296" s="3" t="str">
        <f t="shared" si="41"/>
        <v>Low</v>
      </c>
    </row>
    <row r="1297" spans="1:10">
      <c r="A1297" s="7" t="s">
        <v>1356</v>
      </c>
      <c r="B1297" s="7" t="s">
        <v>80</v>
      </c>
      <c r="C1297" s="7" t="s">
        <v>12</v>
      </c>
      <c r="D1297" s="22">
        <v>415581</v>
      </c>
      <c r="E1297" s="7">
        <v>6</v>
      </c>
      <c r="F1297" s="7">
        <v>3</v>
      </c>
      <c r="G1297" s="7">
        <v>3</v>
      </c>
      <c r="H1297" s="12">
        <v>1456</v>
      </c>
      <c r="I1297" s="9">
        <f t="shared" si="40"/>
        <v>285.42651098901098</v>
      </c>
      <c r="J1297" s="3" t="str">
        <f t="shared" si="41"/>
        <v>Medium</v>
      </c>
    </row>
    <row r="1298" spans="1:10">
      <c r="A1298" s="4" t="s">
        <v>1357</v>
      </c>
      <c r="B1298" s="4" t="s">
        <v>282</v>
      </c>
      <c r="C1298" s="4" t="s">
        <v>12</v>
      </c>
      <c r="D1298" s="21">
        <v>416000</v>
      </c>
      <c r="E1298" s="4">
        <v>4</v>
      </c>
      <c r="F1298" s="4">
        <v>3</v>
      </c>
      <c r="G1298" s="4">
        <v>3</v>
      </c>
      <c r="H1298" s="10">
        <v>1128</v>
      </c>
      <c r="I1298" s="11">
        <f t="shared" si="40"/>
        <v>368.79432624113474</v>
      </c>
      <c r="J1298" s="3" t="str">
        <f t="shared" si="41"/>
        <v>High</v>
      </c>
    </row>
    <row r="1299" spans="1:10">
      <c r="A1299" s="7" t="s">
        <v>1358</v>
      </c>
      <c r="B1299" s="7" t="s">
        <v>282</v>
      </c>
      <c r="C1299" s="7" t="s">
        <v>12</v>
      </c>
      <c r="D1299" s="22">
        <v>416000</v>
      </c>
      <c r="E1299" s="7">
        <v>5</v>
      </c>
      <c r="F1299" s="7">
        <v>3</v>
      </c>
      <c r="G1299" s="7">
        <v>2</v>
      </c>
      <c r="H1299" s="12">
        <v>1422</v>
      </c>
      <c r="I1299" s="9">
        <f t="shared" si="40"/>
        <v>292.54571026722925</v>
      </c>
      <c r="J1299" s="3" t="str">
        <f t="shared" si="41"/>
        <v>Medium</v>
      </c>
    </row>
    <row r="1300" spans="1:10">
      <c r="A1300" s="4" t="s">
        <v>1359</v>
      </c>
      <c r="B1300" s="4" t="s">
        <v>18</v>
      </c>
      <c r="C1300" s="4" t="s">
        <v>12</v>
      </c>
      <c r="D1300" s="21">
        <v>416000</v>
      </c>
      <c r="E1300" s="4">
        <v>8</v>
      </c>
      <c r="F1300" s="4">
        <v>3</v>
      </c>
      <c r="G1300" s="4">
        <v>3</v>
      </c>
      <c r="H1300" s="10">
        <v>1572</v>
      </c>
      <c r="I1300" s="11">
        <f t="shared" si="40"/>
        <v>264.63104325699743</v>
      </c>
      <c r="J1300" s="3" t="str">
        <f t="shared" si="41"/>
        <v>Medium</v>
      </c>
    </row>
    <row r="1301" spans="1:10">
      <c r="A1301" s="7" t="s">
        <v>1360</v>
      </c>
      <c r="B1301" s="7" t="s">
        <v>18</v>
      </c>
      <c r="C1301" s="7" t="s">
        <v>12</v>
      </c>
      <c r="D1301" s="22">
        <v>417000</v>
      </c>
      <c r="E1301" s="7">
        <v>36</v>
      </c>
      <c r="F1301" s="7">
        <v>3</v>
      </c>
      <c r="G1301" s="7">
        <v>3.1</v>
      </c>
      <c r="H1301" s="12">
        <v>1747</v>
      </c>
      <c r="I1301" s="9">
        <f t="shared" si="40"/>
        <v>238.6949055523755</v>
      </c>
      <c r="J1301" s="3" t="str">
        <f t="shared" si="41"/>
        <v>Medium</v>
      </c>
    </row>
    <row r="1302" spans="1:10">
      <c r="A1302" s="4" t="s">
        <v>1361</v>
      </c>
      <c r="B1302" s="4" t="s">
        <v>679</v>
      </c>
      <c r="C1302" s="4" t="s">
        <v>12</v>
      </c>
      <c r="D1302" s="21">
        <v>417500</v>
      </c>
      <c r="E1302" s="4">
        <v>8</v>
      </c>
      <c r="F1302" s="4">
        <v>3</v>
      </c>
      <c r="G1302" s="4">
        <v>2</v>
      </c>
      <c r="H1302" s="4">
        <v>950</v>
      </c>
      <c r="I1302" s="11">
        <f t="shared" si="40"/>
        <v>439.4736842105263</v>
      </c>
      <c r="J1302" s="3" t="str">
        <f t="shared" si="41"/>
        <v>High</v>
      </c>
    </row>
    <row r="1303" spans="1:10">
      <c r="A1303" s="7" t="s">
        <v>1362</v>
      </c>
      <c r="B1303" s="7" t="s">
        <v>823</v>
      </c>
      <c r="C1303" s="7" t="s">
        <v>12</v>
      </c>
      <c r="D1303" s="22">
        <v>419000</v>
      </c>
      <c r="E1303" s="7">
        <v>350</v>
      </c>
      <c r="F1303" s="7">
        <v>5</v>
      </c>
      <c r="G1303" s="7">
        <v>3</v>
      </c>
      <c r="H1303" s="12">
        <v>2209</v>
      </c>
      <c r="I1303" s="9">
        <f t="shared" si="40"/>
        <v>189.67858759619736</v>
      </c>
      <c r="J1303" s="3" t="str">
        <f t="shared" si="41"/>
        <v>Low</v>
      </c>
    </row>
    <row r="1304" spans="1:10">
      <c r="A1304" s="4" t="s">
        <v>1363</v>
      </c>
      <c r="B1304" s="4" t="s">
        <v>155</v>
      </c>
      <c r="C1304" s="4" t="s">
        <v>12</v>
      </c>
      <c r="D1304" s="21">
        <v>419000</v>
      </c>
      <c r="E1304" s="4">
        <v>263</v>
      </c>
      <c r="F1304" s="4">
        <v>5</v>
      </c>
      <c r="G1304" s="4">
        <v>3</v>
      </c>
      <c r="H1304" s="10">
        <v>2526</v>
      </c>
      <c r="I1304" s="11">
        <f t="shared" si="40"/>
        <v>165.87490102929533</v>
      </c>
      <c r="J1304" s="3" t="str">
        <f t="shared" si="41"/>
        <v>Low</v>
      </c>
    </row>
    <row r="1305" spans="1:10">
      <c r="A1305" s="7" t="s">
        <v>1364</v>
      </c>
      <c r="B1305" s="7" t="s">
        <v>331</v>
      </c>
      <c r="C1305" s="7" t="s">
        <v>12</v>
      </c>
      <c r="D1305" s="22">
        <v>419900</v>
      </c>
      <c r="E1305" s="7">
        <v>145</v>
      </c>
      <c r="F1305" s="7">
        <v>3</v>
      </c>
      <c r="G1305" s="7">
        <v>2.1</v>
      </c>
      <c r="H1305" s="12">
        <v>1829</v>
      </c>
      <c r="I1305" s="9">
        <f t="shared" si="40"/>
        <v>229.5790049207217</v>
      </c>
      <c r="J1305" s="3" t="str">
        <f t="shared" si="41"/>
        <v>Medium</v>
      </c>
    </row>
    <row r="1306" spans="1:10">
      <c r="A1306" s="4" t="s">
        <v>1365</v>
      </c>
      <c r="B1306" s="4" t="s">
        <v>1366</v>
      </c>
      <c r="C1306" s="4" t="s">
        <v>12</v>
      </c>
      <c r="D1306" s="21">
        <v>420000</v>
      </c>
      <c r="E1306" s="4">
        <v>0</v>
      </c>
      <c r="F1306" s="4">
        <v>4</v>
      </c>
      <c r="G1306" s="4">
        <v>2.1</v>
      </c>
      <c r="H1306" s="10">
        <v>2312</v>
      </c>
      <c r="I1306" s="11">
        <f t="shared" si="40"/>
        <v>181.66089965397924</v>
      </c>
      <c r="J1306" s="3" t="str">
        <f t="shared" si="41"/>
        <v>Low</v>
      </c>
    </row>
    <row r="1307" spans="1:10">
      <c r="A1307" s="7" t="s">
        <v>1367</v>
      </c>
      <c r="B1307" s="7" t="s">
        <v>268</v>
      </c>
      <c r="C1307" s="7" t="s">
        <v>12</v>
      </c>
      <c r="D1307" s="22">
        <v>420000</v>
      </c>
      <c r="E1307" s="7">
        <v>21</v>
      </c>
      <c r="F1307" s="7">
        <v>4</v>
      </c>
      <c r="G1307" s="7">
        <v>2.1</v>
      </c>
      <c r="H1307" s="12">
        <v>2350</v>
      </c>
      <c r="I1307" s="9">
        <f t="shared" si="40"/>
        <v>178.72340425531914</v>
      </c>
      <c r="J1307" s="3" t="str">
        <f t="shared" si="41"/>
        <v>Low</v>
      </c>
    </row>
    <row r="1308" spans="1:10">
      <c r="A1308" s="4" t="s">
        <v>1368</v>
      </c>
      <c r="B1308" s="4" t="s">
        <v>212</v>
      </c>
      <c r="C1308" s="4" t="s">
        <v>12</v>
      </c>
      <c r="D1308" s="21">
        <v>420000</v>
      </c>
      <c r="E1308" s="4">
        <v>3</v>
      </c>
      <c r="F1308" s="4">
        <v>4</v>
      </c>
      <c r="G1308" s="4">
        <v>2.1</v>
      </c>
      <c r="H1308" s="10">
        <v>2105</v>
      </c>
      <c r="I1308" s="11">
        <f t="shared" si="40"/>
        <v>199.52494061757719</v>
      </c>
      <c r="J1308" s="3" t="str">
        <f t="shared" si="41"/>
        <v>Low</v>
      </c>
    </row>
    <row r="1309" spans="1:10">
      <c r="A1309" s="7" t="s">
        <v>1369</v>
      </c>
      <c r="B1309" s="7" t="s">
        <v>73</v>
      </c>
      <c r="C1309" s="7" t="s">
        <v>12</v>
      </c>
      <c r="D1309" s="22">
        <v>420000</v>
      </c>
      <c r="E1309" s="7">
        <v>6</v>
      </c>
      <c r="F1309" s="7">
        <v>4</v>
      </c>
      <c r="G1309" s="7">
        <v>2.1</v>
      </c>
      <c r="H1309" s="12">
        <v>2322</v>
      </c>
      <c r="I1309" s="9">
        <f t="shared" si="40"/>
        <v>180.87855297157623</v>
      </c>
      <c r="J1309" s="3" t="str">
        <f t="shared" si="41"/>
        <v>Low</v>
      </c>
    </row>
    <row r="1310" spans="1:10">
      <c r="A1310" s="4" t="s">
        <v>1370</v>
      </c>
      <c r="B1310" s="4" t="s">
        <v>18</v>
      </c>
      <c r="C1310" s="4" t="s">
        <v>12</v>
      </c>
      <c r="D1310" s="21">
        <v>420000</v>
      </c>
      <c r="E1310" s="4">
        <v>16</v>
      </c>
      <c r="F1310" s="4">
        <v>3</v>
      </c>
      <c r="G1310" s="4">
        <v>2.1</v>
      </c>
      <c r="H1310" s="10">
        <v>1276</v>
      </c>
      <c r="I1310" s="11">
        <f t="shared" si="40"/>
        <v>329.15360501567397</v>
      </c>
      <c r="J1310" s="3" t="str">
        <f t="shared" si="41"/>
        <v>High</v>
      </c>
    </row>
    <row r="1311" spans="1:10">
      <c r="A1311" s="7" t="s">
        <v>1371</v>
      </c>
      <c r="B1311" s="7" t="s">
        <v>268</v>
      </c>
      <c r="C1311" s="7" t="s">
        <v>12</v>
      </c>
      <c r="D1311" s="22">
        <v>420000</v>
      </c>
      <c r="E1311" s="7">
        <v>131</v>
      </c>
      <c r="F1311" s="7">
        <v>4</v>
      </c>
      <c r="G1311" s="7">
        <v>2.1</v>
      </c>
      <c r="H1311" s="12">
        <v>2681</v>
      </c>
      <c r="I1311" s="9">
        <f t="shared" si="40"/>
        <v>156.65796344647521</v>
      </c>
      <c r="J1311" s="3" t="str">
        <f t="shared" si="41"/>
        <v>Low</v>
      </c>
    </row>
    <row r="1312" spans="1:10">
      <c r="A1312" s="4" t="s">
        <v>1372</v>
      </c>
      <c r="B1312" s="4" t="s">
        <v>70</v>
      </c>
      <c r="C1312" s="4" t="s">
        <v>12</v>
      </c>
      <c r="D1312" s="21">
        <v>421000</v>
      </c>
      <c r="E1312" s="4">
        <v>25</v>
      </c>
      <c r="F1312" s="4">
        <v>4</v>
      </c>
      <c r="G1312" s="4">
        <v>3.1</v>
      </c>
      <c r="H1312" s="10">
        <v>2832</v>
      </c>
      <c r="I1312" s="11">
        <f t="shared" si="40"/>
        <v>148.65819209039549</v>
      </c>
      <c r="J1312" s="3" t="str">
        <f t="shared" si="41"/>
        <v>Low</v>
      </c>
    </row>
    <row r="1313" spans="1:10">
      <c r="A1313" s="7" t="s">
        <v>1373</v>
      </c>
      <c r="B1313" s="7" t="s">
        <v>878</v>
      </c>
      <c r="C1313" s="7" t="s">
        <v>12</v>
      </c>
      <c r="D1313" s="22">
        <v>422290</v>
      </c>
      <c r="E1313" s="7">
        <v>0</v>
      </c>
      <c r="F1313" s="7">
        <v>3</v>
      </c>
      <c r="G1313" s="7">
        <v>2</v>
      </c>
      <c r="H1313" s="12">
        <v>1603</v>
      </c>
      <c r="I1313" s="9">
        <f t="shared" si="40"/>
        <v>263.43730505302557</v>
      </c>
      <c r="J1313" s="3" t="str">
        <f t="shared" si="41"/>
        <v>Medium</v>
      </c>
    </row>
    <row r="1314" spans="1:10">
      <c r="A1314" s="4" t="s">
        <v>1374</v>
      </c>
      <c r="B1314" s="4" t="s">
        <v>1305</v>
      </c>
      <c r="C1314" s="4" t="s">
        <v>12</v>
      </c>
      <c r="D1314" s="21">
        <v>425000</v>
      </c>
      <c r="E1314" s="4">
        <v>3</v>
      </c>
      <c r="F1314" s="4">
        <v>4</v>
      </c>
      <c r="G1314" s="4">
        <v>3</v>
      </c>
      <c r="H1314" s="10">
        <v>2682</v>
      </c>
      <c r="I1314" s="11">
        <f t="shared" si="40"/>
        <v>158.46383296047725</v>
      </c>
      <c r="J1314" s="3" t="str">
        <f t="shared" si="41"/>
        <v>Low</v>
      </c>
    </row>
    <row r="1315" spans="1:10">
      <c r="A1315" s="7" t="s">
        <v>1375</v>
      </c>
      <c r="B1315" s="7" t="s">
        <v>131</v>
      </c>
      <c r="C1315" s="7" t="s">
        <v>12</v>
      </c>
      <c r="D1315" s="22">
        <v>425000</v>
      </c>
      <c r="E1315" s="7">
        <v>2</v>
      </c>
      <c r="F1315" s="7">
        <v>4</v>
      </c>
      <c r="G1315" s="7">
        <v>2</v>
      </c>
      <c r="H1315" s="12">
        <v>1300</v>
      </c>
      <c r="I1315" s="9">
        <f t="shared" si="40"/>
        <v>326.92307692307691</v>
      </c>
      <c r="J1315" s="3" t="str">
        <f t="shared" si="41"/>
        <v>High</v>
      </c>
    </row>
    <row r="1316" spans="1:10">
      <c r="A1316" s="4" t="s">
        <v>1376</v>
      </c>
      <c r="B1316" s="4" t="s">
        <v>11</v>
      </c>
      <c r="C1316" s="4" t="s">
        <v>12</v>
      </c>
      <c r="D1316" s="21">
        <v>425000</v>
      </c>
      <c r="E1316" s="4">
        <v>5</v>
      </c>
      <c r="F1316" s="4">
        <v>4</v>
      </c>
      <c r="G1316" s="4">
        <v>2.1</v>
      </c>
      <c r="H1316" s="10">
        <v>2052</v>
      </c>
      <c r="I1316" s="11">
        <f t="shared" si="40"/>
        <v>207.1150097465887</v>
      </c>
      <c r="J1316" s="3" t="str">
        <f t="shared" si="41"/>
        <v>Medium</v>
      </c>
    </row>
    <row r="1317" spans="1:10">
      <c r="A1317" s="7" t="s">
        <v>1377</v>
      </c>
      <c r="B1317" s="7" t="s">
        <v>363</v>
      </c>
      <c r="C1317" s="7" t="s">
        <v>12</v>
      </c>
      <c r="D1317" s="22">
        <v>425000</v>
      </c>
      <c r="E1317" s="7">
        <v>4</v>
      </c>
      <c r="F1317" s="7">
        <v>3</v>
      </c>
      <c r="G1317" s="7">
        <v>2</v>
      </c>
      <c r="H1317" s="12">
        <v>1030</v>
      </c>
      <c r="I1317" s="9">
        <f t="shared" si="40"/>
        <v>412.621359223301</v>
      </c>
      <c r="J1317" s="3" t="str">
        <f t="shared" si="41"/>
        <v>High</v>
      </c>
    </row>
    <row r="1318" spans="1:10">
      <c r="A1318" s="4" t="s">
        <v>1378</v>
      </c>
      <c r="B1318" s="4" t="s">
        <v>268</v>
      </c>
      <c r="C1318" s="4" t="s">
        <v>12</v>
      </c>
      <c r="D1318" s="21">
        <v>425000</v>
      </c>
      <c r="E1318" s="4">
        <v>3</v>
      </c>
      <c r="F1318" s="4">
        <v>4</v>
      </c>
      <c r="G1318" s="4">
        <v>1.1000000000000001</v>
      </c>
      <c r="H1318" s="10">
        <v>2204</v>
      </c>
      <c r="I1318" s="11">
        <f t="shared" si="40"/>
        <v>192.83121597096189</v>
      </c>
      <c r="J1318" s="3" t="str">
        <f t="shared" si="41"/>
        <v>Low</v>
      </c>
    </row>
    <row r="1319" spans="1:10">
      <c r="A1319" s="7" t="s">
        <v>1379</v>
      </c>
      <c r="B1319" s="7" t="s">
        <v>131</v>
      </c>
      <c r="C1319" s="7" t="s">
        <v>12</v>
      </c>
      <c r="D1319" s="22">
        <v>425000</v>
      </c>
      <c r="E1319" s="7">
        <v>12</v>
      </c>
      <c r="F1319" s="7">
        <v>5</v>
      </c>
      <c r="G1319" s="7">
        <v>2</v>
      </c>
      <c r="H1319" s="12">
        <v>2110</v>
      </c>
      <c r="I1319" s="9">
        <f t="shared" si="40"/>
        <v>201.4218009478673</v>
      </c>
      <c r="J1319" s="3" t="str">
        <f t="shared" si="41"/>
        <v>Medium</v>
      </c>
    </row>
    <row r="1320" spans="1:10">
      <c r="A1320" s="4" t="s">
        <v>1380</v>
      </c>
      <c r="B1320" s="4" t="s">
        <v>131</v>
      </c>
      <c r="C1320" s="4" t="s">
        <v>12</v>
      </c>
      <c r="D1320" s="21">
        <v>425000</v>
      </c>
      <c r="E1320" s="4">
        <v>4</v>
      </c>
      <c r="F1320" s="4">
        <v>3</v>
      </c>
      <c r="G1320" s="4">
        <v>2</v>
      </c>
      <c r="H1320" s="10">
        <v>1192</v>
      </c>
      <c r="I1320" s="11">
        <f t="shared" si="40"/>
        <v>356.54362416107381</v>
      </c>
      <c r="J1320" s="3" t="str">
        <f t="shared" si="41"/>
        <v>High</v>
      </c>
    </row>
    <row r="1321" spans="1:10">
      <c r="A1321" s="7" t="s">
        <v>1381</v>
      </c>
      <c r="B1321" s="7" t="s">
        <v>679</v>
      </c>
      <c r="C1321" s="7" t="s">
        <v>12</v>
      </c>
      <c r="D1321" s="22">
        <v>425000</v>
      </c>
      <c r="E1321" s="7">
        <v>3</v>
      </c>
      <c r="F1321" s="7">
        <v>3</v>
      </c>
      <c r="G1321" s="7">
        <v>1.1000000000000001</v>
      </c>
      <c r="H1321" s="12">
        <v>1065</v>
      </c>
      <c r="I1321" s="9">
        <f t="shared" si="40"/>
        <v>399.06103286384979</v>
      </c>
      <c r="J1321" s="3" t="str">
        <f t="shared" si="41"/>
        <v>High</v>
      </c>
    </row>
    <row r="1322" spans="1:10">
      <c r="A1322" s="4" t="s">
        <v>1382</v>
      </c>
      <c r="B1322" s="4" t="s">
        <v>117</v>
      </c>
      <c r="C1322" s="4" t="s">
        <v>12</v>
      </c>
      <c r="D1322" s="21">
        <v>425000</v>
      </c>
      <c r="E1322" s="4">
        <v>22</v>
      </c>
      <c r="F1322" s="4">
        <v>3</v>
      </c>
      <c r="G1322" s="4">
        <v>2</v>
      </c>
      <c r="H1322" s="10">
        <v>2157</v>
      </c>
      <c r="I1322" s="11">
        <f t="shared" si="40"/>
        <v>197.0329160871581</v>
      </c>
      <c r="J1322" s="3" t="str">
        <f t="shared" si="41"/>
        <v>Low</v>
      </c>
    </row>
    <row r="1323" spans="1:10">
      <c r="A1323" s="7" t="s">
        <v>1383</v>
      </c>
      <c r="B1323" s="7" t="s">
        <v>823</v>
      </c>
      <c r="C1323" s="7" t="s">
        <v>12</v>
      </c>
      <c r="D1323" s="22">
        <v>425000</v>
      </c>
      <c r="E1323" s="7">
        <v>1</v>
      </c>
      <c r="F1323" s="7">
        <v>4</v>
      </c>
      <c r="G1323" s="7">
        <v>3.1</v>
      </c>
      <c r="H1323" s="12">
        <v>2174</v>
      </c>
      <c r="I1323" s="9">
        <f t="shared" si="40"/>
        <v>195.4921803127875</v>
      </c>
      <c r="J1323" s="3" t="str">
        <f t="shared" si="41"/>
        <v>Low</v>
      </c>
    </row>
    <row r="1324" spans="1:10">
      <c r="A1324" s="4" t="s">
        <v>1384</v>
      </c>
      <c r="B1324" s="4" t="s">
        <v>73</v>
      </c>
      <c r="C1324" s="4" t="s">
        <v>12</v>
      </c>
      <c r="D1324" s="21">
        <v>425000</v>
      </c>
      <c r="E1324" s="4">
        <v>6</v>
      </c>
      <c r="F1324" s="4">
        <v>4</v>
      </c>
      <c r="G1324" s="4">
        <v>2.1</v>
      </c>
      <c r="H1324" s="10">
        <v>2320</v>
      </c>
      <c r="I1324" s="11">
        <f t="shared" si="40"/>
        <v>183.18965517241378</v>
      </c>
      <c r="J1324" s="3" t="str">
        <f t="shared" si="41"/>
        <v>Low</v>
      </c>
    </row>
    <row r="1325" spans="1:10">
      <c r="A1325" s="7" t="s">
        <v>1385</v>
      </c>
      <c r="B1325" s="7" t="s">
        <v>56</v>
      </c>
      <c r="C1325" s="7" t="s">
        <v>12</v>
      </c>
      <c r="D1325" s="22">
        <v>425000</v>
      </c>
      <c r="E1325" s="7">
        <v>15</v>
      </c>
      <c r="F1325" s="7">
        <v>3</v>
      </c>
      <c r="G1325" s="7">
        <v>2.1</v>
      </c>
      <c r="H1325" s="12">
        <v>1813</v>
      </c>
      <c r="I1325" s="9">
        <f t="shared" si="40"/>
        <v>234.41809156094871</v>
      </c>
      <c r="J1325" s="3" t="str">
        <f t="shared" si="41"/>
        <v>Medium</v>
      </c>
    </row>
    <row r="1326" spans="1:10">
      <c r="A1326" s="4" t="s">
        <v>1386</v>
      </c>
      <c r="B1326" s="4" t="s">
        <v>817</v>
      </c>
      <c r="C1326" s="4" t="s">
        <v>12</v>
      </c>
      <c r="D1326" s="21">
        <v>425000</v>
      </c>
      <c r="E1326" s="4">
        <v>31</v>
      </c>
      <c r="F1326" s="4">
        <v>3</v>
      </c>
      <c r="G1326" s="4">
        <v>1.1000000000000001</v>
      </c>
      <c r="H1326" s="10">
        <v>1450</v>
      </c>
      <c r="I1326" s="11">
        <f t="shared" si="40"/>
        <v>293.10344827586209</v>
      </c>
      <c r="J1326" s="3" t="str">
        <f t="shared" si="41"/>
        <v>Medium</v>
      </c>
    </row>
    <row r="1327" spans="1:10">
      <c r="A1327" s="7" t="s">
        <v>1387</v>
      </c>
      <c r="B1327" s="7" t="s">
        <v>70</v>
      </c>
      <c r="C1327" s="7" t="s">
        <v>12</v>
      </c>
      <c r="D1327" s="22">
        <v>425000</v>
      </c>
      <c r="E1327" s="7">
        <v>24</v>
      </c>
      <c r="F1327" s="7">
        <v>4</v>
      </c>
      <c r="G1327" s="7">
        <v>2.1</v>
      </c>
      <c r="H1327" s="12">
        <v>2315</v>
      </c>
      <c r="I1327" s="9">
        <f t="shared" si="40"/>
        <v>183.58531317494601</v>
      </c>
      <c r="J1327" s="3" t="str">
        <f t="shared" si="41"/>
        <v>Low</v>
      </c>
    </row>
    <row r="1328" spans="1:10">
      <c r="A1328" s="4" t="s">
        <v>1388</v>
      </c>
      <c r="B1328" s="4" t="s">
        <v>131</v>
      </c>
      <c r="C1328" s="4" t="s">
        <v>12</v>
      </c>
      <c r="D1328" s="21">
        <v>425000</v>
      </c>
      <c r="E1328" s="4">
        <v>4</v>
      </c>
      <c r="F1328" s="4">
        <v>3</v>
      </c>
      <c r="G1328" s="4">
        <v>2</v>
      </c>
      <c r="H1328" s="10">
        <v>1195</v>
      </c>
      <c r="I1328" s="11">
        <f t="shared" si="40"/>
        <v>355.64853556485355</v>
      </c>
      <c r="J1328" s="3" t="str">
        <f t="shared" si="41"/>
        <v>High</v>
      </c>
    </row>
    <row r="1329" spans="1:10">
      <c r="A1329" s="7" t="s">
        <v>1389</v>
      </c>
      <c r="B1329" s="7" t="s">
        <v>73</v>
      </c>
      <c r="C1329" s="7" t="s">
        <v>12</v>
      </c>
      <c r="D1329" s="22">
        <v>425000</v>
      </c>
      <c r="E1329" s="7">
        <v>29</v>
      </c>
      <c r="F1329" s="7">
        <v>5</v>
      </c>
      <c r="G1329" s="7">
        <v>3.1</v>
      </c>
      <c r="H1329" s="12">
        <v>3221</v>
      </c>
      <c r="I1329" s="9">
        <f t="shared" si="40"/>
        <v>131.94660043464762</v>
      </c>
      <c r="J1329" s="3" t="str">
        <f t="shared" si="41"/>
        <v>Low</v>
      </c>
    </row>
    <row r="1330" spans="1:10">
      <c r="A1330" s="4" t="s">
        <v>1390</v>
      </c>
      <c r="B1330" s="4" t="s">
        <v>77</v>
      </c>
      <c r="C1330" s="4" t="s">
        <v>12</v>
      </c>
      <c r="D1330" s="21">
        <v>425000</v>
      </c>
      <c r="E1330" s="4">
        <v>14</v>
      </c>
      <c r="F1330" s="4">
        <v>4</v>
      </c>
      <c r="G1330" s="4">
        <v>2.1</v>
      </c>
      <c r="H1330" s="10">
        <v>2468</v>
      </c>
      <c r="I1330" s="11">
        <f t="shared" si="40"/>
        <v>172.20421393841167</v>
      </c>
      <c r="J1330" s="3" t="str">
        <f t="shared" si="41"/>
        <v>Low</v>
      </c>
    </row>
    <row r="1331" spans="1:10">
      <c r="A1331" s="7" t="s">
        <v>1391</v>
      </c>
      <c r="B1331" s="7" t="s">
        <v>25</v>
      </c>
      <c r="C1331" s="7" t="s">
        <v>12</v>
      </c>
      <c r="D1331" s="22">
        <v>425000</v>
      </c>
      <c r="E1331" s="7">
        <v>81</v>
      </c>
      <c r="F1331" s="7">
        <v>4</v>
      </c>
      <c r="G1331" s="7">
        <v>2.1</v>
      </c>
      <c r="H1331" s="12">
        <v>2799</v>
      </c>
      <c r="I1331" s="9">
        <f t="shared" si="40"/>
        <v>151.8399428367274</v>
      </c>
      <c r="J1331" s="3" t="str">
        <f t="shared" si="41"/>
        <v>Low</v>
      </c>
    </row>
    <row r="1332" spans="1:10">
      <c r="A1332" s="4" t="s">
        <v>1392</v>
      </c>
      <c r="B1332" s="4" t="s">
        <v>18</v>
      </c>
      <c r="C1332" s="4" t="s">
        <v>12</v>
      </c>
      <c r="D1332" s="21">
        <v>425000</v>
      </c>
      <c r="E1332" s="4">
        <v>30</v>
      </c>
      <c r="F1332" s="4">
        <v>4</v>
      </c>
      <c r="G1332" s="4">
        <v>2.1</v>
      </c>
      <c r="H1332" s="10">
        <v>2386</v>
      </c>
      <c r="I1332" s="11">
        <f t="shared" si="40"/>
        <v>178.12238055322715</v>
      </c>
      <c r="J1332" s="3" t="str">
        <f t="shared" si="41"/>
        <v>Low</v>
      </c>
    </row>
    <row r="1333" spans="1:10">
      <c r="A1333" s="7" t="s">
        <v>1393</v>
      </c>
      <c r="B1333" s="7" t="s">
        <v>948</v>
      </c>
      <c r="C1333" s="7" t="s">
        <v>12</v>
      </c>
      <c r="D1333" s="22">
        <v>425000</v>
      </c>
      <c r="E1333" s="7">
        <v>99</v>
      </c>
      <c r="F1333" s="7">
        <v>4</v>
      </c>
      <c r="G1333" s="7">
        <v>3.1</v>
      </c>
      <c r="H1333" s="12">
        <v>2600</v>
      </c>
      <c r="I1333" s="9">
        <f t="shared" si="40"/>
        <v>163.46153846153845</v>
      </c>
      <c r="J1333" s="3" t="str">
        <f t="shared" si="41"/>
        <v>Low</v>
      </c>
    </row>
    <row r="1334" spans="1:10">
      <c r="A1334" s="4" t="s">
        <v>1394</v>
      </c>
      <c r="B1334" s="4" t="s">
        <v>331</v>
      </c>
      <c r="C1334" s="4" t="s">
        <v>12</v>
      </c>
      <c r="D1334" s="21">
        <v>425000</v>
      </c>
      <c r="E1334" s="4">
        <v>146</v>
      </c>
      <c r="F1334" s="4">
        <v>4</v>
      </c>
      <c r="G1334" s="4">
        <v>2.1</v>
      </c>
      <c r="H1334" s="10">
        <v>2427</v>
      </c>
      <c r="I1334" s="11">
        <f t="shared" si="40"/>
        <v>175.11330861145447</v>
      </c>
      <c r="J1334" s="3" t="str">
        <f t="shared" si="41"/>
        <v>Low</v>
      </c>
    </row>
    <row r="1335" spans="1:10">
      <c r="A1335" s="7" t="s">
        <v>1395</v>
      </c>
      <c r="B1335" s="7" t="s">
        <v>131</v>
      </c>
      <c r="C1335" s="7" t="s">
        <v>12</v>
      </c>
      <c r="D1335" s="22">
        <v>425900</v>
      </c>
      <c r="E1335" s="7">
        <v>3</v>
      </c>
      <c r="F1335" s="7">
        <v>4</v>
      </c>
      <c r="G1335" s="7">
        <v>2.1</v>
      </c>
      <c r="H1335" s="12">
        <v>1838</v>
      </c>
      <c r="I1335" s="9">
        <f t="shared" si="40"/>
        <v>231.71926006528835</v>
      </c>
      <c r="J1335" s="3" t="str">
        <f t="shared" si="41"/>
        <v>Medium</v>
      </c>
    </row>
    <row r="1336" spans="1:10">
      <c r="A1336" s="4" t="s">
        <v>1396</v>
      </c>
      <c r="B1336" s="4" t="s">
        <v>960</v>
      </c>
      <c r="C1336" s="4" t="s">
        <v>12</v>
      </c>
      <c r="D1336" s="21">
        <v>428000</v>
      </c>
      <c r="E1336" s="4">
        <v>39</v>
      </c>
      <c r="F1336" s="4">
        <v>3</v>
      </c>
      <c r="G1336" s="4">
        <v>2.1</v>
      </c>
      <c r="H1336" s="10">
        <v>1489</v>
      </c>
      <c r="I1336" s="11">
        <f t="shared" si="40"/>
        <v>287.44123572867699</v>
      </c>
      <c r="J1336" s="3" t="str">
        <f t="shared" si="41"/>
        <v>Medium</v>
      </c>
    </row>
    <row r="1337" spans="1:10">
      <c r="A1337" s="7" t="s">
        <v>1397</v>
      </c>
      <c r="B1337" s="7" t="s">
        <v>823</v>
      </c>
      <c r="C1337" s="7" t="s">
        <v>12</v>
      </c>
      <c r="D1337" s="22">
        <v>429900</v>
      </c>
      <c r="E1337" s="7">
        <v>104</v>
      </c>
      <c r="F1337" s="7">
        <v>4</v>
      </c>
      <c r="G1337" s="7">
        <v>1.1000000000000001</v>
      </c>
      <c r="H1337" s="12">
        <v>1984</v>
      </c>
      <c r="I1337" s="9">
        <f t="shared" si="40"/>
        <v>216.68346774193549</v>
      </c>
      <c r="J1337" s="3" t="str">
        <f t="shared" si="41"/>
        <v>Medium</v>
      </c>
    </row>
    <row r="1338" spans="1:10">
      <c r="A1338" s="4" t="s">
        <v>1398</v>
      </c>
      <c r="B1338" s="4" t="s">
        <v>381</v>
      </c>
      <c r="C1338" s="4" t="s">
        <v>12</v>
      </c>
      <c r="D1338" s="21">
        <v>429900</v>
      </c>
      <c r="E1338" s="4">
        <v>41</v>
      </c>
      <c r="F1338" s="4">
        <v>4</v>
      </c>
      <c r="G1338" s="4">
        <v>2.1</v>
      </c>
      <c r="H1338" s="10">
        <v>2077</v>
      </c>
      <c r="I1338" s="11">
        <f t="shared" si="40"/>
        <v>206.98122291766973</v>
      </c>
      <c r="J1338" s="3" t="str">
        <f t="shared" si="41"/>
        <v>Medium</v>
      </c>
    </row>
    <row r="1339" spans="1:10">
      <c r="A1339" s="7" t="s">
        <v>1399</v>
      </c>
      <c r="B1339" s="7" t="s">
        <v>18</v>
      </c>
      <c r="C1339" s="7" t="s">
        <v>12</v>
      </c>
      <c r="D1339" s="22">
        <v>430000</v>
      </c>
      <c r="E1339" s="7">
        <v>0</v>
      </c>
      <c r="F1339" s="7">
        <v>3</v>
      </c>
      <c r="G1339" s="7">
        <v>2.1</v>
      </c>
      <c r="H1339" s="12">
        <v>1711</v>
      </c>
      <c r="I1339" s="9">
        <f t="shared" si="40"/>
        <v>251.31502045587376</v>
      </c>
      <c r="J1339" s="3" t="str">
        <f t="shared" si="41"/>
        <v>Medium</v>
      </c>
    </row>
    <row r="1340" spans="1:10">
      <c r="A1340" s="4" t="s">
        <v>1400</v>
      </c>
      <c r="B1340" s="4" t="s">
        <v>29</v>
      </c>
      <c r="C1340" s="4" t="s">
        <v>12</v>
      </c>
      <c r="D1340" s="21">
        <v>430000</v>
      </c>
      <c r="E1340" s="4">
        <v>7</v>
      </c>
      <c r="F1340" s="4">
        <v>3</v>
      </c>
      <c r="G1340" s="4">
        <v>2</v>
      </c>
      <c r="H1340" s="10">
        <v>1582</v>
      </c>
      <c r="I1340" s="11">
        <f t="shared" si="40"/>
        <v>271.80783817951959</v>
      </c>
      <c r="J1340" s="3" t="str">
        <f t="shared" si="41"/>
        <v>Medium</v>
      </c>
    </row>
    <row r="1341" spans="1:10">
      <c r="A1341" s="7" t="s">
        <v>1401</v>
      </c>
      <c r="B1341" s="7" t="s">
        <v>155</v>
      </c>
      <c r="C1341" s="7" t="s">
        <v>12</v>
      </c>
      <c r="D1341" s="22">
        <v>430000</v>
      </c>
      <c r="E1341" s="7">
        <v>9</v>
      </c>
      <c r="F1341" s="7">
        <v>3</v>
      </c>
      <c r="G1341" s="7">
        <v>2</v>
      </c>
      <c r="H1341" s="12">
        <v>1613</v>
      </c>
      <c r="I1341" s="9">
        <f t="shared" si="40"/>
        <v>266.58400495970244</v>
      </c>
      <c r="J1341" s="3" t="str">
        <f t="shared" si="41"/>
        <v>Medium</v>
      </c>
    </row>
    <row r="1342" spans="1:10">
      <c r="A1342" s="4" t="s">
        <v>1402</v>
      </c>
      <c r="B1342" s="4" t="s">
        <v>18</v>
      </c>
      <c r="C1342" s="4" t="s">
        <v>12</v>
      </c>
      <c r="D1342" s="21">
        <v>430000</v>
      </c>
      <c r="E1342" s="4">
        <v>10</v>
      </c>
      <c r="F1342" s="4">
        <v>3</v>
      </c>
      <c r="G1342" s="4">
        <v>2</v>
      </c>
      <c r="H1342" s="10">
        <v>2350</v>
      </c>
      <c r="I1342" s="11">
        <f t="shared" si="40"/>
        <v>182.97872340425531</v>
      </c>
      <c r="J1342" s="3" t="str">
        <f t="shared" si="41"/>
        <v>Low</v>
      </c>
    </row>
    <row r="1343" spans="1:10">
      <c r="A1343" s="7" t="s">
        <v>1403</v>
      </c>
      <c r="B1343" s="7" t="s">
        <v>18</v>
      </c>
      <c r="C1343" s="7" t="s">
        <v>12</v>
      </c>
      <c r="D1343" s="22">
        <v>430000</v>
      </c>
      <c r="E1343" s="7">
        <v>7</v>
      </c>
      <c r="F1343" s="7">
        <v>4</v>
      </c>
      <c r="G1343" s="7">
        <v>2.1</v>
      </c>
      <c r="H1343" s="12">
        <v>2210</v>
      </c>
      <c r="I1343" s="9">
        <f t="shared" si="40"/>
        <v>194.57013574660633</v>
      </c>
      <c r="J1343" s="3" t="str">
        <f t="shared" si="41"/>
        <v>Low</v>
      </c>
    </row>
    <row r="1344" spans="1:10">
      <c r="A1344" s="4" t="s">
        <v>1404</v>
      </c>
      <c r="B1344" s="4" t="s">
        <v>960</v>
      </c>
      <c r="C1344" s="4" t="s">
        <v>12</v>
      </c>
      <c r="D1344" s="21">
        <v>430000</v>
      </c>
      <c r="E1344" s="4">
        <v>38</v>
      </c>
      <c r="F1344" s="4">
        <v>4</v>
      </c>
      <c r="G1344" s="4">
        <v>2.1</v>
      </c>
      <c r="H1344" s="10">
        <v>1871</v>
      </c>
      <c r="I1344" s="11">
        <f t="shared" si="40"/>
        <v>229.82362373062534</v>
      </c>
      <c r="J1344" s="3" t="str">
        <f t="shared" si="41"/>
        <v>Medium</v>
      </c>
    </row>
    <row r="1345" spans="1:10">
      <c r="A1345" s="7" t="s">
        <v>1405</v>
      </c>
      <c r="B1345" s="7" t="s">
        <v>679</v>
      </c>
      <c r="C1345" s="7" t="s">
        <v>12</v>
      </c>
      <c r="D1345" s="22">
        <v>430000</v>
      </c>
      <c r="E1345" s="7">
        <v>49</v>
      </c>
      <c r="F1345" s="7">
        <v>3</v>
      </c>
      <c r="G1345" s="7">
        <v>2</v>
      </c>
      <c r="H1345" s="12">
        <v>1144</v>
      </c>
      <c r="I1345" s="9">
        <f t="shared" si="40"/>
        <v>375.87412587412587</v>
      </c>
      <c r="J1345" s="3" t="str">
        <f t="shared" si="41"/>
        <v>High</v>
      </c>
    </row>
    <row r="1346" spans="1:10">
      <c r="A1346" s="4" t="s">
        <v>1406</v>
      </c>
      <c r="B1346" s="4" t="s">
        <v>18</v>
      </c>
      <c r="C1346" s="4" t="s">
        <v>12</v>
      </c>
      <c r="D1346" s="21">
        <v>430000</v>
      </c>
      <c r="E1346" s="4">
        <v>21</v>
      </c>
      <c r="F1346" s="4">
        <v>3</v>
      </c>
      <c r="G1346" s="4">
        <v>2</v>
      </c>
      <c r="H1346" s="10">
        <v>1944</v>
      </c>
      <c r="I1346" s="11">
        <f t="shared" ref="I1346:I1409" si="42">D1346/H1346</f>
        <v>221.19341563786008</v>
      </c>
      <c r="J1346" s="3" t="str">
        <f t="shared" ref="J1346:J1409" si="43">IF(I1346 &gt; 300, "High", IF(AND(I1346 &lt;= 300, I1346 &gt; 200), "Medium", "Low"))</f>
        <v>Medium</v>
      </c>
    </row>
    <row r="1347" spans="1:10">
      <c r="A1347" s="7" t="s">
        <v>1407</v>
      </c>
      <c r="B1347" s="7" t="s">
        <v>80</v>
      </c>
      <c r="C1347" s="7" t="s">
        <v>12</v>
      </c>
      <c r="D1347" s="22">
        <v>430000</v>
      </c>
      <c r="E1347" s="7">
        <v>46</v>
      </c>
      <c r="F1347" s="7">
        <v>3</v>
      </c>
      <c r="G1347" s="7">
        <v>3</v>
      </c>
      <c r="H1347" s="12">
        <v>2004</v>
      </c>
      <c r="I1347" s="9">
        <f t="shared" si="42"/>
        <v>214.57085828343313</v>
      </c>
      <c r="J1347" s="3" t="str">
        <f t="shared" si="43"/>
        <v>Medium</v>
      </c>
    </row>
    <row r="1348" spans="1:10">
      <c r="A1348" s="4" t="s">
        <v>1408</v>
      </c>
      <c r="B1348" s="4" t="s">
        <v>212</v>
      </c>
      <c r="C1348" s="4" t="s">
        <v>12</v>
      </c>
      <c r="D1348" s="21">
        <v>430000</v>
      </c>
      <c r="E1348" s="4">
        <v>40</v>
      </c>
      <c r="F1348" s="4">
        <v>4</v>
      </c>
      <c r="G1348" s="4">
        <v>1.1000000000000001</v>
      </c>
      <c r="H1348" s="10">
        <v>2072</v>
      </c>
      <c r="I1348" s="11">
        <f t="shared" si="42"/>
        <v>207.52895752895753</v>
      </c>
      <c r="J1348" s="3" t="str">
        <f t="shared" si="43"/>
        <v>Medium</v>
      </c>
    </row>
    <row r="1349" spans="1:10">
      <c r="A1349" s="7" t="s">
        <v>1409</v>
      </c>
      <c r="B1349" s="7" t="s">
        <v>18</v>
      </c>
      <c r="C1349" s="7" t="s">
        <v>12</v>
      </c>
      <c r="D1349" s="22">
        <v>430000</v>
      </c>
      <c r="E1349" s="7">
        <v>62</v>
      </c>
      <c r="F1349" s="7">
        <v>4</v>
      </c>
      <c r="G1349" s="7">
        <v>3.1</v>
      </c>
      <c r="H1349" s="12">
        <v>2518</v>
      </c>
      <c r="I1349" s="9">
        <f t="shared" si="42"/>
        <v>170.77045274027006</v>
      </c>
      <c r="J1349" s="3" t="str">
        <f t="shared" si="43"/>
        <v>Low</v>
      </c>
    </row>
    <row r="1350" spans="1:10">
      <c r="A1350" s="4" t="s">
        <v>1410</v>
      </c>
      <c r="B1350" s="4" t="s">
        <v>25</v>
      </c>
      <c r="C1350" s="4" t="s">
        <v>12</v>
      </c>
      <c r="D1350" s="21">
        <v>430000</v>
      </c>
      <c r="E1350" s="4">
        <v>70</v>
      </c>
      <c r="F1350" s="4">
        <v>3</v>
      </c>
      <c r="G1350" s="4">
        <v>2.1</v>
      </c>
      <c r="H1350" s="10">
        <v>2249</v>
      </c>
      <c r="I1350" s="11">
        <f t="shared" si="42"/>
        <v>191.19608714984437</v>
      </c>
      <c r="J1350" s="3" t="str">
        <f t="shared" si="43"/>
        <v>Low</v>
      </c>
    </row>
    <row r="1351" spans="1:10">
      <c r="A1351" s="7" t="s">
        <v>1411</v>
      </c>
      <c r="B1351" s="7" t="s">
        <v>1139</v>
      </c>
      <c r="C1351" s="7" t="s">
        <v>12</v>
      </c>
      <c r="D1351" s="22">
        <v>431000</v>
      </c>
      <c r="E1351" s="7">
        <v>42</v>
      </c>
      <c r="F1351" s="7">
        <v>3</v>
      </c>
      <c r="G1351" s="7">
        <v>2</v>
      </c>
      <c r="H1351" s="12">
        <v>1515</v>
      </c>
      <c r="I1351" s="9">
        <f t="shared" si="42"/>
        <v>284.48844884488449</v>
      </c>
      <c r="J1351" s="3" t="str">
        <f t="shared" si="43"/>
        <v>Medium</v>
      </c>
    </row>
    <row r="1352" spans="1:10">
      <c r="A1352" s="4" t="s">
        <v>1412</v>
      </c>
      <c r="B1352" s="4" t="s">
        <v>823</v>
      </c>
      <c r="C1352" s="4" t="s">
        <v>12</v>
      </c>
      <c r="D1352" s="21">
        <v>432000</v>
      </c>
      <c r="E1352" s="4">
        <v>100</v>
      </c>
      <c r="F1352" s="4">
        <v>4</v>
      </c>
      <c r="G1352" s="4">
        <v>3.1</v>
      </c>
      <c r="H1352" s="10">
        <v>1824</v>
      </c>
      <c r="I1352" s="11">
        <f t="shared" si="42"/>
        <v>236.84210526315789</v>
      </c>
      <c r="J1352" s="3" t="str">
        <f t="shared" si="43"/>
        <v>Medium</v>
      </c>
    </row>
    <row r="1353" spans="1:10">
      <c r="A1353" s="7" t="s">
        <v>1413</v>
      </c>
      <c r="B1353" s="7" t="s">
        <v>268</v>
      </c>
      <c r="C1353" s="7" t="s">
        <v>12</v>
      </c>
      <c r="D1353" s="22">
        <v>432500</v>
      </c>
      <c r="E1353" s="7">
        <v>515</v>
      </c>
      <c r="F1353" s="7">
        <v>4</v>
      </c>
      <c r="G1353" s="7">
        <v>2</v>
      </c>
      <c r="H1353" s="12">
        <v>2400</v>
      </c>
      <c r="I1353" s="9">
        <f t="shared" si="42"/>
        <v>180.20833333333334</v>
      </c>
      <c r="J1353" s="3" t="str">
        <f t="shared" si="43"/>
        <v>Low</v>
      </c>
    </row>
    <row r="1354" spans="1:10">
      <c r="A1354" s="4" t="s">
        <v>1414</v>
      </c>
      <c r="B1354" s="4" t="s">
        <v>823</v>
      </c>
      <c r="C1354" s="4" t="s">
        <v>12</v>
      </c>
      <c r="D1354" s="21">
        <v>433570</v>
      </c>
      <c r="E1354" s="4">
        <v>27</v>
      </c>
      <c r="F1354" s="4">
        <v>4</v>
      </c>
      <c r="G1354" s="4">
        <v>2.2000000000000002</v>
      </c>
      <c r="H1354" s="10">
        <v>2340</v>
      </c>
      <c r="I1354" s="11">
        <f t="shared" si="42"/>
        <v>185.2863247863248</v>
      </c>
      <c r="J1354" s="3" t="str">
        <f t="shared" si="43"/>
        <v>Low</v>
      </c>
    </row>
    <row r="1355" spans="1:10">
      <c r="A1355" s="7" t="s">
        <v>1415</v>
      </c>
      <c r="B1355" s="7" t="s">
        <v>212</v>
      </c>
      <c r="C1355" s="7" t="s">
        <v>12</v>
      </c>
      <c r="D1355" s="22">
        <v>434900</v>
      </c>
      <c r="E1355" s="7">
        <v>25</v>
      </c>
      <c r="F1355" s="7">
        <v>3</v>
      </c>
      <c r="G1355" s="7">
        <v>3</v>
      </c>
      <c r="H1355" s="12">
        <v>1964</v>
      </c>
      <c r="I1355" s="9">
        <f t="shared" si="42"/>
        <v>221.43584521384929</v>
      </c>
      <c r="J1355" s="3" t="str">
        <f t="shared" si="43"/>
        <v>Medium</v>
      </c>
    </row>
    <row r="1356" spans="1:10">
      <c r="A1356" s="4" t="s">
        <v>1416</v>
      </c>
      <c r="B1356" s="4" t="s">
        <v>728</v>
      </c>
      <c r="C1356" s="4" t="s">
        <v>12</v>
      </c>
      <c r="D1356" s="21">
        <v>434900</v>
      </c>
      <c r="E1356" s="4">
        <v>12</v>
      </c>
      <c r="F1356" s="4">
        <v>2</v>
      </c>
      <c r="G1356" s="4">
        <v>2</v>
      </c>
      <c r="H1356" s="10">
        <v>1449</v>
      </c>
      <c r="I1356" s="11">
        <f t="shared" si="42"/>
        <v>300.13802622498275</v>
      </c>
      <c r="J1356" s="3" t="str">
        <f t="shared" si="43"/>
        <v>High</v>
      </c>
    </row>
    <row r="1357" spans="1:10">
      <c r="A1357" s="7" t="s">
        <v>1417</v>
      </c>
      <c r="B1357" s="7" t="s">
        <v>878</v>
      </c>
      <c r="C1357" s="7" t="s">
        <v>12</v>
      </c>
      <c r="D1357" s="22">
        <v>434900</v>
      </c>
      <c r="E1357" s="7">
        <v>84</v>
      </c>
      <c r="F1357" s="7">
        <v>4</v>
      </c>
      <c r="G1357" s="7">
        <v>2.1</v>
      </c>
      <c r="H1357" s="12">
        <v>2276</v>
      </c>
      <c r="I1357" s="9">
        <f t="shared" si="42"/>
        <v>191.08084358523726</v>
      </c>
      <c r="J1357" s="3" t="str">
        <f t="shared" si="43"/>
        <v>Low</v>
      </c>
    </row>
    <row r="1358" spans="1:10">
      <c r="A1358" s="4" t="s">
        <v>1418</v>
      </c>
      <c r="B1358" s="4" t="s">
        <v>131</v>
      </c>
      <c r="C1358" s="4" t="s">
        <v>12</v>
      </c>
      <c r="D1358" s="21">
        <v>435000</v>
      </c>
      <c r="E1358" s="4">
        <v>2</v>
      </c>
      <c r="F1358" s="4">
        <v>4</v>
      </c>
      <c r="G1358" s="4">
        <v>2</v>
      </c>
      <c r="H1358" s="10">
        <v>1247</v>
      </c>
      <c r="I1358" s="11">
        <f t="shared" si="42"/>
        <v>348.83720930232556</v>
      </c>
      <c r="J1358" s="3" t="str">
        <f t="shared" si="43"/>
        <v>High</v>
      </c>
    </row>
    <row r="1359" spans="1:10">
      <c r="A1359" s="7" t="s">
        <v>1419</v>
      </c>
      <c r="B1359" s="7" t="s">
        <v>212</v>
      </c>
      <c r="C1359" s="7" t="s">
        <v>12</v>
      </c>
      <c r="D1359" s="22">
        <v>435000</v>
      </c>
      <c r="E1359" s="7">
        <v>4</v>
      </c>
      <c r="F1359" s="7">
        <v>4</v>
      </c>
      <c r="G1359" s="7">
        <v>2.1</v>
      </c>
      <c r="H1359" s="12">
        <v>2256</v>
      </c>
      <c r="I1359" s="9">
        <f t="shared" si="42"/>
        <v>192.81914893617022</v>
      </c>
      <c r="J1359" s="3" t="str">
        <f t="shared" si="43"/>
        <v>Low</v>
      </c>
    </row>
    <row r="1360" spans="1:10">
      <c r="A1360" s="4" t="s">
        <v>1420</v>
      </c>
      <c r="B1360" s="4" t="s">
        <v>268</v>
      </c>
      <c r="C1360" s="4" t="s">
        <v>12</v>
      </c>
      <c r="D1360" s="21">
        <v>435000</v>
      </c>
      <c r="E1360" s="4">
        <v>20</v>
      </c>
      <c r="F1360" s="4">
        <v>4</v>
      </c>
      <c r="G1360" s="4">
        <v>2.1</v>
      </c>
      <c r="H1360" s="10">
        <v>2722</v>
      </c>
      <c r="I1360" s="11">
        <f t="shared" si="42"/>
        <v>159.80896399706097</v>
      </c>
      <c r="J1360" s="3" t="str">
        <f t="shared" si="43"/>
        <v>Low</v>
      </c>
    </row>
    <row r="1361" spans="1:10">
      <c r="A1361" s="7" t="s">
        <v>1421</v>
      </c>
      <c r="B1361" s="7" t="s">
        <v>948</v>
      </c>
      <c r="C1361" s="7" t="s">
        <v>12</v>
      </c>
      <c r="D1361" s="22">
        <v>435000</v>
      </c>
      <c r="E1361" s="7">
        <v>6</v>
      </c>
      <c r="F1361" s="7">
        <v>4</v>
      </c>
      <c r="G1361" s="7">
        <v>2.1</v>
      </c>
      <c r="H1361" s="12">
        <v>2201</v>
      </c>
      <c r="I1361" s="9">
        <f t="shared" si="42"/>
        <v>197.63743752839619</v>
      </c>
      <c r="J1361" s="3" t="str">
        <f t="shared" si="43"/>
        <v>Low</v>
      </c>
    </row>
    <row r="1362" spans="1:10">
      <c r="A1362" s="4" t="s">
        <v>1422</v>
      </c>
      <c r="B1362" s="4" t="s">
        <v>1139</v>
      </c>
      <c r="C1362" s="4" t="s">
        <v>12</v>
      </c>
      <c r="D1362" s="21">
        <v>435000</v>
      </c>
      <c r="E1362" s="4">
        <v>4</v>
      </c>
      <c r="F1362" s="4">
        <v>3</v>
      </c>
      <c r="G1362" s="4">
        <v>2</v>
      </c>
      <c r="H1362" s="10">
        <v>1470</v>
      </c>
      <c r="I1362" s="11">
        <f t="shared" si="42"/>
        <v>295.91836734693879</v>
      </c>
      <c r="J1362" s="3" t="str">
        <f t="shared" si="43"/>
        <v>Medium</v>
      </c>
    </row>
    <row r="1363" spans="1:10">
      <c r="A1363" s="7" t="s">
        <v>1423</v>
      </c>
      <c r="B1363" s="7" t="s">
        <v>16</v>
      </c>
      <c r="C1363" s="7" t="s">
        <v>12</v>
      </c>
      <c r="D1363" s="22">
        <v>435000</v>
      </c>
      <c r="E1363" s="7">
        <v>5</v>
      </c>
      <c r="F1363" s="7">
        <v>4</v>
      </c>
      <c r="G1363" s="7">
        <v>2.1</v>
      </c>
      <c r="H1363" s="12">
        <v>1735</v>
      </c>
      <c r="I1363" s="9">
        <f t="shared" si="42"/>
        <v>250.72046109510086</v>
      </c>
      <c r="J1363" s="3" t="str">
        <f t="shared" si="43"/>
        <v>Medium</v>
      </c>
    </row>
    <row r="1364" spans="1:10">
      <c r="A1364" s="4" t="s">
        <v>1424</v>
      </c>
      <c r="B1364" s="4" t="s">
        <v>1425</v>
      </c>
      <c r="C1364" s="4" t="s">
        <v>12</v>
      </c>
      <c r="D1364" s="21">
        <v>435000</v>
      </c>
      <c r="E1364" s="4">
        <v>5</v>
      </c>
      <c r="F1364" s="4">
        <v>3</v>
      </c>
      <c r="G1364" s="4">
        <v>3</v>
      </c>
      <c r="H1364" s="10">
        <v>2012</v>
      </c>
      <c r="I1364" s="11">
        <f t="shared" si="42"/>
        <v>216.2027833001988</v>
      </c>
      <c r="J1364" s="3" t="str">
        <f t="shared" si="43"/>
        <v>Medium</v>
      </c>
    </row>
    <row r="1365" spans="1:10">
      <c r="A1365" s="7" t="s">
        <v>1426</v>
      </c>
      <c r="B1365" s="7" t="s">
        <v>18</v>
      </c>
      <c r="C1365" s="7" t="s">
        <v>12</v>
      </c>
      <c r="D1365" s="22">
        <v>435000</v>
      </c>
      <c r="E1365" s="7">
        <v>17</v>
      </c>
      <c r="F1365" s="7">
        <v>3</v>
      </c>
      <c r="G1365" s="7">
        <v>2.1</v>
      </c>
      <c r="H1365" s="12">
        <v>2385</v>
      </c>
      <c r="I1365" s="9">
        <f t="shared" si="42"/>
        <v>182.38993710691824</v>
      </c>
      <c r="J1365" s="3" t="str">
        <f t="shared" si="43"/>
        <v>Low</v>
      </c>
    </row>
    <row r="1366" spans="1:10">
      <c r="A1366" s="4" t="s">
        <v>1427</v>
      </c>
      <c r="B1366" s="4" t="s">
        <v>131</v>
      </c>
      <c r="C1366" s="4" t="s">
        <v>12</v>
      </c>
      <c r="D1366" s="21">
        <v>435000</v>
      </c>
      <c r="E1366" s="4">
        <v>7</v>
      </c>
      <c r="F1366" s="4">
        <v>4</v>
      </c>
      <c r="G1366" s="4">
        <v>3.1</v>
      </c>
      <c r="H1366" s="10">
        <v>1558</v>
      </c>
      <c r="I1366" s="11">
        <f t="shared" si="42"/>
        <v>279.204107830552</v>
      </c>
      <c r="J1366" s="3" t="str">
        <f t="shared" si="43"/>
        <v>Medium</v>
      </c>
    </row>
    <row r="1367" spans="1:10">
      <c r="A1367" s="7" t="s">
        <v>1428</v>
      </c>
      <c r="B1367" s="7" t="s">
        <v>212</v>
      </c>
      <c r="C1367" s="7" t="s">
        <v>12</v>
      </c>
      <c r="D1367" s="22">
        <v>435000</v>
      </c>
      <c r="E1367" s="7">
        <v>0</v>
      </c>
      <c r="F1367" s="7">
        <v>3</v>
      </c>
      <c r="G1367" s="7">
        <v>1.2</v>
      </c>
      <c r="H1367" s="12">
        <v>1600</v>
      </c>
      <c r="I1367" s="9">
        <f t="shared" si="42"/>
        <v>271.875</v>
      </c>
      <c r="J1367" s="3" t="str">
        <f t="shared" si="43"/>
        <v>Medium</v>
      </c>
    </row>
    <row r="1368" spans="1:10">
      <c r="A1368" s="4" t="s">
        <v>1429</v>
      </c>
      <c r="B1368" s="4" t="s">
        <v>11</v>
      </c>
      <c r="C1368" s="4" t="s">
        <v>12</v>
      </c>
      <c r="D1368" s="21">
        <v>435000</v>
      </c>
      <c r="E1368" s="4">
        <v>11</v>
      </c>
      <c r="F1368" s="4">
        <v>4</v>
      </c>
      <c r="G1368" s="4">
        <v>2.1</v>
      </c>
      <c r="H1368" s="10">
        <v>1317</v>
      </c>
      <c r="I1368" s="11">
        <f t="shared" si="42"/>
        <v>330.29612756264237</v>
      </c>
      <c r="J1368" s="3" t="str">
        <f t="shared" si="43"/>
        <v>High</v>
      </c>
    </row>
    <row r="1369" spans="1:10">
      <c r="A1369" s="7" t="s">
        <v>1430</v>
      </c>
      <c r="B1369" s="7" t="s">
        <v>70</v>
      </c>
      <c r="C1369" s="7" t="s">
        <v>12</v>
      </c>
      <c r="D1369" s="22">
        <v>435000</v>
      </c>
      <c r="E1369" s="7">
        <v>18</v>
      </c>
      <c r="F1369" s="7">
        <v>4</v>
      </c>
      <c r="G1369" s="7">
        <v>2.1</v>
      </c>
      <c r="H1369" s="12">
        <v>3213</v>
      </c>
      <c r="I1369" s="9">
        <f t="shared" si="42"/>
        <v>135.3874883286648</v>
      </c>
      <c r="J1369" s="3" t="str">
        <f t="shared" si="43"/>
        <v>Low</v>
      </c>
    </row>
    <row r="1370" spans="1:10">
      <c r="A1370" s="4" t="s">
        <v>1431</v>
      </c>
      <c r="B1370" s="4" t="s">
        <v>56</v>
      </c>
      <c r="C1370" s="4" t="s">
        <v>12</v>
      </c>
      <c r="D1370" s="21">
        <v>435000</v>
      </c>
      <c r="E1370" s="4">
        <v>30</v>
      </c>
      <c r="F1370" s="4">
        <v>4</v>
      </c>
      <c r="G1370" s="4">
        <v>2.1</v>
      </c>
      <c r="H1370" s="10">
        <v>2064</v>
      </c>
      <c r="I1370" s="11">
        <f t="shared" si="42"/>
        <v>210.75581395348837</v>
      </c>
      <c r="J1370" s="3" t="str">
        <f t="shared" si="43"/>
        <v>Medium</v>
      </c>
    </row>
    <row r="1371" spans="1:10">
      <c r="A1371" s="7" t="s">
        <v>1432</v>
      </c>
      <c r="B1371" s="7" t="s">
        <v>70</v>
      </c>
      <c r="C1371" s="7" t="s">
        <v>12</v>
      </c>
      <c r="D1371" s="22">
        <v>436000</v>
      </c>
      <c r="E1371" s="7">
        <v>7</v>
      </c>
      <c r="F1371" s="7">
        <v>4</v>
      </c>
      <c r="G1371" s="7">
        <v>2.1</v>
      </c>
      <c r="H1371" s="12">
        <v>2203</v>
      </c>
      <c r="I1371" s="9">
        <f t="shared" si="42"/>
        <v>197.9119382660009</v>
      </c>
      <c r="J1371" s="3" t="str">
        <f t="shared" si="43"/>
        <v>Low</v>
      </c>
    </row>
    <row r="1372" spans="1:10">
      <c r="A1372" s="4" t="s">
        <v>1433</v>
      </c>
      <c r="B1372" s="4" t="s">
        <v>18</v>
      </c>
      <c r="C1372" s="4" t="s">
        <v>12</v>
      </c>
      <c r="D1372" s="21">
        <v>437500</v>
      </c>
      <c r="E1372" s="4">
        <v>14</v>
      </c>
      <c r="F1372" s="4">
        <v>4</v>
      </c>
      <c r="G1372" s="4">
        <v>1.1000000000000001</v>
      </c>
      <c r="H1372" s="10">
        <v>1897</v>
      </c>
      <c r="I1372" s="11">
        <f t="shared" si="42"/>
        <v>230.62730627306274</v>
      </c>
      <c r="J1372" s="3" t="str">
        <f t="shared" si="43"/>
        <v>Medium</v>
      </c>
    </row>
    <row r="1373" spans="1:10">
      <c r="A1373" s="7" t="s">
        <v>1434</v>
      </c>
      <c r="B1373" s="7" t="s">
        <v>77</v>
      </c>
      <c r="C1373" s="7" t="s">
        <v>12</v>
      </c>
      <c r="D1373" s="22">
        <v>437500</v>
      </c>
      <c r="E1373" s="7">
        <v>8</v>
      </c>
      <c r="F1373" s="7">
        <v>3</v>
      </c>
      <c r="G1373" s="7">
        <v>2.1</v>
      </c>
      <c r="H1373" s="12">
        <v>2450</v>
      </c>
      <c r="I1373" s="9">
        <f t="shared" si="42"/>
        <v>178.57142857142858</v>
      </c>
      <c r="J1373" s="3" t="str">
        <f t="shared" si="43"/>
        <v>Low</v>
      </c>
    </row>
    <row r="1374" spans="1:10">
      <c r="A1374" s="4" t="s">
        <v>1435</v>
      </c>
      <c r="B1374" s="4" t="s">
        <v>18</v>
      </c>
      <c r="C1374" s="4" t="s">
        <v>12</v>
      </c>
      <c r="D1374" s="21">
        <v>439000</v>
      </c>
      <c r="E1374" s="4">
        <v>38</v>
      </c>
      <c r="F1374" s="4">
        <v>3</v>
      </c>
      <c r="G1374" s="4">
        <v>2.1</v>
      </c>
      <c r="H1374" s="10">
        <v>1000</v>
      </c>
      <c r="I1374" s="11">
        <f t="shared" si="42"/>
        <v>439</v>
      </c>
      <c r="J1374" s="3" t="str">
        <f t="shared" si="43"/>
        <v>High</v>
      </c>
    </row>
    <row r="1375" spans="1:10">
      <c r="A1375" s="7" t="s">
        <v>1436</v>
      </c>
      <c r="B1375" s="7" t="s">
        <v>18</v>
      </c>
      <c r="C1375" s="7" t="s">
        <v>12</v>
      </c>
      <c r="D1375" s="22">
        <v>439000</v>
      </c>
      <c r="E1375" s="7">
        <v>66</v>
      </c>
      <c r="F1375" s="7">
        <v>3</v>
      </c>
      <c r="G1375" s="7">
        <v>2.1</v>
      </c>
      <c r="H1375" s="12">
        <v>2091</v>
      </c>
      <c r="I1375" s="9">
        <f t="shared" si="42"/>
        <v>209.94739359158297</v>
      </c>
      <c r="J1375" s="3" t="str">
        <f t="shared" si="43"/>
        <v>Medium</v>
      </c>
    </row>
    <row r="1376" spans="1:10">
      <c r="A1376" s="4" t="s">
        <v>1437</v>
      </c>
      <c r="B1376" s="4" t="s">
        <v>56</v>
      </c>
      <c r="C1376" s="4" t="s">
        <v>12</v>
      </c>
      <c r="D1376" s="21">
        <v>439900</v>
      </c>
      <c r="E1376" s="4">
        <v>91</v>
      </c>
      <c r="F1376" s="4">
        <v>4</v>
      </c>
      <c r="G1376" s="4">
        <v>2.1</v>
      </c>
      <c r="H1376" s="10">
        <v>2317</v>
      </c>
      <c r="I1376" s="11">
        <f t="shared" si="42"/>
        <v>189.85757444971946</v>
      </c>
      <c r="J1376" s="3" t="str">
        <f t="shared" si="43"/>
        <v>Low</v>
      </c>
    </row>
    <row r="1377" spans="1:10">
      <c r="A1377" s="7" t="s">
        <v>1438</v>
      </c>
      <c r="B1377" s="7" t="s">
        <v>18</v>
      </c>
      <c r="C1377" s="7" t="s">
        <v>12</v>
      </c>
      <c r="D1377" s="22">
        <v>439900</v>
      </c>
      <c r="E1377" s="7">
        <v>342</v>
      </c>
      <c r="F1377" s="7">
        <v>3</v>
      </c>
      <c r="G1377" s="7">
        <v>2.1</v>
      </c>
      <c r="H1377" s="12">
        <v>1735</v>
      </c>
      <c r="I1377" s="9">
        <f t="shared" si="42"/>
        <v>253.54466858789624</v>
      </c>
      <c r="J1377" s="3" t="str">
        <f t="shared" si="43"/>
        <v>Medium</v>
      </c>
    </row>
    <row r="1378" spans="1:10">
      <c r="A1378" s="4" t="s">
        <v>1439</v>
      </c>
      <c r="B1378" s="4" t="s">
        <v>70</v>
      </c>
      <c r="C1378" s="4" t="s">
        <v>12</v>
      </c>
      <c r="D1378" s="21">
        <v>440000</v>
      </c>
      <c r="E1378" s="4">
        <v>4</v>
      </c>
      <c r="F1378" s="4">
        <v>4</v>
      </c>
      <c r="G1378" s="4">
        <v>2.1</v>
      </c>
      <c r="H1378" s="10">
        <v>2870</v>
      </c>
      <c r="I1378" s="11">
        <f t="shared" si="42"/>
        <v>153.31010452961672</v>
      </c>
      <c r="J1378" s="3" t="str">
        <f t="shared" si="43"/>
        <v>Low</v>
      </c>
    </row>
    <row r="1379" spans="1:10">
      <c r="A1379" s="7" t="s">
        <v>1440</v>
      </c>
      <c r="B1379" s="7" t="s">
        <v>1139</v>
      </c>
      <c r="C1379" s="7" t="s">
        <v>12</v>
      </c>
      <c r="D1379" s="22">
        <v>440000</v>
      </c>
      <c r="E1379" s="7">
        <v>4</v>
      </c>
      <c r="F1379" s="7">
        <v>4</v>
      </c>
      <c r="G1379" s="7">
        <v>2.1</v>
      </c>
      <c r="H1379" s="12">
        <v>1586</v>
      </c>
      <c r="I1379" s="9">
        <f t="shared" si="42"/>
        <v>277.42749054224464</v>
      </c>
      <c r="J1379" s="3" t="str">
        <f t="shared" si="43"/>
        <v>Medium</v>
      </c>
    </row>
    <row r="1380" spans="1:10">
      <c r="A1380" s="4" t="s">
        <v>1441</v>
      </c>
      <c r="B1380" s="4" t="s">
        <v>80</v>
      </c>
      <c r="C1380" s="4" t="s">
        <v>12</v>
      </c>
      <c r="D1380" s="21">
        <v>440000</v>
      </c>
      <c r="E1380" s="4">
        <v>3</v>
      </c>
      <c r="F1380" s="4">
        <v>3</v>
      </c>
      <c r="G1380" s="4">
        <v>2</v>
      </c>
      <c r="H1380" s="10">
        <v>1636</v>
      </c>
      <c r="I1380" s="11">
        <f t="shared" si="42"/>
        <v>268.94865525672373</v>
      </c>
      <c r="J1380" s="3" t="str">
        <f t="shared" si="43"/>
        <v>Medium</v>
      </c>
    </row>
    <row r="1381" spans="1:10">
      <c r="A1381" s="7" t="s">
        <v>1442</v>
      </c>
      <c r="B1381" s="7" t="s">
        <v>212</v>
      </c>
      <c r="C1381" s="7" t="s">
        <v>12</v>
      </c>
      <c r="D1381" s="22">
        <v>440000</v>
      </c>
      <c r="E1381" s="7">
        <v>5</v>
      </c>
      <c r="F1381" s="7">
        <v>4</v>
      </c>
      <c r="G1381" s="7">
        <v>2.1</v>
      </c>
      <c r="H1381" s="12">
        <v>2104</v>
      </c>
      <c r="I1381" s="9">
        <f t="shared" si="42"/>
        <v>209.12547528517109</v>
      </c>
      <c r="J1381" s="3" t="str">
        <f t="shared" si="43"/>
        <v>Medium</v>
      </c>
    </row>
    <row r="1382" spans="1:10">
      <c r="A1382" s="4" t="s">
        <v>1443</v>
      </c>
      <c r="B1382" s="4" t="s">
        <v>268</v>
      </c>
      <c r="C1382" s="4" t="s">
        <v>12</v>
      </c>
      <c r="D1382" s="21">
        <v>440000</v>
      </c>
      <c r="E1382" s="4">
        <v>39</v>
      </c>
      <c r="F1382" s="4">
        <v>3</v>
      </c>
      <c r="G1382" s="4">
        <v>3.1</v>
      </c>
      <c r="H1382" s="10">
        <v>3151</v>
      </c>
      <c r="I1382" s="11">
        <f t="shared" si="42"/>
        <v>139.63821009203429</v>
      </c>
      <c r="J1382" s="3" t="str">
        <f t="shared" si="43"/>
        <v>Low</v>
      </c>
    </row>
    <row r="1383" spans="1:10">
      <c r="A1383" s="7" t="s">
        <v>1444</v>
      </c>
      <c r="B1383" s="7" t="s">
        <v>268</v>
      </c>
      <c r="C1383" s="7" t="s">
        <v>12</v>
      </c>
      <c r="D1383" s="22">
        <v>440000</v>
      </c>
      <c r="E1383" s="7">
        <v>61</v>
      </c>
      <c r="F1383" s="7">
        <v>3</v>
      </c>
      <c r="G1383" s="7">
        <v>2.1</v>
      </c>
      <c r="H1383" s="12">
        <v>2798</v>
      </c>
      <c r="I1383" s="9">
        <f t="shared" si="42"/>
        <v>157.25518227305218</v>
      </c>
      <c r="J1383" s="3" t="str">
        <f t="shared" si="43"/>
        <v>Low</v>
      </c>
    </row>
    <row r="1384" spans="1:10">
      <c r="A1384" s="4" t="s">
        <v>1445</v>
      </c>
      <c r="B1384" s="4" t="s">
        <v>117</v>
      </c>
      <c r="C1384" s="4" t="s">
        <v>12</v>
      </c>
      <c r="D1384" s="21">
        <v>440000</v>
      </c>
      <c r="E1384" s="4">
        <v>75</v>
      </c>
      <c r="F1384" s="4">
        <v>4</v>
      </c>
      <c r="G1384" s="4">
        <v>3.1</v>
      </c>
      <c r="H1384" s="10">
        <v>2070</v>
      </c>
      <c r="I1384" s="11">
        <f t="shared" si="42"/>
        <v>212.56038647342996</v>
      </c>
      <c r="J1384" s="3" t="str">
        <f t="shared" si="43"/>
        <v>Medium</v>
      </c>
    </row>
    <row r="1385" spans="1:10">
      <c r="A1385" s="7" t="s">
        <v>1446</v>
      </c>
      <c r="B1385" s="7" t="s">
        <v>679</v>
      </c>
      <c r="C1385" s="7" t="s">
        <v>12</v>
      </c>
      <c r="D1385" s="22">
        <v>440000</v>
      </c>
      <c r="E1385" s="7">
        <v>62</v>
      </c>
      <c r="F1385" s="7">
        <v>3</v>
      </c>
      <c r="G1385" s="7">
        <v>1.1000000000000001</v>
      </c>
      <c r="H1385" s="12">
        <v>1333</v>
      </c>
      <c r="I1385" s="9">
        <f t="shared" si="42"/>
        <v>330.08252063015755</v>
      </c>
      <c r="J1385" s="3" t="str">
        <f t="shared" si="43"/>
        <v>High</v>
      </c>
    </row>
    <row r="1386" spans="1:10">
      <c r="A1386" s="4" t="s">
        <v>1447</v>
      </c>
      <c r="B1386" s="4" t="s">
        <v>70</v>
      </c>
      <c r="C1386" s="4" t="s">
        <v>12</v>
      </c>
      <c r="D1386" s="21">
        <v>441500</v>
      </c>
      <c r="E1386" s="4">
        <v>5</v>
      </c>
      <c r="F1386" s="4">
        <v>4</v>
      </c>
      <c r="G1386" s="4">
        <v>3</v>
      </c>
      <c r="H1386" s="10">
        <v>2160</v>
      </c>
      <c r="I1386" s="11">
        <f t="shared" si="42"/>
        <v>204.39814814814815</v>
      </c>
      <c r="J1386" s="3" t="str">
        <f t="shared" si="43"/>
        <v>Medium</v>
      </c>
    </row>
    <row r="1387" spans="1:10">
      <c r="A1387" s="7" t="s">
        <v>1448</v>
      </c>
      <c r="B1387" s="7" t="s">
        <v>878</v>
      </c>
      <c r="C1387" s="7" t="s">
        <v>12</v>
      </c>
      <c r="D1387" s="22">
        <v>443105</v>
      </c>
      <c r="E1387" s="7">
        <v>0</v>
      </c>
      <c r="F1387" s="7">
        <v>3</v>
      </c>
      <c r="G1387" s="7">
        <v>3</v>
      </c>
      <c r="H1387" s="12">
        <v>2276</v>
      </c>
      <c r="I1387" s="9">
        <f t="shared" si="42"/>
        <v>194.68585237258347</v>
      </c>
      <c r="J1387" s="3" t="str">
        <f t="shared" si="43"/>
        <v>Low</v>
      </c>
    </row>
    <row r="1388" spans="1:10">
      <c r="A1388" s="4" t="s">
        <v>1449</v>
      </c>
      <c r="B1388" s="4" t="s">
        <v>131</v>
      </c>
      <c r="C1388" s="4" t="s">
        <v>12</v>
      </c>
      <c r="D1388" s="21">
        <v>443500</v>
      </c>
      <c r="E1388" s="4">
        <v>23</v>
      </c>
      <c r="F1388" s="4">
        <v>4</v>
      </c>
      <c r="G1388" s="4">
        <v>2.1</v>
      </c>
      <c r="H1388" s="10">
        <v>1620</v>
      </c>
      <c r="I1388" s="11">
        <f t="shared" si="42"/>
        <v>273.76543209876542</v>
      </c>
      <c r="J1388" s="3" t="str">
        <f t="shared" si="43"/>
        <v>Medium</v>
      </c>
    </row>
    <row r="1389" spans="1:10">
      <c r="A1389" s="7" t="s">
        <v>1450</v>
      </c>
      <c r="B1389" s="7" t="s">
        <v>77</v>
      </c>
      <c r="C1389" s="7" t="s">
        <v>12</v>
      </c>
      <c r="D1389" s="22">
        <v>445000</v>
      </c>
      <c r="E1389" s="7">
        <v>2</v>
      </c>
      <c r="F1389" s="7">
        <v>4</v>
      </c>
      <c r="G1389" s="7">
        <v>2.1</v>
      </c>
      <c r="H1389" s="12">
        <v>2557</v>
      </c>
      <c r="I1389" s="9">
        <f t="shared" si="42"/>
        <v>174.03206883066093</v>
      </c>
      <c r="J1389" s="3" t="str">
        <f t="shared" si="43"/>
        <v>Low</v>
      </c>
    </row>
    <row r="1390" spans="1:10">
      <c r="A1390" s="4" t="s">
        <v>1451</v>
      </c>
      <c r="B1390" s="4" t="s">
        <v>823</v>
      </c>
      <c r="C1390" s="4" t="s">
        <v>12</v>
      </c>
      <c r="D1390" s="21">
        <v>445000</v>
      </c>
      <c r="E1390" s="4">
        <v>18</v>
      </c>
      <c r="F1390" s="4">
        <v>4</v>
      </c>
      <c r="G1390" s="4">
        <v>2.1</v>
      </c>
      <c r="H1390" s="10">
        <v>2604</v>
      </c>
      <c r="I1390" s="11">
        <f t="shared" si="42"/>
        <v>170.89093701996927</v>
      </c>
      <c r="J1390" s="3" t="str">
        <f t="shared" si="43"/>
        <v>Low</v>
      </c>
    </row>
    <row r="1391" spans="1:10">
      <c r="A1391" s="7" t="s">
        <v>1452</v>
      </c>
      <c r="B1391" s="7" t="s">
        <v>1305</v>
      </c>
      <c r="C1391" s="7" t="s">
        <v>12</v>
      </c>
      <c r="D1391" s="22">
        <v>445000</v>
      </c>
      <c r="E1391" s="7">
        <v>74</v>
      </c>
      <c r="F1391" s="7">
        <v>3</v>
      </c>
      <c r="G1391" s="7">
        <v>3.1</v>
      </c>
      <c r="H1391" s="12">
        <v>2108</v>
      </c>
      <c r="I1391" s="9">
        <f t="shared" si="42"/>
        <v>211.10056925996204</v>
      </c>
      <c r="J1391" s="3" t="str">
        <f t="shared" si="43"/>
        <v>Medium</v>
      </c>
    </row>
    <row r="1392" spans="1:10">
      <c r="A1392" s="4" t="s">
        <v>1453</v>
      </c>
      <c r="B1392" s="4" t="s">
        <v>960</v>
      </c>
      <c r="C1392" s="4" t="s">
        <v>12</v>
      </c>
      <c r="D1392" s="21">
        <v>445000</v>
      </c>
      <c r="E1392" s="4">
        <v>4</v>
      </c>
      <c r="F1392" s="4">
        <v>4</v>
      </c>
      <c r="G1392" s="4">
        <v>2.1</v>
      </c>
      <c r="H1392" s="10">
        <v>2500</v>
      </c>
      <c r="I1392" s="11">
        <f t="shared" si="42"/>
        <v>178</v>
      </c>
      <c r="J1392" s="3" t="str">
        <f t="shared" si="43"/>
        <v>Low</v>
      </c>
    </row>
    <row r="1393" spans="1:10">
      <c r="A1393" s="7" t="s">
        <v>1454</v>
      </c>
      <c r="B1393" s="7" t="s">
        <v>56</v>
      </c>
      <c r="C1393" s="7" t="s">
        <v>12</v>
      </c>
      <c r="D1393" s="22">
        <v>446480</v>
      </c>
      <c r="E1393" s="7">
        <v>30</v>
      </c>
      <c r="F1393" s="7">
        <v>4</v>
      </c>
      <c r="G1393" s="7">
        <v>2.1</v>
      </c>
      <c r="H1393" s="12">
        <v>2616</v>
      </c>
      <c r="I1393" s="9">
        <f t="shared" si="42"/>
        <v>170.67278287461772</v>
      </c>
      <c r="J1393" s="3" t="str">
        <f t="shared" si="43"/>
        <v>Low</v>
      </c>
    </row>
    <row r="1394" spans="1:10">
      <c r="A1394" s="4" t="s">
        <v>1455</v>
      </c>
      <c r="B1394" s="4" t="s">
        <v>131</v>
      </c>
      <c r="C1394" s="4" t="s">
        <v>12</v>
      </c>
      <c r="D1394" s="21">
        <v>446500</v>
      </c>
      <c r="E1394" s="4">
        <v>3</v>
      </c>
      <c r="F1394" s="4">
        <v>3</v>
      </c>
      <c r="G1394" s="4">
        <v>1.1000000000000001</v>
      </c>
      <c r="H1394" s="10">
        <v>1547</v>
      </c>
      <c r="I1394" s="11">
        <f t="shared" si="42"/>
        <v>288.62314156431802</v>
      </c>
      <c r="J1394" s="3" t="str">
        <f t="shared" si="43"/>
        <v>Medium</v>
      </c>
    </row>
    <row r="1395" spans="1:10">
      <c r="A1395" s="7" t="s">
        <v>1456</v>
      </c>
      <c r="B1395" s="7" t="s">
        <v>77</v>
      </c>
      <c r="C1395" s="7" t="s">
        <v>12</v>
      </c>
      <c r="D1395" s="22">
        <v>447000</v>
      </c>
      <c r="E1395" s="7">
        <v>95</v>
      </c>
      <c r="F1395" s="7">
        <v>5</v>
      </c>
      <c r="G1395" s="7">
        <v>3</v>
      </c>
      <c r="H1395" s="12">
        <v>2592</v>
      </c>
      <c r="I1395" s="9">
        <f t="shared" si="42"/>
        <v>172.4537037037037</v>
      </c>
      <c r="J1395" s="3" t="str">
        <f t="shared" si="43"/>
        <v>Low</v>
      </c>
    </row>
    <row r="1396" spans="1:10">
      <c r="A1396" s="4" t="s">
        <v>1457</v>
      </c>
      <c r="B1396" s="4" t="s">
        <v>56</v>
      </c>
      <c r="C1396" s="4" t="s">
        <v>12</v>
      </c>
      <c r="D1396" s="21">
        <v>447800</v>
      </c>
      <c r="E1396" s="4">
        <v>76</v>
      </c>
      <c r="F1396" s="4">
        <v>3</v>
      </c>
      <c r="G1396" s="4">
        <v>2</v>
      </c>
      <c r="H1396" s="10">
        <v>1424</v>
      </c>
      <c r="I1396" s="11">
        <f t="shared" si="42"/>
        <v>314.46629213483146</v>
      </c>
      <c r="J1396" s="3" t="str">
        <f t="shared" si="43"/>
        <v>High</v>
      </c>
    </row>
    <row r="1397" spans="1:10">
      <c r="A1397" s="7" t="s">
        <v>1458</v>
      </c>
      <c r="B1397" s="7" t="s">
        <v>948</v>
      </c>
      <c r="C1397" s="7" t="s">
        <v>12</v>
      </c>
      <c r="D1397" s="22">
        <v>448400</v>
      </c>
      <c r="E1397" s="7">
        <v>595</v>
      </c>
      <c r="F1397" s="7">
        <v>3</v>
      </c>
      <c r="G1397" s="7">
        <v>2.1</v>
      </c>
      <c r="H1397" s="12">
        <v>1953</v>
      </c>
      <c r="I1397" s="9">
        <f t="shared" si="42"/>
        <v>229.59549411162314</v>
      </c>
      <c r="J1397" s="3" t="str">
        <f t="shared" si="43"/>
        <v>Medium</v>
      </c>
    </row>
    <row r="1398" spans="1:10">
      <c r="A1398" s="4" t="s">
        <v>1459</v>
      </c>
      <c r="B1398" s="4" t="s">
        <v>1305</v>
      </c>
      <c r="C1398" s="4" t="s">
        <v>12</v>
      </c>
      <c r="D1398" s="21">
        <v>450000</v>
      </c>
      <c r="E1398" s="4">
        <v>0</v>
      </c>
      <c r="F1398" s="4">
        <v>4</v>
      </c>
      <c r="G1398" s="4">
        <v>1.1000000000000001</v>
      </c>
      <c r="H1398" s="10">
        <v>1586</v>
      </c>
      <c r="I1398" s="11">
        <f t="shared" si="42"/>
        <v>283.7326607818411</v>
      </c>
      <c r="J1398" s="3" t="str">
        <f t="shared" si="43"/>
        <v>Medium</v>
      </c>
    </row>
    <row r="1399" spans="1:10">
      <c r="A1399" s="7" t="s">
        <v>1460</v>
      </c>
      <c r="B1399" s="7" t="s">
        <v>298</v>
      </c>
      <c r="C1399" s="7" t="s">
        <v>12</v>
      </c>
      <c r="D1399" s="22">
        <v>450000</v>
      </c>
      <c r="E1399" s="7">
        <v>4</v>
      </c>
      <c r="F1399" s="7">
        <v>3</v>
      </c>
      <c r="G1399" s="7">
        <v>1.1000000000000001</v>
      </c>
      <c r="H1399" s="12">
        <v>1587</v>
      </c>
      <c r="I1399" s="9">
        <f t="shared" si="42"/>
        <v>283.55387523629491</v>
      </c>
      <c r="J1399" s="3" t="str">
        <f t="shared" si="43"/>
        <v>Medium</v>
      </c>
    </row>
    <row r="1400" spans="1:10">
      <c r="A1400" s="4" t="s">
        <v>1461</v>
      </c>
      <c r="B1400" s="4" t="s">
        <v>80</v>
      </c>
      <c r="C1400" s="4" t="s">
        <v>12</v>
      </c>
      <c r="D1400" s="21">
        <v>450000</v>
      </c>
      <c r="E1400" s="4">
        <v>4</v>
      </c>
      <c r="F1400" s="4">
        <v>3</v>
      </c>
      <c r="G1400" s="4">
        <v>2.1</v>
      </c>
      <c r="H1400" s="10">
        <v>1908</v>
      </c>
      <c r="I1400" s="11">
        <f t="shared" si="42"/>
        <v>235.84905660377359</v>
      </c>
      <c r="J1400" s="3" t="str">
        <f t="shared" si="43"/>
        <v>Medium</v>
      </c>
    </row>
    <row r="1401" spans="1:10">
      <c r="A1401" s="7" t="s">
        <v>1462</v>
      </c>
      <c r="B1401" s="7" t="s">
        <v>960</v>
      </c>
      <c r="C1401" s="7" t="s">
        <v>12</v>
      </c>
      <c r="D1401" s="22">
        <v>450000</v>
      </c>
      <c r="E1401" s="7">
        <v>6</v>
      </c>
      <c r="F1401" s="7">
        <v>4</v>
      </c>
      <c r="G1401" s="7">
        <v>2</v>
      </c>
      <c r="H1401" s="12">
        <v>1500</v>
      </c>
      <c r="I1401" s="9">
        <f t="shared" si="42"/>
        <v>300</v>
      </c>
      <c r="J1401" s="3" t="str">
        <f t="shared" si="43"/>
        <v>Medium</v>
      </c>
    </row>
    <row r="1402" spans="1:10">
      <c r="A1402" s="4" t="s">
        <v>1463</v>
      </c>
      <c r="B1402" s="4" t="s">
        <v>70</v>
      </c>
      <c r="C1402" s="4" t="s">
        <v>12</v>
      </c>
      <c r="D1402" s="21">
        <v>450000</v>
      </c>
      <c r="E1402" s="4">
        <v>6</v>
      </c>
      <c r="F1402" s="4">
        <v>4</v>
      </c>
      <c r="G1402" s="4">
        <v>2.2000000000000002</v>
      </c>
      <c r="H1402" s="10">
        <v>2475</v>
      </c>
      <c r="I1402" s="11">
        <f t="shared" si="42"/>
        <v>181.81818181818181</v>
      </c>
      <c r="J1402" s="3" t="str">
        <f t="shared" si="43"/>
        <v>Low</v>
      </c>
    </row>
    <row r="1403" spans="1:10">
      <c r="A1403" s="7" t="s">
        <v>1464</v>
      </c>
      <c r="B1403" s="7" t="s">
        <v>1344</v>
      </c>
      <c r="C1403" s="7" t="s">
        <v>12</v>
      </c>
      <c r="D1403" s="22">
        <v>450000</v>
      </c>
      <c r="E1403" s="7">
        <v>10</v>
      </c>
      <c r="F1403" s="7">
        <v>3</v>
      </c>
      <c r="G1403" s="7">
        <v>2</v>
      </c>
      <c r="H1403" s="12">
        <v>1488</v>
      </c>
      <c r="I1403" s="9">
        <f t="shared" si="42"/>
        <v>302.41935483870969</v>
      </c>
      <c r="J1403" s="3" t="str">
        <f t="shared" si="43"/>
        <v>High</v>
      </c>
    </row>
    <row r="1404" spans="1:10">
      <c r="A1404" s="4" t="s">
        <v>1465</v>
      </c>
      <c r="B1404" s="4" t="s">
        <v>131</v>
      </c>
      <c r="C1404" s="4" t="s">
        <v>12</v>
      </c>
      <c r="D1404" s="21">
        <v>450000</v>
      </c>
      <c r="E1404" s="4">
        <v>13</v>
      </c>
      <c r="F1404" s="4">
        <v>3</v>
      </c>
      <c r="G1404" s="4">
        <v>1.1000000000000001</v>
      </c>
      <c r="H1404" s="10">
        <v>1303</v>
      </c>
      <c r="I1404" s="11">
        <f t="shared" si="42"/>
        <v>345.35686876438984</v>
      </c>
      <c r="J1404" s="3" t="str">
        <f t="shared" si="43"/>
        <v>High</v>
      </c>
    </row>
    <row r="1405" spans="1:10">
      <c r="A1405" s="7" t="s">
        <v>1466</v>
      </c>
      <c r="B1405" s="7" t="s">
        <v>400</v>
      </c>
      <c r="C1405" s="7" t="s">
        <v>12</v>
      </c>
      <c r="D1405" s="22">
        <v>450000</v>
      </c>
      <c r="E1405" s="7">
        <v>5</v>
      </c>
      <c r="F1405" s="7">
        <v>4</v>
      </c>
      <c r="G1405" s="7">
        <v>2.1</v>
      </c>
      <c r="H1405" s="12">
        <v>2491</v>
      </c>
      <c r="I1405" s="9">
        <f t="shared" si="42"/>
        <v>180.65034122842232</v>
      </c>
      <c r="J1405" s="3" t="str">
        <f t="shared" si="43"/>
        <v>Low</v>
      </c>
    </row>
    <row r="1406" spans="1:10">
      <c r="A1406" s="4" t="s">
        <v>1467</v>
      </c>
      <c r="B1406" s="4" t="s">
        <v>268</v>
      </c>
      <c r="C1406" s="4" t="s">
        <v>12</v>
      </c>
      <c r="D1406" s="21">
        <v>450000</v>
      </c>
      <c r="E1406" s="4">
        <v>40</v>
      </c>
      <c r="F1406" s="4">
        <v>3</v>
      </c>
      <c r="G1406" s="4">
        <v>2</v>
      </c>
      <c r="H1406" s="10">
        <v>2219</v>
      </c>
      <c r="I1406" s="11">
        <f t="shared" si="42"/>
        <v>202.79405137449302</v>
      </c>
      <c r="J1406" s="3" t="str">
        <f t="shared" si="43"/>
        <v>Medium</v>
      </c>
    </row>
    <row r="1407" spans="1:10">
      <c r="A1407" s="7" t="s">
        <v>1468</v>
      </c>
      <c r="B1407" s="7" t="s">
        <v>888</v>
      </c>
      <c r="C1407" s="7" t="s">
        <v>12</v>
      </c>
      <c r="D1407" s="22">
        <v>450500</v>
      </c>
      <c r="E1407" s="7">
        <v>4</v>
      </c>
      <c r="F1407" s="7">
        <v>4</v>
      </c>
      <c r="G1407" s="7">
        <v>3</v>
      </c>
      <c r="H1407" s="12">
        <v>1709</v>
      </c>
      <c r="I1407" s="9">
        <f t="shared" si="42"/>
        <v>263.60444704505557</v>
      </c>
      <c r="J1407" s="3" t="str">
        <f t="shared" si="43"/>
        <v>Medium</v>
      </c>
    </row>
    <row r="1408" spans="1:10">
      <c r="A1408" s="4" t="s">
        <v>1469</v>
      </c>
      <c r="B1408" s="4" t="s">
        <v>70</v>
      </c>
      <c r="C1408" s="4" t="s">
        <v>12</v>
      </c>
      <c r="D1408" s="21">
        <v>452000</v>
      </c>
      <c r="E1408" s="4">
        <v>6</v>
      </c>
      <c r="F1408" s="4">
        <v>3</v>
      </c>
      <c r="G1408" s="4">
        <v>2.1</v>
      </c>
      <c r="H1408" s="10">
        <v>2417</v>
      </c>
      <c r="I1408" s="11">
        <f t="shared" si="42"/>
        <v>187.00868845676459</v>
      </c>
      <c r="J1408" s="3" t="str">
        <f t="shared" si="43"/>
        <v>Low</v>
      </c>
    </row>
    <row r="1409" spans="1:10">
      <c r="A1409" s="7" t="s">
        <v>1470</v>
      </c>
      <c r="B1409" s="7" t="s">
        <v>1139</v>
      </c>
      <c r="C1409" s="7" t="s">
        <v>12</v>
      </c>
      <c r="D1409" s="22">
        <v>452500</v>
      </c>
      <c r="E1409" s="7">
        <v>5</v>
      </c>
      <c r="F1409" s="7">
        <v>3</v>
      </c>
      <c r="G1409" s="7">
        <v>2</v>
      </c>
      <c r="H1409" s="12">
        <v>1769</v>
      </c>
      <c r="I1409" s="9">
        <f t="shared" si="42"/>
        <v>255.79423403052573</v>
      </c>
      <c r="J1409" s="3" t="str">
        <f t="shared" si="43"/>
        <v>Medium</v>
      </c>
    </row>
    <row r="1410" spans="1:10">
      <c r="A1410" s="4" t="s">
        <v>1471</v>
      </c>
      <c r="B1410" s="4" t="s">
        <v>29</v>
      </c>
      <c r="C1410" s="4" t="s">
        <v>12</v>
      </c>
      <c r="D1410" s="21">
        <v>453000</v>
      </c>
      <c r="E1410" s="4">
        <v>2</v>
      </c>
      <c r="F1410" s="4">
        <v>4</v>
      </c>
      <c r="G1410" s="4">
        <v>2</v>
      </c>
      <c r="H1410" s="10">
        <v>1504</v>
      </c>
      <c r="I1410" s="11">
        <f t="shared" ref="I1410:I1473" si="44">D1410/H1410</f>
        <v>301.19680851063828</v>
      </c>
      <c r="J1410" s="3" t="str">
        <f t="shared" ref="J1410:J1473" si="45">IF(I1410 &gt; 300, "High", IF(AND(I1410 &lt;= 300, I1410 &gt; 200), "Medium", "Low"))</f>
        <v>High</v>
      </c>
    </row>
    <row r="1411" spans="1:10">
      <c r="A1411" s="7" t="s">
        <v>1472</v>
      </c>
      <c r="B1411" s="7" t="s">
        <v>679</v>
      </c>
      <c r="C1411" s="7" t="s">
        <v>12</v>
      </c>
      <c r="D1411" s="22">
        <v>455000</v>
      </c>
      <c r="E1411" s="7">
        <v>2</v>
      </c>
      <c r="F1411" s="7">
        <v>3</v>
      </c>
      <c r="G1411" s="7">
        <v>2</v>
      </c>
      <c r="H1411" s="12">
        <v>1200</v>
      </c>
      <c r="I1411" s="9">
        <f t="shared" si="44"/>
        <v>379.16666666666669</v>
      </c>
      <c r="J1411" s="3" t="str">
        <f t="shared" si="45"/>
        <v>High</v>
      </c>
    </row>
    <row r="1412" spans="1:10">
      <c r="A1412" s="4" t="s">
        <v>1473</v>
      </c>
      <c r="B1412" s="4" t="s">
        <v>268</v>
      </c>
      <c r="C1412" s="4" t="s">
        <v>12</v>
      </c>
      <c r="D1412" s="21">
        <v>455000</v>
      </c>
      <c r="E1412" s="4">
        <v>7</v>
      </c>
      <c r="F1412" s="4">
        <v>3</v>
      </c>
      <c r="G1412" s="4">
        <v>2.1</v>
      </c>
      <c r="H1412" s="10">
        <v>2332</v>
      </c>
      <c r="I1412" s="11">
        <f t="shared" si="44"/>
        <v>195.11149228130361</v>
      </c>
      <c r="J1412" s="3" t="str">
        <f t="shared" si="45"/>
        <v>Low</v>
      </c>
    </row>
    <row r="1413" spans="1:10">
      <c r="A1413" s="7" t="s">
        <v>1474</v>
      </c>
      <c r="B1413" s="7" t="s">
        <v>1139</v>
      </c>
      <c r="C1413" s="7" t="s">
        <v>12</v>
      </c>
      <c r="D1413" s="22">
        <v>455000</v>
      </c>
      <c r="E1413" s="7">
        <v>1</v>
      </c>
      <c r="F1413" s="7">
        <v>3</v>
      </c>
      <c r="G1413" s="7">
        <v>2</v>
      </c>
      <c r="H1413" s="12">
        <v>1584</v>
      </c>
      <c r="I1413" s="9">
        <f t="shared" si="44"/>
        <v>287.24747474747477</v>
      </c>
      <c r="J1413" s="3" t="str">
        <f t="shared" si="45"/>
        <v>Medium</v>
      </c>
    </row>
    <row r="1414" spans="1:10">
      <c r="A1414" s="4" t="s">
        <v>1475</v>
      </c>
      <c r="B1414" s="4" t="s">
        <v>70</v>
      </c>
      <c r="C1414" s="4" t="s">
        <v>12</v>
      </c>
      <c r="D1414" s="21">
        <v>455000</v>
      </c>
      <c r="E1414" s="4">
        <v>83</v>
      </c>
      <c r="F1414" s="4">
        <v>4</v>
      </c>
      <c r="G1414" s="4">
        <v>3.1</v>
      </c>
      <c r="H1414" s="10">
        <v>2980</v>
      </c>
      <c r="I1414" s="11">
        <f t="shared" si="44"/>
        <v>152.68456375838926</v>
      </c>
      <c r="J1414" s="3" t="str">
        <f t="shared" si="45"/>
        <v>Low</v>
      </c>
    </row>
    <row r="1415" spans="1:10">
      <c r="A1415" s="7" t="s">
        <v>1476</v>
      </c>
      <c r="B1415" s="7" t="s">
        <v>155</v>
      </c>
      <c r="C1415" s="7" t="s">
        <v>12</v>
      </c>
      <c r="D1415" s="22">
        <v>456000</v>
      </c>
      <c r="E1415" s="7">
        <v>24</v>
      </c>
      <c r="F1415" s="7">
        <v>4</v>
      </c>
      <c r="G1415" s="7">
        <v>2</v>
      </c>
      <c r="H1415" s="12">
        <v>1644</v>
      </c>
      <c r="I1415" s="9">
        <f t="shared" si="44"/>
        <v>277.37226277372264</v>
      </c>
      <c r="J1415" s="3" t="str">
        <f t="shared" si="45"/>
        <v>Medium</v>
      </c>
    </row>
    <row r="1416" spans="1:10">
      <c r="A1416" s="4" t="s">
        <v>1477</v>
      </c>
      <c r="B1416" s="4" t="s">
        <v>131</v>
      </c>
      <c r="C1416" s="4" t="s">
        <v>12</v>
      </c>
      <c r="D1416" s="21">
        <v>457000</v>
      </c>
      <c r="E1416" s="4">
        <v>7</v>
      </c>
      <c r="F1416" s="4">
        <v>3</v>
      </c>
      <c r="G1416" s="4">
        <v>2</v>
      </c>
      <c r="H1416" s="10">
        <v>1188</v>
      </c>
      <c r="I1416" s="11">
        <f t="shared" si="44"/>
        <v>384.6801346801347</v>
      </c>
      <c r="J1416" s="3" t="str">
        <f t="shared" si="45"/>
        <v>High</v>
      </c>
    </row>
    <row r="1417" spans="1:10">
      <c r="A1417" s="7" t="s">
        <v>1478</v>
      </c>
      <c r="B1417" s="7" t="s">
        <v>131</v>
      </c>
      <c r="C1417" s="7" t="s">
        <v>12</v>
      </c>
      <c r="D1417" s="22">
        <v>457000</v>
      </c>
      <c r="E1417" s="7">
        <v>31</v>
      </c>
      <c r="F1417" s="7">
        <v>3</v>
      </c>
      <c r="G1417" s="7">
        <v>2.1</v>
      </c>
      <c r="H1417" s="12">
        <v>1756</v>
      </c>
      <c r="I1417" s="9">
        <f t="shared" si="44"/>
        <v>260.25056947608198</v>
      </c>
      <c r="J1417" s="3" t="str">
        <f t="shared" si="45"/>
        <v>Medium</v>
      </c>
    </row>
    <row r="1418" spans="1:10">
      <c r="A1418" s="4" t="s">
        <v>1479</v>
      </c>
      <c r="B1418" s="4" t="s">
        <v>80</v>
      </c>
      <c r="C1418" s="4" t="s">
        <v>12</v>
      </c>
      <c r="D1418" s="21">
        <v>458000</v>
      </c>
      <c r="E1418" s="4">
        <v>9</v>
      </c>
      <c r="F1418" s="4">
        <v>4</v>
      </c>
      <c r="G1418" s="4">
        <v>3.1</v>
      </c>
      <c r="H1418" s="10">
        <v>2232</v>
      </c>
      <c r="I1418" s="11">
        <f t="shared" si="44"/>
        <v>205.19713261648747</v>
      </c>
      <c r="J1418" s="3" t="str">
        <f t="shared" si="45"/>
        <v>Medium</v>
      </c>
    </row>
    <row r="1419" spans="1:10">
      <c r="A1419" s="7" t="s">
        <v>1480</v>
      </c>
      <c r="B1419" s="7" t="s">
        <v>728</v>
      </c>
      <c r="C1419" s="7" t="s">
        <v>12</v>
      </c>
      <c r="D1419" s="22">
        <v>458000</v>
      </c>
      <c r="E1419" s="7">
        <v>7</v>
      </c>
      <c r="F1419" s="7">
        <v>3</v>
      </c>
      <c r="G1419" s="7">
        <v>2</v>
      </c>
      <c r="H1419" s="12">
        <v>1746</v>
      </c>
      <c r="I1419" s="9">
        <f t="shared" si="44"/>
        <v>262.31386025200459</v>
      </c>
      <c r="J1419" s="3" t="str">
        <f t="shared" si="45"/>
        <v>Medium</v>
      </c>
    </row>
    <row r="1420" spans="1:10">
      <c r="A1420" s="4" t="s">
        <v>1481</v>
      </c>
      <c r="B1420" s="4" t="s">
        <v>131</v>
      </c>
      <c r="C1420" s="4" t="s">
        <v>12</v>
      </c>
      <c r="D1420" s="21">
        <v>459000</v>
      </c>
      <c r="E1420" s="4">
        <v>12</v>
      </c>
      <c r="F1420" s="4">
        <v>3</v>
      </c>
      <c r="G1420" s="4">
        <v>2</v>
      </c>
      <c r="H1420" s="10">
        <v>1343</v>
      </c>
      <c r="I1420" s="11">
        <f t="shared" si="44"/>
        <v>341.77215189873419</v>
      </c>
      <c r="J1420" s="3" t="str">
        <f t="shared" si="45"/>
        <v>High</v>
      </c>
    </row>
    <row r="1421" spans="1:10">
      <c r="A1421" s="7" t="s">
        <v>1482</v>
      </c>
      <c r="B1421" s="7" t="s">
        <v>18</v>
      </c>
      <c r="C1421" s="7" t="s">
        <v>12</v>
      </c>
      <c r="D1421" s="22">
        <v>460000</v>
      </c>
      <c r="E1421" s="7">
        <v>19</v>
      </c>
      <c r="F1421" s="7">
        <v>4</v>
      </c>
      <c r="G1421" s="7">
        <v>2.1</v>
      </c>
      <c r="H1421" s="12">
        <v>1862</v>
      </c>
      <c r="I1421" s="9">
        <f t="shared" si="44"/>
        <v>247.04618689581096</v>
      </c>
      <c r="J1421" s="3" t="str">
        <f t="shared" si="45"/>
        <v>Medium</v>
      </c>
    </row>
    <row r="1422" spans="1:10">
      <c r="A1422" s="4" t="s">
        <v>1483</v>
      </c>
      <c r="B1422" s="4" t="s">
        <v>553</v>
      </c>
      <c r="C1422" s="4" t="s">
        <v>12</v>
      </c>
      <c r="D1422" s="21">
        <v>460000</v>
      </c>
      <c r="E1422" s="4">
        <v>3</v>
      </c>
      <c r="F1422" s="4">
        <v>4</v>
      </c>
      <c r="G1422" s="4">
        <v>2.1</v>
      </c>
      <c r="H1422" s="10">
        <v>2189</v>
      </c>
      <c r="I1422" s="11">
        <f t="shared" si="44"/>
        <v>210.14161717679306</v>
      </c>
      <c r="J1422" s="3" t="str">
        <f t="shared" si="45"/>
        <v>Medium</v>
      </c>
    </row>
    <row r="1423" spans="1:10">
      <c r="A1423" s="7" t="s">
        <v>1484</v>
      </c>
      <c r="B1423" s="7" t="s">
        <v>400</v>
      </c>
      <c r="C1423" s="7" t="s">
        <v>12</v>
      </c>
      <c r="D1423" s="22">
        <v>460000</v>
      </c>
      <c r="E1423" s="7">
        <v>3</v>
      </c>
      <c r="F1423" s="7">
        <v>3</v>
      </c>
      <c r="G1423" s="7">
        <v>3.1</v>
      </c>
      <c r="H1423" s="12">
        <v>1738</v>
      </c>
      <c r="I1423" s="9">
        <f t="shared" si="44"/>
        <v>264.67203682393557</v>
      </c>
      <c r="J1423" s="3" t="str">
        <f t="shared" si="45"/>
        <v>Medium</v>
      </c>
    </row>
    <row r="1424" spans="1:10">
      <c r="A1424" s="4" t="s">
        <v>1485</v>
      </c>
      <c r="B1424" s="4" t="s">
        <v>1366</v>
      </c>
      <c r="C1424" s="4" t="s">
        <v>12</v>
      </c>
      <c r="D1424" s="21">
        <v>460000</v>
      </c>
      <c r="E1424" s="4">
        <v>33</v>
      </c>
      <c r="F1424" s="4">
        <v>3</v>
      </c>
      <c r="G1424" s="4">
        <v>2.1</v>
      </c>
      <c r="H1424" s="10">
        <v>2219</v>
      </c>
      <c r="I1424" s="11">
        <f t="shared" si="44"/>
        <v>207.30058584948173</v>
      </c>
      <c r="J1424" s="3" t="str">
        <f t="shared" si="45"/>
        <v>Medium</v>
      </c>
    </row>
    <row r="1425" spans="1:10">
      <c r="A1425" s="7" t="s">
        <v>1486</v>
      </c>
      <c r="B1425" s="7" t="s">
        <v>1139</v>
      </c>
      <c r="C1425" s="7" t="s">
        <v>12</v>
      </c>
      <c r="D1425" s="22">
        <v>460000</v>
      </c>
      <c r="E1425" s="7">
        <v>73</v>
      </c>
      <c r="F1425" s="7">
        <v>3</v>
      </c>
      <c r="G1425" s="7">
        <v>1.1000000000000001</v>
      </c>
      <c r="H1425" s="12">
        <v>1684</v>
      </c>
      <c r="I1425" s="9">
        <f t="shared" si="44"/>
        <v>273.15914489311166</v>
      </c>
      <c r="J1425" s="3" t="str">
        <f t="shared" si="45"/>
        <v>Medium</v>
      </c>
    </row>
    <row r="1426" spans="1:10">
      <c r="A1426" s="4" t="s">
        <v>1487</v>
      </c>
      <c r="B1426" s="4" t="s">
        <v>54</v>
      </c>
      <c r="C1426" s="4" t="s">
        <v>12</v>
      </c>
      <c r="D1426" s="21">
        <v>460000</v>
      </c>
      <c r="E1426" s="4">
        <v>59</v>
      </c>
      <c r="F1426" s="4">
        <v>4</v>
      </c>
      <c r="G1426" s="4">
        <v>3.1</v>
      </c>
      <c r="H1426" s="10">
        <v>2813</v>
      </c>
      <c r="I1426" s="11">
        <f t="shared" si="44"/>
        <v>163.52648418059013</v>
      </c>
      <c r="J1426" s="3" t="str">
        <f t="shared" si="45"/>
        <v>Low</v>
      </c>
    </row>
    <row r="1427" spans="1:10">
      <c r="A1427" s="7" t="s">
        <v>1488</v>
      </c>
      <c r="B1427" s="7" t="s">
        <v>331</v>
      </c>
      <c r="C1427" s="7" t="s">
        <v>12</v>
      </c>
      <c r="D1427" s="22">
        <v>460000</v>
      </c>
      <c r="E1427" s="7">
        <v>115</v>
      </c>
      <c r="F1427" s="7">
        <v>3</v>
      </c>
      <c r="G1427" s="7">
        <v>2.1</v>
      </c>
      <c r="H1427" s="12">
        <v>3586</v>
      </c>
      <c r="I1427" s="9">
        <f t="shared" si="44"/>
        <v>128.276631344116</v>
      </c>
      <c r="J1427" s="3" t="str">
        <f t="shared" si="45"/>
        <v>Low</v>
      </c>
    </row>
    <row r="1428" spans="1:10">
      <c r="A1428" s="4" t="s">
        <v>1489</v>
      </c>
      <c r="B1428" s="4" t="s">
        <v>212</v>
      </c>
      <c r="C1428" s="4" t="s">
        <v>12</v>
      </c>
      <c r="D1428" s="21">
        <v>460000</v>
      </c>
      <c r="E1428" s="4">
        <v>119</v>
      </c>
      <c r="F1428" s="4">
        <v>4</v>
      </c>
      <c r="G1428" s="4">
        <v>2.2000000000000002</v>
      </c>
      <c r="H1428" s="10">
        <v>2645</v>
      </c>
      <c r="I1428" s="11">
        <f t="shared" si="44"/>
        <v>173.91304347826087</v>
      </c>
      <c r="J1428" s="3" t="str">
        <f t="shared" si="45"/>
        <v>Low</v>
      </c>
    </row>
    <row r="1429" spans="1:10">
      <c r="A1429" s="7" t="s">
        <v>1490</v>
      </c>
      <c r="B1429" s="7" t="s">
        <v>70</v>
      </c>
      <c r="C1429" s="7" t="s">
        <v>12</v>
      </c>
      <c r="D1429" s="22">
        <v>460500</v>
      </c>
      <c r="E1429" s="7">
        <v>100</v>
      </c>
      <c r="F1429" s="7">
        <v>5</v>
      </c>
      <c r="G1429" s="7">
        <v>4</v>
      </c>
      <c r="H1429" s="12">
        <v>3470</v>
      </c>
      <c r="I1429" s="9">
        <f t="shared" si="44"/>
        <v>132.70893371757924</v>
      </c>
      <c r="J1429" s="3" t="str">
        <f t="shared" si="45"/>
        <v>Low</v>
      </c>
    </row>
    <row r="1430" spans="1:10">
      <c r="A1430" s="4" t="s">
        <v>1491</v>
      </c>
      <c r="B1430" s="4" t="s">
        <v>474</v>
      </c>
      <c r="C1430" s="4" t="s">
        <v>12</v>
      </c>
      <c r="D1430" s="21">
        <v>461000</v>
      </c>
      <c r="E1430" s="4">
        <v>2</v>
      </c>
      <c r="F1430" s="4">
        <v>3</v>
      </c>
      <c r="G1430" s="4">
        <v>2.1</v>
      </c>
      <c r="H1430" s="10">
        <v>1796</v>
      </c>
      <c r="I1430" s="11">
        <f t="shared" si="44"/>
        <v>256.68151447661472</v>
      </c>
      <c r="J1430" s="3" t="str">
        <f t="shared" si="45"/>
        <v>Medium</v>
      </c>
    </row>
    <row r="1431" spans="1:10">
      <c r="A1431" s="7" t="s">
        <v>1492</v>
      </c>
      <c r="B1431" s="7" t="s">
        <v>54</v>
      </c>
      <c r="C1431" s="7" t="s">
        <v>12</v>
      </c>
      <c r="D1431" s="22">
        <v>462000</v>
      </c>
      <c r="E1431" s="7">
        <v>18</v>
      </c>
      <c r="F1431" s="7">
        <v>7</v>
      </c>
      <c r="G1431" s="7">
        <v>3.1</v>
      </c>
      <c r="H1431" s="12">
        <v>2225</v>
      </c>
      <c r="I1431" s="9">
        <f t="shared" si="44"/>
        <v>207.64044943820224</v>
      </c>
      <c r="J1431" s="3" t="str">
        <f t="shared" si="45"/>
        <v>Medium</v>
      </c>
    </row>
    <row r="1432" spans="1:10">
      <c r="A1432" s="4" t="s">
        <v>1493</v>
      </c>
      <c r="B1432" s="4" t="s">
        <v>70</v>
      </c>
      <c r="C1432" s="4" t="s">
        <v>12</v>
      </c>
      <c r="D1432" s="21">
        <v>462000</v>
      </c>
      <c r="E1432" s="4">
        <v>4</v>
      </c>
      <c r="F1432" s="4">
        <v>4</v>
      </c>
      <c r="G1432" s="4">
        <v>2.1</v>
      </c>
      <c r="H1432" s="10">
        <v>2764</v>
      </c>
      <c r="I1432" s="11">
        <f t="shared" si="44"/>
        <v>167.14905933429813</v>
      </c>
      <c r="J1432" s="3" t="str">
        <f t="shared" si="45"/>
        <v>Low</v>
      </c>
    </row>
    <row r="1433" spans="1:10">
      <c r="A1433" s="7" t="s">
        <v>1494</v>
      </c>
      <c r="B1433" s="7" t="s">
        <v>823</v>
      </c>
      <c r="C1433" s="7" t="s">
        <v>12</v>
      </c>
      <c r="D1433" s="22">
        <v>462500</v>
      </c>
      <c r="E1433" s="7">
        <v>11</v>
      </c>
      <c r="F1433" s="7">
        <v>3</v>
      </c>
      <c r="G1433" s="7">
        <v>2</v>
      </c>
      <c r="H1433" s="12">
        <v>1807</v>
      </c>
      <c r="I1433" s="9">
        <f t="shared" si="44"/>
        <v>255.94908688433867</v>
      </c>
      <c r="J1433" s="3" t="str">
        <f t="shared" si="45"/>
        <v>Medium</v>
      </c>
    </row>
    <row r="1434" spans="1:10">
      <c r="A1434" s="4" t="s">
        <v>1495</v>
      </c>
      <c r="B1434" s="4" t="s">
        <v>80</v>
      </c>
      <c r="C1434" s="4" t="s">
        <v>12</v>
      </c>
      <c r="D1434" s="21">
        <v>463500</v>
      </c>
      <c r="E1434" s="4">
        <v>115</v>
      </c>
      <c r="F1434" s="4">
        <v>3</v>
      </c>
      <c r="G1434" s="4">
        <v>3.1</v>
      </c>
      <c r="H1434" s="10">
        <v>2186</v>
      </c>
      <c r="I1434" s="11">
        <f t="shared" si="44"/>
        <v>212.03110704483075</v>
      </c>
      <c r="J1434" s="3" t="str">
        <f t="shared" si="45"/>
        <v>Medium</v>
      </c>
    </row>
    <row r="1435" spans="1:10">
      <c r="A1435" s="7" t="s">
        <v>1496</v>
      </c>
      <c r="B1435" s="7" t="s">
        <v>331</v>
      </c>
      <c r="C1435" s="7" t="s">
        <v>12</v>
      </c>
      <c r="D1435" s="22">
        <v>465000</v>
      </c>
      <c r="E1435" s="7">
        <v>7</v>
      </c>
      <c r="F1435" s="7">
        <v>4</v>
      </c>
      <c r="G1435" s="7">
        <v>3.1</v>
      </c>
      <c r="H1435" s="12">
        <v>2161</v>
      </c>
      <c r="I1435" s="9">
        <f t="shared" si="44"/>
        <v>215.17815826006478</v>
      </c>
      <c r="J1435" s="3" t="str">
        <f t="shared" si="45"/>
        <v>Medium</v>
      </c>
    </row>
    <row r="1436" spans="1:10">
      <c r="A1436" s="4" t="s">
        <v>1497</v>
      </c>
      <c r="B1436" s="4" t="s">
        <v>400</v>
      </c>
      <c r="C1436" s="4" t="s">
        <v>12</v>
      </c>
      <c r="D1436" s="21">
        <v>465000</v>
      </c>
      <c r="E1436" s="4">
        <v>8</v>
      </c>
      <c r="F1436" s="4">
        <v>3</v>
      </c>
      <c r="G1436" s="4">
        <v>2.1</v>
      </c>
      <c r="H1436" s="10">
        <v>2321</v>
      </c>
      <c r="I1436" s="11">
        <f t="shared" si="44"/>
        <v>200.34467901766479</v>
      </c>
      <c r="J1436" s="3" t="str">
        <f t="shared" si="45"/>
        <v>Medium</v>
      </c>
    </row>
    <row r="1437" spans="1:10">
      <c r="A1437" s="7" t="s">
        <v>1498</v>
      </c>
      <c r="B1437" s="7" t="s">
        <v>817</v>
      </c>
      <c r="C1437" s="7" t="s">
        <v>12</v>
      </c>
      <c r="D1437" s="22">
        <v>465000</v>
      </c>
      <c r="E1437" s="7">
        <v>73</v>
      </c>
      <c r="F1437" s="7">
        <v>3</v>
      </c>
      <c r="G1437" s="7">
        <v>1.1000000000000001</v>
      </c>
      <c r="H1437" s="12">
        <v>1600</v>
      </c>
      <c r="I1437" s="9">
        <f t="shared" si="44"/>
        <v>290.625</v>
      </c>
      <c r="J1437" s="3" t="str">
        <f t="shared" si="45"/>
        <v>Medium</v>
      </c>
    </row>
    <row r="1438" spans="1:10">
      <c r="A1438" s="4" t="s">
        <v>1499</v>
      </c>
      <c r="B1438" s="4" t="s">
        <v>268</v>
      </c>
      <c r="C1438" s="4" t="s">
        <v>12</v>
      </c>
      <c r="D1438" s="21">
        <v>465000</v>
      </c>
      <c r="E1438" s="4">
        <v>24</v>
      </c>
      <c r="F1438" s="4">
        <v>3</v>
      </c>
      <c r="G1438" s="4">
        <v>3.2</v>
      </c>
      <c r="H1438" s="10">
        <v>1700</v>
      </c>
      <c r="I1438" s="11">
        <f t="shared" si="44"/>
        <v>273.52941176470586</v>
      </c>
      <c r="J1438" s="3" t="str">
        <f t="shared" si="45"/>
        <v>Medium</v>
      </c>
    </row>
    <row r="1439" spans="1:10">
      <c r="A1439" s="7" t="s">
        <v>1500</v>
      </c>
      <c r="B1439" s="7" t="s">
        <v>282</v>
      </c>
      <c r="C1439" s="7" t="s">
        <v>12</v>
      </c>
      <c r="D1439" s="22">
        <v>465000</v>
      </c>
      <c r="E1439" s="7">
        <v>36</v>
      </c>
      <c r="F1439" s="7">
        <v>4</v>
      </c>
      <c r="G1439" s="7">
        <v>2</v>
      </c>
      <c r="H1439" s="12">
        <v>1656</v>
      </c>
      <c r="I1439" s="9">
        <f t="shared" si="44"/>
        <v>280.79710144927537</v>
      </c>
      <c r="J1439" s="3" t="str">
        <f t="shared" si="45"/>
        <v>Medium</v>
      </c>
    </row>
    <row r="1440" spans="1:10">
      <c r="A1440" s="4" t="s">
        <v>1501</v>
      </c>
      <c r="B1440" s="4" t="s">
        <v>268</v>
      </c>
      <c r="C1440" s="4" t="s">
        <v>12</v>
      </c>
      <c r="D1440" s="21">
        <v>465000</v>
      </c>
      <c r="E1440" s="4">
        <v>30</v>
      </c>
      <c r="F1440" s="4">
        <v>4</v>
      </c>
      <c r="G1440" s="4">
        <v>2.1</v>
      </c>
      <c r="H1440" s="10">
        <v>2657</v>
      </c>
      <c r="I1440" s="11">
        <f t="shared" si="44"/>
        <v>175.00940910801657</v>
      </c>
      <c r="J1440" s="3" t="str">
        <f t="shared" si="45"/>
        <v>Low</v>
      </c>
    </row>
    <row r="1441" spans="1:10">
      <c r="A1441" s="7" t="s">
        <v>1502</v>
      </c>
      <c r="B1441" s="7" t="s">
        <v>25</v>
      </c>
      <c r="C1441" s="7" t="s">
        <v>12</v>
      </c>
      <c r="D1441" s="22">
        <v>466000</v>
      </c>
      <c r="E1441" s="7">
        <v>7</v>
      </c>
      <c r="F1441" s="7">
        <v>4</v>
      </c>
      <c r="G1441" s="7">
        <v>2.1</v>
      </c>
      <c r="H1441" s="12">
        <v>2050</v>
      </c>
      <c r="I1441" s="9">
        <f t="shared" si="44"/>
        <v>227.3170731707317</v>
      </c>
      <c r="J1441" s="3" t="str">
        <f t="shared" si="45"/>
        <v>Medium</v>
      </c>
    </row>
    <row r="1442" spans="1:10">
      <c r="A1442" s="4" t="s">
        <v>1503</v>
      </c>
      <c r="B1442" s="4" t="s">
        <v>70</v>
      </c>
      <c r="C1442" s="4" t="s">
        <v>12</v>
      </c>
      <c r="D1442" s="21">
        <v>466500</v>
      </c>
      <c r="E1442" s="4">
        <v>12</v>
      </c>
      <c r="F1442" s="4">
        <v>3</v>
      </c>
      <c r="G1442" s="4">
        <v>2.2000000000000002</v>
      </c>
      <c r="H1442" s="10">
        <v>2156</v>
      </c>
      <c r="I1442" s="11">
        <f t="shared" si="44"/>
        <v>216.37291280148423</v>
      </c>
      <c r="J1442" s="3" t="str">
        <f t="shared" si="45"/>
        <v>Medium</v>
      </c>
    </row>
    <row r="1443" spans="1:10">
      <c r="A1443" s="7" t="s">
        <v>1504</v>
      </c>
      <c r="B1443" s="7" t="s">
        <v>18</v>
      </c>
      <c r="C1443" s="7" t="s">
        <v>12</v>
      </c>
      <c r="D1443" s="22">
        <v>467000</v>
      </c>
      <c r="E1443" s="7">
        <v>19</v>
      </c>
      <c r="F1443" s="7">
        <v>3</v>
      </c>
      <c r="G1443" s="7">
        <v>2.1</v>
      </c>
      <c r="H1443" s="12">
        <v>1918</v>
      </c>
      <c r="I1443" s="9">
        <f t="shared" si="44"/>
        <v>243.4827945776851</v>
      </c>
      <c r="J1443" s="3" t="str">
        <f t="shared" si="45"/>
        <v>Medium</v>
      </c>
    </row>
    <row r="1444" spans="1:10">
      <c r="A1444" s="4" t="s">
        <v>1505</v>
      </c>
      <c r="B1444" s="4" t="s">
        <v>18</v>
      </c>
      <c r="C1444" s="4" t="s">
        <v>12</v>
      </c>
      <c r="D1444" s="21">
        <v>467000</v>
      </c>
      <c r="E1444" s="4">
        <v>13</v>
      </c>
      <c r="F1444" s="4">
        <v>3</v>
      </c>
      <c r="G1444" s="4">
        <v>2.1</v>
      </c>
      <c r="H1444" s="10">
        <v>1964</v>
      </c>
      <c r="I1444" s="11">
        <f t="shared" si="44"/>
        <v>237.78004073319755</v>
      </c>
      <c r="J1444" s="3" t="str">
        <f t="shared" si="45"/>
        <v>Medium</v>
      </c>
    </row>
    <row r="1445" spans="1:10">
      <c r="A1445" s="7" t="s">
        <v>1506</v>
      </c>
      <c r="B1445" s="7" t="s">
        <v>16</v>
      </c>
      <c r="C1445" s="7" t="s">
        <v>12</v>
      </c>
      <c r="D1445" s="22">
        <v>467000</v>
      </c>
      <c r="E1445" s="7">
        <v>194</v>
      </c>
      <c r="F1445" s="7">
        <v>3</v>
      </c>
      <c r="G1445" s="7">
        <v>2.1</v>
      </c>
      <c r="H1445" s="12">
        <v>2508</v>
      </c>
      <c r="I1445" s="9">
        <f t="shared" si="44"/>
        <v>186.20414673046253</v>
      </c>
      <c r="J1445" s="3" t="str">
        <f t="shared" si="45"/>
        <v>Low</v>
      </c>
    </row>
    <row r="1446" spans="1:10">
      <c r="A1446" s="4" t="s">
        <v>1507</v>
      </c>
      <c r="B1446" s="4" t="s">
        <v>728</v>
      </c>
      <c r="C1446" s="4" t="s">
        <v>12</v>
      </c>
      <c r="D1446" s="21">
        <v>467500</v>
      </c>
      <c r="E1446" s="4">
        <v>5</v>
      </c>
      <c r="F1446" s="4">
        <v>3</v>
      </c>
      <c r="G1446" s="4">
        <v>2.1</v>
      </c>
      <c r="H1446" s="10">
        <v>1969</v>
      </c>
      <c r="I1446" s="11">
        <f t="shared" si="44"/>
        <v>237.43016759776538</v>
      </c>
      <c r="J1446" s="3" t="str">
        <f t="shared" si="45"/>
        <v>Medium</v>
      </c>
    </row>
    <row r="1447" spans="1:10">
      <c r="A1447" s="7" t="s">
        <v>1508</v>
      </c>
      <c r="B1447" s="7" t="s">
        <v>77</v>
      </c>
      <c r="C1447" s="7" t="s">
        <v>12</v>
      </c>
      <c r="D1447" s="22">
        <v>468000</v>
      </c>
      <c r="E1447" s="7">
        <v>26</v>
      </c>
      <c r="F1447" s="7">
        <v>4</v>
      </c>
      <c r="G1447" s="7">
        <v>2.1</v>
      </c>
      <c r="H1447" s="12">
        <v>2500</v>
      </c>
      <c r="I1447" s="9">
        <f t="shared" si="44"/>
        <v>187.2</v>
      </c>
      <c r="J1447" s="3" t="str">
        <f t="shared" si="45"/>
        <v>Low</v>
      </c>
    </row>
    <row r="1448" spans="1:10">
      <c r="A1448" s="4" t="s">
        <v>1509</v>
      </c>
      <c r="B1448" s="4" t="s">
        <v>268</v>
      </c>
      <c r="C1448" s="4" t="s">
        <v>12</v>
      </c>
      <c r="D1448" s="21">
        <v>468000</v>
      </c>
      <c r="E1448" s="4">
        <v>74</v>
      </c>
      <c r="F1448" s="4">
        <v>4</v>
      </c>
      <c r="G1448" s="4">
        <v>2.1</v>
      </c>
      <c r="H1448" s="10">
        <v>2513</v>
      </c>
      <c r="I1448" s="11">
        <f t="shared" si="44"/>
        <v>186.23159570234779</v>
      </c>
      <c r="J1448" s="3" t="str">
        <f t="shared" si="45"/>
        <v>Low</v>
      </c>
    </row>
    <row r="1449" spans="1:10">
      <c r="A1449" s="7" t="s">
        <v>1510</v>
      </c>
      <c r="B1449" s="7" t="s">
        <v>56</v>
      </c>
      <c r="C1449" s="7" t="s">
        <v>12</v>
      </c>
      <c r="D1449" s="22">
        <v>468000</v>
      </c>
      <c r="E1449" s="7">
        <v>55</v>
      </c>
      <c r="F1449" s="7">
        <v>4</v>
      </c>
      <c r="G1449" s="7">
        <v>2.1</v>
      </c>
      <c r="H1449" s="12">
        <v>2589</v>
      </c>
      <c r="I1449" s="9">
        <f t="shared" si="44"/>
        <v>180.76477404403244</v>
      </c>
      <c r="J1449" s="3" t="str">
        <f t="shared" si="45"/>
        <v>Low</v>
      </c>
    </row>
    <row r="1450" spans="1:10">
      <c r="A1450" s="4" t="s">
        <v>1511</v>
      </c>
      <c r="B1450" s="4" t="s">
        <v>1425</v>
      </c>
      <c r="C1450" s="4" t="s">
        <v>12</v>
      </c>
      <c r="D1450" s="21">
        <v>468500</v>
      </c>
      <c r="E1450" s="4">
        <v>0</v>
      </c>
      <c r="F1450" s="4">
        <v>2</v>
      </c>
      <c r="G1450" s="4">
        <v>1.1000000000000001</v>
      </c>
      <c r="H1450" s="10">
        <v>2094</v>
      </c>
      <c r="I1450" s="11">
        <f t="shared" si="44"/>
        <v>223.73447946513849</v>
      </c>
      <c r="J1450" s="3" t="str">
        <f t="shared" si="45"/>
        <v>Medium</v>
      </c>
    </row>
    <row r="1451" spans="1:10">
      <c r="A1451" s="7" t="s">
        <v>1512</v>
      </c>
      <c r="B1451" s="7" t="s">
        <v>18</v>
      </c>
      <c r="C1451" s="7" t="s">
        <v>12</v>
      </c>
      <c r="D1451" s="22">
        <v>469000</v>
      </c>
      <c r="E1451" s="7">
        <v>34</v>
      </c>
      <c r="F1451" s="7">
        <v>4</v>
      </c>
      <c r="G1451" s="7">
        <v>3.1</v>
      </c>
      <c r="H1451" s="12">
        <v>2469</v>
      </c>
      <c r="I1451" s="9">
        <f t="shared" si="44"/>
        <v>189.95544754961523</v>
      </c>
      <c r="J1451" s="3" t="str">
        <f t="shared" si="45"/>
        <v>Low</v>
      </c>
    </row>
    <row r="1452" spans="1:10">
      <c r="A1452" s="4" t="s">
        <v>1513</v>
      </c>
      <c r="B1452" s="4" t="s">
        <v>70</v>
      </c>
      <c r="C1452" s="4" t="s">
        <v>12</v>
      </c>
      <c r="D1452" s="21">
        <v>469000</v>
      </c>
      <c r="E1452" s="4">
        <v>50</v>
      </c>
      <c r="F1452" s="4">
        <v>3</v>
      </c>
      <c r="G1452" s="4">
        <v>3.1</v>
      </c>
      <c r="H1452" s="10">
        <v>3222</v>
      </c>
      <c r="I1452" s="11">
        <f t="shared" si="44"/>
        <v>145.56176288019864</v>
      </c>
      <c r="J1452" s="3" t="str">
        <f t="shared" si="45"/>
        <v>Low</v>
      </c>
    </row>
    <row r="1453" spans="1:10">
      <c r="A1453" s="7" t="s">
        <v>1514</v>
      </c>
      <c r="B1453" s="7" t="s">
        <v>56</v>
      </c>
      <c r="C1453" s="7" t="s">
        <v>12</v>
      </c>
      <c r="D1453" s="22">
        <v>469125</v>
      </c>
      <c r="E1453" s="7">
        <v>1</v>
      </c>
      <c r="F1453" s="7">
        <v>3</v>
      </c>
      <c r="G1453" s="7">
        <v>2</v>
      </c>
      <c r="H1453" s="12">
        <v>1711</v>
      </c>
      <c r="I1453" s="9">
        <f t="shared" si="44"/>
        <v>274.18176504967857</v>
      </c>
      <c r="J1453" s="3" t="str">
        <f t="shared" si="45"/>
        <v>Medium</v>
      </c>
    </row>
    <row r="1454" spans="1:10">
      <c r="A1454" s="4" t="s">
        <v>1515</v>
      </c>
      <c r="B1454" s="4" t="s">
        <v>54</v>
      </c>
      <c r="C1454" s="4" t="s">
        <v>12</v>
      </c>
      <c r="D1454" s="21">
        <v>469900</v>
      </c>
      <c r="E1454" s="4">
        <v>312</v>
      </c>
      <c r="F1454" s="4">
        <v>4</v>
      </c>
      <c r="G1454" s="4">
        <v>2.1</v>
      </c>
      <c r="H1454" s="10">
        <v>2385</v>
      </c>
      <c r="I1454" s="11">
        <f t="shared" si="44"/>
        <v>197.02306079664569</v>
      </c>
      <c r="J1454" s="3" t="str">
        <f t="shared" si="45"/>
        <v>Low</v>
      </c>
    </row>
    <row r="1455" spans="1:10">
      <c r="A1455" s="7" t="s">
        <v>1516</v>
      </c>
      <c r="B1455" s="7" t="s">
        <v>56</v>
      </c>
      <c r="C1455" s="7" t="s">
        <v>12</v>
      </c>
      <c r="D1455" s="22">
        <v>469900</v>
      </c>
      <c r="E1455" s="7">
        <v>93</v>
      </c>
      <c r="F1455" s="7">
        <v>3</v>
      </c>
      <c r="G1455" s="7">
        <v>2.1</v>
      </c>
      <c r="H1455" s="12">
        <v>1882</v>
      </c>
      <c r="I1455" s="9">
        <f t="shared" si="44"/>
        <v>249.68119022316685</v>
      </c>
      <c r="J1455" s="3" t="str">
        <f t="shared" si="45"/>
        <v>Medium</v>
      </c>
    </row>
    <row r="1456" spans="1:10">
      <c r="A1456" s="4" t="s">
        <v>1517</v>
      </c>
      <c r="B1456" s="4" t="s">
        <v>18</v>
      </c>
      <c r="C1456" s="4" t="s">
        <v>12</v>
      </c>
      <c r="D1456" s="21">
        <v>470000</v>
      </c>
      <c r="E1456" s="4">
        <v>2</v>
      </c>
      <c r="F1456" s="4">
        <v>3</v>
      </c>
      <c r="G1456" s="4">
        <v>2.1</v>
      </c>
      <c r="H1456" s="10">
        <v>2131</v>
      </c>
      <c r="I1456" s="11">
        <f t="shared" si="44"/>
        <v>220.55373064289066</v>
      </c>
      <c r="J1456" s="3" t="str">
        <f t="shared" si="45"/>
        <v>Medium</v>
      </c>
    </row>
    <row r="1457" spans="1:10">
      <c r="A1457" s="7" t="s">
        <v>1518</v>
      </c>
      <c r="B1457" s="7" t="s">
        <v>960</v>
      </c>
      <c r="C1457" s="7" t="s">
        <v>12</v>
      </c>
      <c r="D1457" s="22">
        <v>470000</v>
      </c>
      <c r="E1457" s="7">
        <v>11</v>
      </c>
      <c r="F1457" s="7">
        <v>4</v>
      </c>
      <c r="G1457" s="7">
        <v>3.2</v>
      </c>
      <c r="H1457" s="12">
        <v>2704</v>
      </c>
      <c r="I1457" s="9">
        <f t="shared" si="44"/>
        <v>173.81656804733728</v>
      </c>
      <c r="J1457" s="3" t="str">
        <f t="shared" si="45"/>
        <v>Low</v>
      </c>
    </row>
    <row r="1458" spans="1:10">
      <c r="A1458" s="4" t="s">
        <v>1519</v>
      </c>
      <c r="B1458" s="4" t="s">
        <v>268</v>
      </c>
      <c r="C1458" s="4" t="s">
        <v>12</v>
      </c>
      <c r="D1458" s="21">
        <v>470000</v>
      </c>
      <c r="E1458" s="4">
        <v>56</v>
      </c>
      <c r="F1458" s="4">
        <v>4</v>
      </c>
      <c r="G1458" s="4">
        <v>2.1</v>
      </c>
      <c r="H1458" s="10">
        <v>2650</v>
      </c>
      <c r="I1458" s="11">
        <f t="shared" si="44"/>
        <v>177.35849056603774</v>
      </c>
      <c r="J1458" s="3" t="str">
        <f t="shared" si="45"/>
        <v>Low</v>
      </c>
    </row>
    <row r="1459" spans="1:10">
      <c r="A1459" s="7" t="s">
        <v>1520</v>
      </c>
      <c r="B1459" s="7" t="s">
        <v>18</v>
      </c>
      <c r="C1459" s="7" t="s">
        <v>12</v>
      </c>
      <c r="D1459" s="22">
        <v>470000</v>
      </c>
      <c r="E1459" s="7">
        <v>38</v>
      </c>
      <c r="F1459" s="7">
        <v>5</v>
      </c>
      <c r="G1459" s="7">
        <v>3.1</v>
      </c>
      <c r="H1459" s="12">
        <v>3256</v>
      </c>
      <c r="I1459" s="9">
        <f t="shared" si="44"/>
        <v>144.34889434889436</v>
      </c>
      <c r="J1459" s="3" t="str">
        <f t="shared" si="45"/>
        <v>Low</v>
      </c>
    </row>
    <row r="1460" spans="1:10">
      <c r="A1460" s="4" t="s">
        <v>1521</v>
      </c>
      <c r="B1460" s="4" t="s">
        <v>1051</v>
      </c>
      <c r="C1460" s="4" t="s">
        <v>12</v>
      </c>
      <c r="D1460" s="21">
        <v>470000</v>
      </c>
      <c r="E1460" s="4">
        <v>132</v>
      </c>
      <c r="F1460" s="4">
        <v>3</v>
      </c>
      <c r="G1460" s="4">
        <v>2</v>
      </c>
      <c r="H1460" s="10">
        <v>2396</v>
      </c>
      <c r="I1460" s="11">
        <f t="shared" si="44"/>
        <v>196.1602671118531</v>
      </c>
      <c r="J1460" s="3" t="str">
        <f t="shared" si="45"/>
        <v>Low</v>
      </c>
    </row>
    <row r="1461" spans="1:10">
      <c r="A1461" s="7" t="s">
        <v>1522</v>
      </c>
      <c r="B1461" s="7" t="s">
        <v>131</v>
      </c>
      <c r="C1461" s="7" t="s">
        <v>12</v>
      </c>
      <c r="D1461" s="22">
        <v>470500</v>
      </c>
      <c r="E1461" s="7">
        <v>35</v>
      </c>
      <c r="F1461" s="7">
        <v>3</v>
      </c>
      <c r="G1461" s="7">
        <v>1.1000000000000001</v>
      </c>
      <c r="H1461" s="12">
        <v>1695</v>
      </c>
      <c r="I1461" s="9">
        <f t="shared" si="44"/>
        <v>277.58112094395278</v>
      </c>
      <c r="J1461" s="3" t="str">
        <f t="shared" si="45"/>
        <v>Medium</v>
      </c>
    </row>
    <row r="1462" spans="1:10">
      <c r="A1462" s="4" t="s">
        <v>1523</v>
      </c>
      <c r="B1462" s="4" t="s">
        <v>823</v>
      </c>
      <c r="C1462" s="4" t="s">
        <v>12</v>
      </c>
      <c r="D1462" s="21">
        <v>471791</v>
      </c>
      <c r="E1462" s="4">
        <v>143</v>
      </c>
      <c r="F1462" s="4">
        <v>4</v>
      </c>
      <c r="G1462" s="4">
        <v>2.1</v>
      </c>
      <c r="H1462" s="10">
        <v>2501</v>
      </c>
      <c r="I1462" s="11">
        <f t="shared" si="44"/>
        <v>188.64094362255099</v>
      </c>
      <c r="J1462" s="3" t="str">
        <f t="shared" si="45"/>
        <v>Low</v>
      </c>
    </row>
    <row r="1463" spans="1:10">
      <c r="A1463" s="7" t="s">
        <v>1524</v>
      </c>
      <c r="B1463" s="7" t="s">
        <v>131</v>
      </c>
      <c r="C1463" s="7" t="s">
        <v>12</v>
      </c>
      <c r="D1463" s="22">
        <v>472000</v>
      </c>
      <c r="E1463" s="7">
        <v>63</v>
      </c>
      <c r="F1463" s="7">
        <v>4</v>
      </c>
      <c r="G1463" s="7">
        <v>2</v>
      </c>
      <c r="H1463" s="12">
        <v>1500</v>
      </c>
      <c r="I1463" s="9">
        <f t="shared" si="44"/>
        <v>314.66666666666669</v>
      </c>
      <c r="J1463" s="3" t="str">
        <f t="shared" si="45"/>
        <v>High</v>
      </c>
    </row>
    <row r="1464" spans="1:10">
      <c r="A1464" s="4" t="s">
        <v>1525</v>
      </c>
      <c r="B1464" s="4" t="s">
        <v>16</v>
      </c>
      <c r="C1464" s="4" t="s">
        <v>12</v>
      </c>
      <c r="D1464" s="21">
        <v>473000</v>
      </c>
      <c r="E1464" s="4">
        <v>7</v>
      </c>
      <c r="F1464" s="4">
        <v>3</v>
      </c>
      <c r="G1464" s="4">
        <v>2.1</v>
      </c>
      <c r="H1464" s="10">
        <v>1912</v>
      </c>
      <c r="I1464" s="11">
        <f t="shared" si="44"/>
        <v>247.38493723849373</v>
      </c>
      <c r="J1464" s="3" t="str">
        <f t="shared" si="45"/>
        <v>Medium</v>
      </c>
    </row>
    <row r="1465" spans="1:10">
      <c r="A1465" s="7" t="s">
        <v>1526</v>
      </c>
      <c r="B1465" s="7" t="s">
        <v>212</v>
      </c>
      <c r="C1465" s="7" t="s">
        <v>12</v>
      </c>
      <c r="D1465" s="22">
        <v>474000</v>
      </c>
      <c r="E1465" s="7">
        <v>5</v>
      </c>
      <c r="F1465" s="7">
        <v>3</v>
      </c>
      <c r="G1465" s="7">
        <v>3</v>
      </c>
      <c r="H1465" s="12">
        <v>2003</v>
      </c>
      <c r="I1465" s="9">
        <f t="shared" si="44"/>
        <v>236.645032451323</v>
      </c>
      <c r="J1465" s="3" t="str">
        <f t="shared" si="45"/>
        <v>Medium</v>
      </c>
    </row>
    <row r="1466" spans="1:10">
      <c r="A1466" s="4" t="s">
        <v>1527</v>
      </c>
      <c r="B1466" s="4" t="s">
        <v>679</v>
      </c>
      <c r="C1466" s="4" t="s">
        <v>12</v>
      </c>
      <c r="D1466" s="21">
        <v>475000</v>
      </c>
      <c r="E1466" s="4">
        <v>27</v>
      </c>
      <c r="F1466" s="4">
        <v>4</v>
      </c>
      <c r="G1466" s="4">
        <v>2.1</v>
      </c>
      <c r="H1466" s="10">
        <v>2094</v>
      </c>
      <c r="I1466" s="11">
        <f t="shared" si="44"/>
        <v>226.83858643744031</v>
      </c>
      <c r="J1466" s="3" t="str">
        <f t="shared" si="45"/>
        <v>Medium</v>
      </c>
    </row>
    <row r="1467" spans="1:10">
      <c r="A1467" s="7" t="s">
        <v>1528</v>
      </c>
      <c r="B1467" s="7" t="s">
        <v>70</v>
      </c>
      <c r="C1467" s="7" t="s">
        <v>12</v>
      </c>
      <c r="D1467" s="22">
        <v>475000</v>
      </c>
      <c r="E1467" s="7">
        <v>6</v>
      </c>
      <c r="F1467" s="7">
        <v>4</v>
      </c>
      <c r="G1467" s="7">
        <v>3.1</v>
      </c>
      <c r="H1467" s="12">
        <v>3178</v>
      </c>
      <c r="I1467" s="9">
        <f t="shared" si="44"/>
        <v>149.46507237256137</v>
      </c>
      <c r="J1467" s="3" t="str">
        <f t="shared" si="45"/>
        <v>Low</v>
      </c>
    </row>
    <row r="1468" spans="1:10">
      <c r="A1468" s="4" t="s">
        <v>1529</v>
      </c>
      <c r="B1468" s="4" t="s">
        <v>80</v>
      </c>
      <c r="C1468" s="4" t="s">
        <v>12</v>
      </c>
      <c r="D1468" s="21">
        <v>475000</v>
      </c>
      <c r="E1468" s="4">
        <v>2</v>
      </c>
      <c r="F1468" s="4">
        <v>3</v>
      </c>
      <c r="G1468" s="4">
        <v>2.1</v>
      </c>
      <c r="H1468" s="10">
        <v>2375</v>
      </c>
      <c r="I1468" s="11">
        <f t="shared" si="44"/>
        <v>200</v>
      </c>
      <c r="J1468" s="3" t="str">
        <f t="shared" si="45"/>
        <v>Low</v>
      </c>
    </row>
    <row r="1469" spans="1:10">
      <c r="A1469" s="7" t="s">
        <v>1530</v>
      </c>
      <c r="B1469" s="7" t="s">
        <v>679</v>
      </c>
      <c r="C1469" s="7" t="s">
        <v>12</v>
      </c>
      <c r="D1469" s="22">
        <v>475000</v>
      </c>
      <c r="E1469" s="7">
        <v>29</v>
      </c>
      <c r="F1469" s="7">
        <v>3</v>
      </c>
      <c r="G1469" s="7">
        <v>2</v>
      </c>
      <c r="H1469" s="12">
        <v>1089</v>
      </c>
      <c r="I1469" s="9">
        <f t="shared" si="44"/>
        <v>436.17998163452711</v>
      </c>
      <c r="J1469" s="3" t="str">
        <f t="shared" si="45"/>
        <v>High</v>
      </c>
    </row>
    <row r="1470" spans="1:10">
      <c r="A1470" s="4" t="s">
        <v>1531</v>
      </c>
      <c r="B1470" s="4" t="s">
        <v>960</v>
      </c>
      <c r="C1470" s="4" t="s">
        <v>12</v>
      </c>
      <c r="D1470" s="21">
        <v>475000</v>
      </c>
      <c r="E1470" s="4">
        <v>25</v>
      </c>
      <c r="F1470" s="4">
        <v>2</v>
      </c>
      <c r="G1470" s="4">
        <v>2</v>
      </c>
      <c r="H1470" s="10">
        <v>1284</v>
      </c>
      <c r="I1470" s="11">
        <f t="shared" si="44"/>
        <v>369.93769470404982</v>
      </c>
      <c r="J1470" s="3" t="str">
        <f t="shared" si="45"/>
        <v>High</v>
      </c>
    </row>
    <row r="1471" spans="1:10">
      <c r="A1471" s="7" t="s">
        <v>1532</v>
      </c>
      <c r="B1471" s="7" t="s">
        <v>268</v>
      </c>
      <c r="C1471" s="7" t="s">
        <v>12</v>
      </c>
      <c r="D1471" s="22">
        <v>475000</v>
      </c>
      <c r="E1471" s="7">
        <v>80</v>
      </c>
      <c r="F1471" s="7">
        <v>4</v>
      </c>
      <c r="G1471" s="7">
        <v>3.1</v>
      </c>
      <c r="H1471" s="12">
        <v>2795</v>
      </c>
      <c r="I1471" s="9">
        <f t="shared" si="44"/>
        <v>169.94633273703042</v>
      </c>
      <c r="J1471" s="3" t="str">
        <f t="shared" si="45"/>
        <v>Low</v>
      </c>
    </row>
    <row r="1472" spans="1:10">
      <c r="A1472" s="4" t="s">
        <v>1533</v>
      </c>
      <c r="B1472" s="4" t="s">
        <v>679</v>
      </c>
      <c r="C1472" s="4" t="s">
        <v>12</v>
      </c>
      <c r="D1472" s="21">
        <v>475000</v>
      </c>
      <c r="E1472" s="4">
        <v>74</v>
      </c>
      <c r="F1472" s="4">
        <v>3</v>
      </c>
      <c r="G1472" s="4">
        <v>1.1000000000000001</v>
      </c>
      <c r="H1472" s="10">
        <v>1277</v>
      </c>
      <c r="I1472" s="11">
        <f t="shared" si="44"/>
        <v>371.96554424432264</v>
      </c>
      <c r="J1472" s="3" t="str">
        <f t="shared" si="45"/>
        <v>High</v>
      </c>
    </row>
    <row r="1473" spans="1:10">
      <c r="A1473" s="7" t="s">
        <v>1534</v>
      </c>
      <c r="B1473" s="7" t="s">
        <v>80</v>
      </c>
      <c r="C1473" s="7" t="s">
        <v>12</v>
      </c>
      <c r="D1473" s="22">
        <v>475000</v>
      </c>
      <c r="E1473" s="7">
        <v>12</v>
      </c>
      <c r="F1473" s="7">
        <v>3</v>
      </c>
      <c r="G1473" s="7">
        <v>2.1</v>
      </c>
      <c r="H1473" s="12">
        <v>2462</v>
      </c>
      <c r="I1473" s="9">
        <f t="shared" si="44"/>
        <v>192.93257514216086</v>
      </c>
      <c r="J1473" s="3" t="str">
        <f t="shared" si="45"/>
        <v>Low</v>
      </c>
    </row>
    <row r="1474" spans="1:10">
      <c r="A1474" s="4" t="s">
        <v>1535</v>
      </c>
      <c r="B1474" s="4" t="s">
        <v>18</v>
      </c>
      <c r="C1474" s="4" t="s">
        <v>12</v>
      </c>
      <c r="D1474" s="21">
        <v>475000</v>
      </c>
      <c r="E1474" s="4">
        <v>169</v>
      </c>
      <c r="F1474" s="4">
        <v>4</v>
      </c>
      <c r="G1474" s="4">
        <v>2.1</v>
      </c>
      <c r="H1474" s="10">
        <v>2540</v>
      </c>
      <c r="I1474" s="11">
        <f t="shared" ref="I1474:I1537" si="46">D1474/H1474</f>
        <v>187.00787401574803</v>
      </c>
      <c r="J1474" s="3" t="str">
        <f t="shared" ref="J1474:J1537" si="47">IF(I1474 &gt; 300, "High", IF(AND(I1474 &lt;= 300, I1474 &gt; 200), "Medium", "Low"))</f>
        <v>Low</v>
      </c>
    </row>
    <row r="1475" spans="1:10">
      <c r="A1475" s="7" t="s">
        <v>1536</v>
      </c>
      <c r="B1475" s="7" t="s">
        <v>728</v>
      </c>
      <c r="C1475" s="7" t="s">
        <v>12</v>
      </c>
      <c r="D1475" s="22">
        <v>477000</v>
      </c>
      <c r="E1475" s="7">
        <v>54</v>
      </c>
      <c r="F1475" s="7">
        <v>4</v>
      </c>
      <c r="G1475" s="7">
        <v>2.1</v>
      </c>
      <c r="H1475" s="12">
        <v>2769</v>
      </c>
      <c r="I1475" s="9">
        <f t="shared" si="46"/>
        <v>172.2643553629469</v>
      </c>
      <c r="J1475" s="3" t="str">
        <f t="shared" si="47"/>
        <v>Low</v>
      </c>
    </row>
    <row r="1476" spans="1:10">
      <c r="A1476" s="4" t="s">
        <v>1537</v>
      </c>
      <c r="B1476" s="4" t="s">
        <v>131</v>
      </c>
      <c r="C1476" s="4" t="s">
        <v>12</v>
      </c>
      <c r="D1476" s="21">
        <v>477000</v>
      </c>
      <c r="E1476" s="4">
        <v>38</v>
      </c>
      <c r="F1476" s="4">
        <v>3</v>
      </c>
      <c r="G1476" s="4">
        <v>2.1</v>
      </c>
      <c r="H1476" s="10">
        <v>1780</v>
      </c>
      <c r="I1476" s="11">
        <f t="shared" si="46"/>
        <v>267.97752808988764</v>
      </c>
      <c r="J1476" s="3" t="str">
        <f t="shared" si="47"/>
        <v>Medium</v>
      </c>
    </row>
    <row r="1477" spans="1:10">
      <c r="A1477" s="7" t="s">
        <v>1538</v>
      </c>
      <c r="B1477" s="7" t="s">
        <v>728</v>
      </c>
      <c r="C1477" s="7" t="s">
        <v>12</v>
      </c>
      <c r="D1477" s="22">
        <v>477000</v>
      </c>
      <c r="E1477" s="7">
        <v>19</v>
      </c>
      <c r="F1477" s="7">
        <v>4</v>
      </c>
      <c r="G1477" s="7">
        <v>2.1</v>
      </c>
      <c r="H1477" s="12">
        <v>2769</v>
      </c>
      <c r="I1477" s="9">
        <f t="shared" si="46"/>
        <v>172.2643553629469</v>
      </c>
      <c r="J1477" s="3" t="str">
        <f t="shared" si="47"/>
        <v>Low</v>
      </c>
    </row>
    <row r="1478" spans="1:10">
      <c r="A1478" s="4" t="s">
        <v>1539</v>
      </c>
      <c r="B1478" s="4" t="s">
        <v>70</v>
      </c>
      <c r="C1478" s="4" t="s">
        <v>12</v>
      </c>
      <c r="D1478" s="21">
        <v>478500</v>
      </c>
      <c r="E1478" s="4">
        <v>105</v>
      </c>
      <c r="F1478" s="4">
        <v>5</v>
      </c>
      <c r="G1478" s="4">
        <v>3</v>
      </c>
      <c r="H1478" s="10">
        <v>2950</v>
      </c>
      <c r="I1478" s="11">
        <f t="shared" si="46"/>
        <v>162.20338983050848</v>
      </c>
      <c r="J1478" s="3" t="str">
        <f t="shared" si="47"/>
        <v>Low</v>
      </c>
    </row>
    <row r="1479" spans="1:10">
      <c r="A1479" s="7" t="s">
        <v>1540</v>
      </c>
      <c r="B1479" s="7" t="s">
        <v>212</v>
      </c>
      <c r="C1479" s="7" t="s">
        <v>12</v>
      </c>
      <c r="D1479" s="22">
        <v>479000</v>
      </c>
      <c r="E1479" s="7">
        <v>4</v>
      </c>
      <c r="F1479" s="7">
        <v>4</v>
      </c>
      <c r="G1479" s="7">
        <v>2.1</v>
      </c>
      <c r="H1479" s="12">
        <v>2049</v>
      </c>
      <c r="I1479" s="9">
        <f t="shared" si="46"/>
        <v>233.77257198633481</v>
      </c>
      <c r="J1479" s="3" t="str">
        <f t="shared" si="47"/>
        <v>Medium</v>
      </c>
    </row>
    <row r="1480" spans="1:10">
      <c r="A1480" s="4" t="s">
        <v>1541</v>
      </c>
      <c r="B1480" s="4" t="s">
        <v>960</v>
      </c>
      <c r="C1480" s="4" t="s">
        <v>12</v>
      </c>
      <c r="D1480" s="21">
        <v>479500</v>
      </c>
      <c r="E1480" s="4">
        <v>238</v>
      </c>
      <c r="F1480" s="4">
        <v>3</v>
      </c>
      <c r="G1480" s="4">
        <v>2.1</v>
      </c>
      <c r="H1480" s="10">
        <v>2319</v>
      </c>
      <c r="I1480" s="11">
        <f t="shared" si="46"/>
        <v>206.77015955153084</v>
      </c>
      <c r="J1480" s="3" t="str">
        <f t="shared" si="47"/>
        <v>Medium</v>
      </c>
    </row>
    <row r="1481" spans="1:10">
      <c r="A1481" s="7" t="s">
        <v>1542</v>
      </c>
      <c r="B1481" s="7" t="s">
        <v>298</v>
      </c>
      <c r="C1481" s="7" t="s">
        <v>12</v>
      </c>
      <c r="D1481" s="22">
        <v>479900</v>
      </c>
      <c r="E1481" s="7">
        <v>42</v>
      </c>
      <c r="F1481" s="7">
        <v>3</v>
      </c>
      <c r="G1481" s="7">
        <v>2.1</v>
      </c>
      <c r="H1481" s="12">
        <v>2750</v>
      </c>
      <c r="I1481" s="9">
        <f t="shared" si="46"/>
        <v>174.5090909090909</v>
      </c>
      <c r="J1481" s="3" t="str">
        <f t="shared" si="47"/>
        <v>Low</v>
      </c>
    </row>
    <row r="1482" spans="1:10">
      <c r="A1482" s="4" t="s">
        <v>1543</v>
      </c>
      <c r="B1482" s="4" t="s">
        <v>318</v>
      </c>
      <c r="C1482" s="4" t="s">
        <v>12</v>
      </c>
      <c r="D1482" s="21">
        <v>480000</v>
      </c>
      <c r="E1482" s="4">
        <v>165</v>
      </c>
      <c r="F1482" s="4">
        <v>3</v>
      </c>
      <c r="G1482" s="4">
        <v>2.1</v>
      </c>
      <c r="H1482" s="10">
        <v>1996</v>
      </c>
      <c r="I1482" s="11">
        <f t="shared" si="46"/>
        <v>240.4809619238477</v>
      </c>
      <c r="J1482" s="3" t="str">
        <f t="shared" si="47"/>
        <v>Medium</v>
      </c>
    </row>
    <row r="1483" spans="1:10">
      <c r="A1483" s="7" t="s">
        <v>1544</v>
      </c>
      <c r="B1483" s="7" t="s">
        <v>80</v>
      </c>
      <c r="C1483" s="7" t="s">
        <v>12</v>
      </c>
      <c r="D1483" s="22">
        <v>480000</v>
      </c>
      <c r="E1483" s="7">
        <v>9</v>
      </c>
      <c r="F1483" s="7">
        <v>4</v>
      </c>
      <c r="G1483" s="7">
        <v>3.1</v>
      </c>
      <c r="H1483" s="12">
        <v>1934</v>
      </c>
      <c r="I1483" s="9">
        <f t="shared" si="46"/>
        <v>248.19027921406411</v>
      </c>
      <c r="J1483" s="3" t="str">
        <f t="shared" si="47"/>
        <v>Medium</v>
      </c>
    </row>
    <row r="1484" spans="1:10">
      <c r="A1484" s="4" t="s">
        <v>1545</v>
      </c>
      <c r="B1484" s="4" t="s">
        <v>331</v>
      </c>
      <c r="C1484" s="4" t="s">
        <v>12</v>
      </c>
      <c r="D1484" s="21">
        <v>480000</v>
      </c>
      <c r="E1484" s="4">
        <v>5</v>
      </c>
      <c r="F1484" s="4">
        <v>3</v>
      </c>
      <c r="G1484" s="4">
        <v>2</v>
      </c>
      <c r="H1484" s="10">
        <v>1793</v>
      </c>
      <c r="I1484" s="11">
        <f t="shared" si="46"/>
        <v>267.70775237032905</v>
      </c>
      <c r="J1484" s="3" t="str">
        <f t="shared" si="47"/>
        <v>Medium</v>
      </c>
    </row>
    <row r="1485" spans="1:10">
      <c r="A1485" s="7" t="s">
        <v>1546</v>
      </c>
      <c r="B1485" s="7" t="s">
        <v>282</v>
      </c>
      <c r="C1485" s="7" t="s">
        <v>12</v>
      </c>
      <c r="D1485" s="22">
        <v>480000</v>
      </c>
      <c r="E1485" s="7">
        <v>8</v>
      </c>
      <c r="F1485" s="7">
        <v>3</v>
      </c>
      <c r="G1485" s="7">
        <v>2.1</v>
      </c>
      <c r="H1485" s="12">
        <v>1658</v>
      </c>
      <c r="I1485" s="9">
        <f t="shared" si="46"/>
        <v>289.50542822677926</v>
      </c>
      <c r="J1485" s="3" t="str">
        <f t="shared" si="47"/>
        <v>Medium</v>
      </c>
    </row>
    <row r="1486" spans="1:10">
      <c r="A1486" s="4" t="s">
        <v>1547</v>
      </c>
      <c r="B1486" s="4" t="s">
        <v>212</v>
      </c>
      <c r="C1486" s="4" t="s">
        <v>12</v>
      </c>
      <c r="D1486" s="21">
        <v>480000</v>
      </c>
      <c r="E1486" s="4">
        <v>13</v>
      </c>
      <c r="F1486" s="4">
        <v>4</v>
      </c>
      <c r="G1486" s="4">
        <v>2.1</v>
      </c>
      <c r="H1486" s="10">
        <v>2544</v>
      </c>
      <c r="I1486" s="11">
        <f t="shared" si="46"/>
        <v>188.67924528301887</v>
      </c>
      <c r="J1486" s="3" t="str">
        <f t="shared" si="47"/>
        <v>Low</v>
      </c>
    </row>
    <row r="1487" spans="1:10">
      <c r="A1487" s="7" t="s">
        <v>1548</v>
      </c>
      <c r="B1487" s="7" t="s">
        <v>268</v>
      </c>
      <c r="C1487" s="7" t="s">
        <v>12</v>
      </c>
      <c r="D1487" s="22">
        <v>480000</v>
      </c>
      <c r="E1487" s="7">
        <v>13</v>
      </c>
      <c r="F1487" s="7">
        <v>4</v>
      </c>
      <c r="G1487" s="7">
        <v>2.1</v>
      </c>
      <c r="H1487" s="12">
        <v>3382</v>
      </c>
      <c r="I1487" s="9">
        <f t="shared" si="46"/>
        <v>141.92785334121822</v>
      </c>
      <c r="J1487" s="3" t="str">
        <f t="shared" si="47"/>
        <v>Low</v>
      </c>
    </row>
    <row r="1488" spans="1:10">
      <c r="A1488" s="4" t="s">
        <v>1549</v>
      </c>
      <c r="B1488" s="4" t="s">
        <v>18</v>
      </c>
      <c r="C1488" s="4" t="s">
        <v>12</v>
      </c>
      <c r="D1488" s="21">
        <v>480000</v>
      </c>
      <c r="E1488" s="4">
        <v>59</v>
      </c>
      <c r="F1488" s="4">
        <v>4</v>
      </c>
      <c r="G1488" s="4">
        <v>2.1</v>
      </c>
      <c r="H1488" s="10">
        <v>2563</v>
      </c>
      <c r="I1488" s="11">
        <f t="shared" si="46"/>
        <v>187.28053062817011</v>
      </c>
      <c r="J1488" s="3" t="str">
        <f t="shared" si="47"/>
        <v>Low</v>
      </c>
    </row>
    <row r="1489" spans="1:10">
      <c r="A1489" s="7" t="s">
        <v>1550</v>
      </c>
      <c r="B1489" s="7" t="s">
        <v>77</v>
      </c>
      <c r="C1489" s="7" t="s">
        <v>12</v>
      </c>
      <c r="D1489" s="22">
        <v>480000</v>
      </c>
      <c r="E1489" s="7">
        <v>71</v>
      </c>
      <c r="F1489" s="7">
        <v>3</v>
      </c>
      <c r="G1489" s="7">
        <v>3</v>
      </c>
      <c r="H1489" s="12">
        <v>1720</v>
      </c>
      <c r="I1489" s="9">
        <f t="shared" si="46"/>
        <v>279.06976744186045</v>
      </c>
      <c r="J1489" s="3" t="str">
        <f t="shared" si="47"/>
        <v>Medium</v>
      </c>
    </row>
    <row r="1490" spans="1:10">
      <c r="A1490" s="4" t="s">
        <v>1551</v>
      </c>
      <c r="B1490" s="4" t="s">
        <v>117</v>
      </c>
      <c r="C1490" s="4" t="s">
        <v>12</v>
      </c>
      <c r="D1490" s="21">
        <v>480000</v>
      </c>
      <c r="E1490" s="4">
        <v>119</v>
      </c>
      <c r="F1490" s="4">
        <v>3</v>
      </c>
      <c r="G1490" s="4">
        <v>2.1</v>
      </c>
      <c r="H1490" s="10">
        <v>1922</v>
      </c>
      <c r="I1490" s="11">
        <f t="shared" si="46"/>
        <v>249.73985431841831</v>
      </c>
      <c r="J1490" s="3" t="str">
        <f t="shared" si="47"/>
        <v>Medium</v>
      </c>
    </row>
    <row r="1491" spans="1:10">
      <c r="A1491" s="7" t="s">
        <v>1552</v>
      </c>
      <c r="B1491" s="7" t="s">
        <v>331</v>
      </c>
      <c r="C1491" s="7" t="s">
        <v>12</v>
      </c>
      <c r="D1491" s="22">
        <v>480000</v>
      </c>
      <c r="E1491" s="7">
        <v>29</v>
      </c>
      <c r="F1491" s="7">
        <v>4</v>
      </c>
      <c r="G1491" s="7">
        <v>2.1</v>
      </c>
      <c r="H1491" s="12">
        <v>2366</v>
      </c>
      <c r="I1491" s="9">
        <f t="shared" si="46"/>
        <v>202.87404902789518</v>
      </c>
      <c r="J1491" s="3" t="str">
        <f t="shared" si="47"/>
        <v>Medium</v>
      </c>
    </row>
    <row r="1492" spans="1:10">
      <c r="A1492" s="4" t="s">
        <v>1553</v>
      </c>
      <c r="B1492" s="4" t="s">
        <v>70</v>
      </c>
      <c r="C1492" s="4" t="s">
        <v>12</v>
      </c>
      <c r="D1492" s="21">
        <v>480000</v>
      </c>
      <c r="E1492" s="4">
        <v>95</v>
      </c>
      <c r="F1492" s="4">
        <v>3</v>
      </c>
      <c r="G1492" s="4">
        <v>3.1</v>
      </c>
      <c r="H1492" s="10">
        <v>2170</v>
      </c>
      <c r="I1492" s="11">
        <f t="shared" si="46"/>
        <v>221.19815668202764</v>
      </c>
      <c r="J1492" s="3" t="str">
        <f t="shared" si="47"/>
        <v>Medium</v>
      </c>
    </row>
    <row r="1493" spans="1:10">
      <c r="A1493" s="7" t="s">
        <v>1554</v>
      </c>
      <c r="B1493" s="7" t="s">
        <v>56</v>
      </c>
      <c r="C1493" s="7" t="s">
        <v>12</v>
      </c>
      <c r="D1493" s="22">
        <v>481500</v>
      </c>
      <c r="E1493" s="7">
        <v>6</v>
      </c>
      <c r="F1493" s="7">
        <v>5</v>
      </c>
      <c r="G1493" s="7">
        <v>2.1</v>
      </c>
      <c r="H1493" s="12">
        <v>2261</v>
      </c>
      <c r="I1493" s="9">
        <f t="shared" si="46"/>
        <v>212.95886775762938</v>
      </c>
      <c r="J1493" s="3" t="str">
        <f t="shared" si="47"/>
        <v>Medium</v>
      </c>
    </row>
    <row r="1494" spans="1:10">
      <c r="A1494" s="4" t="s">
        <v>1555</v>
      </c>
      <c r="B1494" s="4" t="s">
        <v>728</v>
      </c>
      <c r="C1494" s="4" t="s">
        <v>12</v>
      </c>
      <c r="D1494" s="21">
        <v>482000</v>
      </c>
      <c r="E1494" s="4">
        <v>5</v>
      </c>
      <c r="F1494" s="4">
        <v>3</v>
      </c>
      <c r="G1494" s="4">
        <v>1.1000000000000001</v>
      </c>
      <c r="H1494" s="10">
        <v>1891</v>
      </c>
      <c r="I1494" s="11">
        <f t="shared" si="46"/>
        <v>254.89159175039663</v>
      </c>
      <c r="J1494" s="3" t="str">
        <f t="shared" si="47"/>
        <v>Medium</v>
      </c>
    </row>
    <row r="1495" spans="1:10">
      <c r="A1495" s="7" t="s">
        <v>1556</v>
      </c>
      <c r="B1495" s="7" t="s">
        <v>212</v>
      </c>
      <c r="C1495" s="7" t="s">
        <v>12</v>
      </c>
      <c r="D1495" s="22">
        <v>483500</v>
      </c>
      <c r="E1495" s="7">
        <v>9</v>
      </c>
      <c r="F1495" s="7">
        <v>3</v>
      </c>
      <c r="G1495" s="7">
        <v>2</v>
      </c>
      <c r="H1495" s="12">
        <v>1848</v>
      </c>
      <c r="I1495" s="9">
        <f t="shared" si="46"/>
        <v>261.63419913419915</v>
      </c>
      <c r="J1495" s="3" t="str">
        <f t="shared" si="47"/>
        <v>Medium</v>
      </c>
    </row>
    <row r="1496" spans="1:10">
      <c r="A1496" s="4" t="s">
        <v>1557</v>
      </c>
      <c r="B1496" s="4" t="s">
        <v>823</v>
      </c>
      <c r="C1496" s="4" t="s">
        <v>12</v>
      </c>
      <c r="D1496" s="21">
        <v>484400</v>
      </c>
      <c r="E1496" s="4">
        <v>18</v>
      </c>
      <c r="F1496" s="4">
        <v>3</v>
      </c>
      <c r="G1496" s="4">
        <v>2</v>
      </c>
      <c r="H1496" s="10">
        <v>2024</v>
      </c>
      <c r="I1496" s="11">
        <f t="shared" si="46"/>
        <v>239.32806324110672</v>
      </c>
      <c r="J1496" s="3" t="str">
        <f t="shared" si="47"/>
        <v>Medium</v>
      </c>
    </row>
    <row r="1497" spans="1:10">
      <c r="A1497" s="7" t="s">
        <v>1558</v>
      </c>
      <c r="B1497" s="7" t="s">
        <v>18</v>
      </c>
      <c r="C1497" s="7" t="s">
        <v>12</v>
      </c>
      <c r="D1497" s="22">
        <v>485000</v>
      </c>
      <c r="E1497" s="7">
        <v>6</v>
      </c>
      <c r="F1497" s="7">
        <v>3</v>
      </c>
      <c r="G1497" s="7">
        <v>2.2000000000000002</v>
      </c>
      <c r="H1497" s="12">
        <v>1954</v>
      </c>
      <c r="I1497" s="9">
        <f t="shared" si="46"/>
        <v>248.20880245649948</v>
      </c>
      <c r="J1497" s="3" t="str">
        <f t="shared" si="47"/>
        <v>Medium</v>
      </c>
    </row>
    <row r="1498" spans="1:10">
      <c r="A1498" s="4" t="s">
        <v>1559</v>
      </c>
      <c r="B1498" s="4" t="s">
        <v>11</v>
      </c>
      <c r="C1498" s="4" t="s">
        <v>12</v>
      </c>
      <c r="D1498" s="21">
        <v>485000</v>
      </c>
      <c r="E1498" s="4">
        <v>4</v>
      </c>
      <c r="F1498" s="4">
        <v>3</v>
      </c>
      <c r="G1498" s="4">
        <v>3.1</v>
      </c>
      <c r="H1498" s="10">
        <v>2852</v>
      </c>
      <c r="I1498" s="11">
        <f t="shared" si="46"/>
        <v>170.05610098176717</v>
      </c>
      <c r="J1498" s="3" t="str">
        <f t="shared" si="47"/>
        <v>Low</v>
      </c>
    </row>
    <row r="1499" spans="1:10">
      <c r="A1499" s="7" t="s">
        <v>1560</v>
      </c>
      <c r="B1499" s="7" t="s">
        <v>728</v>
      </c>
      <c r="C1499" s="7" t="s">
        <v>12</v>
      </c>
      <c r="D1499" s="22">
        <v>485000</v>
      </c>
      <c r="E1499" s="7">
        <v>2</v>
      </c>
      <c r="F1499" s="7">
        <v>5</v>
      </c>
      <c r="G1499" s="7">
        <v>2.1</v>
      </c>
      <c r="H1499" s="12">
        <v>2675</v>
      </c>
      <c r="I1499" s="9">
        <f t="shared" si="46"/>
        <v>181.30841121495328</v>
      </c>
      <c r="J1499" s="3" t="str">
        <f t="shared" si="47"/>
        <v>Low</v>
      </c>
    </row>
    <row r="1500" spans="1:10">
      <c r="A1500" s="4" t="s">
        <v>1561</v>
      </c>
      <c r="B1500" s="4" t="s">
        <v>948</v>
      </c>
      <c r="C1500" s="4" t="s">
        <v>12</v>
      </c>
      <c r="D1500" s="21">
        <v>485000</v>
      </c>
      <c r="E1500" s="4">
        <v>11</v>
      </c>
      <c r="F1500" s="4">
        <v>3</v>
      </c>
      <c r="G1500" s="4">
        <v>2</v>
      </c>
      <c r="H1500" s="10">
        <v>1824</v>
      </c>
      <c r="I1500" s="11">
        <f t="shared" si="46"/>
        <v>265.89912280701753</v>
      </c>
      <c r="J1500" s="3" t="str">
        <f t="shared" si="47"/>
        <v>Medium</v>
      </c>
    </row>
    <row r="1501" spans="1:10">
      <c r="A1501" s="7" t="s">
        <v>1562</v>
      </c>
      <c r="B1501" s="7" t="s">
        <v>18</v>
      </c>
      <c r="C1501" s="7" t="s">
        <v>12</v>
      </c>
      <c r="D1501" s="22">
        <v>485000</v>
      </c>
      <c r="E1501" s="7">
        <v>8</v>
      </c>
      <c r="F1501" s="7">
        <v>4</v>
      </c>
      <c r="G1501" s="7">
        <v>2.1</v>
      </c>
      <c r="H1501" s="12">
        <v>2429</v>
      </c>
      <c r="I1501" s="9">
        <f t="shared" si="46"/>
        <v>199.67064635652531</v>
      </c>
      <c r="J1501" s="3" t="str">
        <f t="shared" si="47"/>
        <v>Low</v>
      </c>
    </row>
    <row r="1502" spans="1:10">
      <c r="A1502" s="4" t="s">
        <v>1563</v>
      </c>
      <c r="B1502" s="4" t="s">
        <v>298</v>
      </c>
      <c r="C1502" s="4" t="s">
        <v>12</v>
      </c>
      <c r="D1502" s="21">
        <v>485000</v>
      </c>
      <c r="E1502" s="4">
        <v>97</v>
      </c>
      <c r="F1502" s="4">
        <v>4</v>
      </c>
      <c r="G1502" s="4">
        <v>3</v>
      </c>
      <c r="H1502" s="10">
        <v>2008</v>
      </c>
      <c r="I1502" s="11">
        <f t="shared" si="46"/>
        <v>241.53386454183266</v>
      </c>
      <c r="J1502" s="3" t="str">
        <f t="shared" si="47"/>
        <v>Medium</v>
      </c>
    </row>
    <row r="1503" spans="1:10">
      <c r="A1503" s="7" t="s">
        <v>1564</v>
      </c>
      <c r="B1503" s="7" t="s">
        <v>268</v>
      </c>
      <c r="C1503" s="7" t="s">
        <v>12</v>
      </c>
      <c r="D1503" s="22">
        <v>486000</v>
      </c>
      <c r="E1503" s="7">
        <v>3</v>
      </c>
      <c r="F1503" s="7">
        <v>3</v>
      </c>
      <c r="G1503" s="7">
        <v>2</v>
      </c>
      <c r="H1503" s="12">
        <v>1365</v>
      </c>
      <c r="I1503" s="9">
        <f t="shared" si="46"/>
        <v>356.04395604395603</v>
      </c>
      <c r="J1503" s="3" t="str">
        <f t="shared" si="47"/>
        <v>High</v>
      </c>
    </row>
    <row r="1504" spans="1:10">
      <c r="A1504" s="4" t="s">
        <v>1565</v>
      </c>
      <c r="B1504" s="4" t="s">
        <v>131</v>
      </c>
      <c r="C1504" s="4" t="s">
        <v>12</v>
      </c>
      <c r="D1504" s="21">
        <v>486999</v>
      </c>
      <c r="E1504" s="4">
        <v>5</v>
      </c>
      <c r="F1504" s="4">
        <v>4</v>
      </c>
      <c r="G1504" s="4">
        <v>2.1</v>
      </c>
      <c r="H1504" s="10">
        <v>1790</v>
      </c>
      <c r="I1504" s="11">
        <f t="shared" si="46"/>
        <v>272.06648044692736</v>
      </c>
      <c r="J1504" s="3" t="str">
        <f t="shared" si="47"/>
        <v>Medium</v>
      </c>
    </row>
    <row r="1505" spans="1:10">
      <c r="A1505" s="7" t="s">
        <v>1566</v>
      </c>
      <c r="B1505" s="7" t="s">
        <v>18</v>
      </c>
      <c r="C1505" s="7" t="s">
        <v>12</v>
      </c>
      <c r="D1505" s="22">
        <v>487000</v>
      </c>
      <c r="E1505" s="7">
        <v>2</v>
      </c>
      <c r="F1505" s="7">
        <v>4</v>
      </c>
      <c r="G1505" s="7">
        <v>2.1</v>
      </c>
      <c r="H1505" s="12">
        <v>1663</v>
      </c>
      <c r="I1505" s="9">
        <f t="shared" si="46"/>
        <v>292.84425736620562</v>
      </c>
      <c r="J1505" s="3" t="str">
        <f t="shared" si="47"/>
        <v>Medium</v>
      </c>
    </row>
    <row r="1506" spans="1:10">
      <c r="A1506" s="4" t="s">
        <v>1567</v>
      </c>
      <c r="B1506" s="4" t="s">
        <v>212</v>
      </c>
      <c r="C1506" s="4" t="s">
        <v>12</v>
      </c>
      <c r="D1506" s="21">
        <v>487000</v>
      </c>
      <c r="E1506" s="4">
        <v>12</v>
      </c>
      <c r="F1506" s="4">
        <v>4</v>
      </c>
      <c r="G1506" s="4">
        <v>2.1</v>
      </c>
      <c r="H1506" s="10">
        <v>2066</v>
      </c>
      <c r="I1506" s="11">
        <f t="shared" si="46"/>
        <v>235.72120038722167</v>
      </c>
      <c r="J1506" s="3" t="str">
        <f t="shared" si="47"/>
        <v>Medium</v>
      </c>
    </row>
    <row r="1507" spans="1:10">
      <c r="A1507" s="7" t="s">
        <v>1568</v>
      </c>
      <c r="B1507" s="7" t="s">
        <v>960</v>
      </c>
      <c r="C1507" s="7" t="s">
        <v>12</v>
      </c>
      <c r="D1507" s="22">
        <v>487500</v>
      </c>
      <c r="E1507" s="7">
        <v>17</v>
      </c>
      <c r="F1507" s="7">
        <v>0</v>
      </c>
      <c r="G1507" s="7">
        <v>0.1</v>
      </c>
      <c r="H1507" s="12">
        <v>1736</v>
      </c>
      <c r="I1507" s="9">
        <f t="shared" si="46"/>
        <v>280.81797235023043</v>
      </c>
      <c r="J1507" s="3" t="str">
        <f t="shared" si="47"/>
        <v>Medium</v>
      </c>
    </row>
    <row r="1508" spans="1:10">
      <c r="A1508" s="4" t="s">
        <v>1569</v>
      </c>
      <c r="B1508" s="4" t="s">
        <v>728</v>
      </c>
      <c r="C1508" s="4" t="s">
        <v>12</v>
      </c>
      <c r="D1508" s="21">
        <v>489900</v>
      </c>
      <c r="E1508" s="4">
        <v>51</v>
      </c>
      <c r="F1508" s="4">
        <v>3</v>
      </c>
      <c r="G1508" s="4">
        <v>1.1000000000000001</v>
      </c>
      <c r="H1508" s="10">
        <v>1709</v>
      </c>
      <c r="I1508" s="11">
        <f t="shared" si="46"/>
        <v>286.65886483323578</v>
      </c>
      <c r="J1508" s="3" t="str">
        <f t="shared" si="47"/>
        <v>Medium</v>
      </c>
    </row>
    <row r="1509" spans="1:10">
      <c r="A1509" s="7" t="s">
        <v>1570</v>
      </c>
      <c r="B1509" s="7" t="s">
        <v>878</v>
      </c>
      <c r="C1509" s="7" t="s">
        <v>12</v>
      </c>
      <c r="D1509" s="22">
        <v>490000</v>
      </c>
      <c r="E1509" s="7">
        <v>74</v>
      </c>
      <c r="F1509" s="7">
        <v>6</v>
      </c>
      <c r="G1509" s="7">
        <v>3.1</v>
      </c>
      <c r="H1509" s="12">
        <v>3300</v>
      </c>
      <c r="I1509" s="9">
        <f t="shared" si="46"/>
        <v>148.4848484848485</v>
      </c>
      <c r="J1509" s="3" t="str">
        <f t="shared" si="47"/>
        <v>Low</v>
      </c>
    </row>
    <row r="1510" spans="1:10">
      <c r="A1510" s="4" t="s">
        <v>1571</v>
      </c>
      <c r="B1510" s="4" t="s">
        <v>1051</v>
      </c>
      <c r="C1510" s="4" t="s">
        <v>12</v>
      </c>
      <c r="D1510" s="21">
        <v>490000</v>
      </c>
      <c r="E1510" s="4">
        <v>93</v>
      </c>
      <c r="F1510" s="4">
        <v>4</v>
      </c>
      <c r="G1510" s="4">
        <v>2.1</v>
      </c>
      <c r="H1510" s="10">
        <v>2633</v>
      </c>
      <c r="I1510" s="11">
        <f t="shared" si="46"/>
        <v>186.09950626661603</v>
      </c>
      <c r="J1510" s="3" t="str">
        <f t="shared" si="47"/>
        <v>Low</v>
      </c>
    </row>
    <row r="1511" spans="1:10">
      <c r="A1511" s="7" t="s">
        <v>1572</v>
      </c>
      <c r="B1511" s="7" t="s">
        <v>131</v>
      </c>
      <c r="C1511" s="7" t="s">
        <v>12</v>
      </c>
      <c r="D1511" s="22">
        <v>490000</v>
      </c>
      <c r="E1511" s="7">
        <v>56</v>
      </c>
      <c r="F1511" s="7">
        <v>3</v>
      </c>
      <c r="G1511" s="7">
        <v>2.1</v>
      </c>
      <c r="H1511" s="12">
        <v>1830</v>
      </c>
      <c r="I1511" s="9">
        <f t="shared" si="46"/>
        <v>267.75956284153006</v>
      </c>
      <c r="J1511" s="3" t="str">
        <f t="shared" si="47"/>
        <v>Medium</v>
      </c>
    </row>
    <row r="1512" spans="1:10">
      <c r="A1512" s="4" t="s">
        <v>1573</v>
      </c>
      <c r="B1512" s="4" t="s">
        <v>948</v>
      </c>
      <c r="C1512" s="4" t="s">
        <v>12</v>
      </c>
      <c r="D1512" s="21">
        <v>490000</v>
      </c>
      <c r="E1512" s="4">
        <v>50</v>
      </c>
      <c r="F1512" s="4">
        <v>4</v>
      </c>
      <c r="G1512" s="4">
        <v>2.1</v>
      </c>
      <c r="H1512" s="10">
        <v>2516</v>
      </c>
      <c r="I1512" s="11">
        <f t="shared" si="46"/>
        <v>194.75357710651829</v>
      </c>
      <c r="J1512" s="3" t="str">
        <f t="shared" si="47"/>
        <v>Low</v>
      </c>
    </row>
    <row r="1513" spans="1:10">
      <c r="A1513" s="7" t="s">
        <v>1574</v>
      </c>
      <c r="B1513" s="7" t="s">
        <v>11</v>
      </c>
      <c r="C1513" s="7" t="s">
        <v>12</v>
      </c>
      <c r="D1513" s="22">
        <v>490000</v>
      </c>
      <c r="E1513" s="7">
        <v>78</v>
      </c>
      <c r="F1513" s="7">
        <v>3</v>
      </c>
      <c r="G1513" s="7">
        <v>1.1000000000000001</v>
      </c>
      <c r="H1513" s="12">
        <v>1473</v>
      </c>
      <c r="I1513" s="9">
        <f t="shared" si="46"/>
        <v>332.65444670739987</v>
      </c>
      <c r="J1513" s="3" t="str">
        <f t="shared" si="47"/>
        <v>High</v>
      </c>
    </row>
    <row r="1514" spans="1:10">
      <c r="A1514" s="4" t="s">
        <v>1575</v>
      </c>
      <c r="B1514" s="4" t="s">
        <v>70</v>
      </c>
      <c r="C1514" s="4" t="s">
        <v>12</v>
      </c>
      <c r="D1514" s="21">
        <v>490000</v>
      </c>
      <c r="E1514" s="4">
        <v>155</v>
      </c>
      <c r="F1514" s="4">
        <v>4</v>
      </c>
      <c r="G1514" s="4">
        <v>2.1</v>
      </c>
      <c r="H1514" s="10">
        <v>2816</v>
      </c>
      <c r="I1514" s="11">
        <f t="shared" si="46"/>
        <v>174.00568181818181</v>
      </c>
      <c r="J1514" s="3" t="str">
        <f t="shared" si="47"/>
        <v>Low</v>
      </c>
    </row>
    <row r="1515" spans="1:10">
      <c r="A1515" s="7" t="s">
        <v>1576</v>
      </c>
      <c r="B1515" s="7" t="s">
        <v>80</v>
      </c>
      <c r="C1515" s="7" t="s">
        <v>12</v>
      </c>
      <c r="D1515" s="22">
        <v>492000</v>
      </c>
      <c r="E1515" s="7">
        <v>28</v>
      </c>
      <c r="F1515" s="7">
        <v>3</v>
      </c>
      <c r="G1515" s="7">
        <v>3.1</v>
      </c>
      <c r="H1515" s="12">
        <v>2263</v>
      </c>
      <c r="I1515" s="9">
        <f t="shared" si="46"/>
        <v>217.41051701281484</v>
      </c>
      <c r="J1515" s="3" t="str">
        <f t="shared" si="47"/>
        <v>Medium</v>
      </c>
    </row>
    <row r="1516" spans="1:10">
      <c r="A1516" s="4" t="s">
        <v>1577</v>
      </c>
      <c r="B1516" s="4" t="s">
        <v>93</v>
      </c>
      <c r="C1516" s="4" t="s">
        <v>12</v>
      </c>
      <c r="D1516" s="21">
        <v>493000</v>
      </c>
      <c r="E1516" s="4">
        <v>56</v>
      </c>
      <c r="F1516" s="4">
        <v>4</v>
      </c>
      <c r="G1516" s="4">
        <v>2.1</v>
      </c>
      <c r="H1516" s="10">
        <v>2835</v>
      </c>
      <c r="I1516" s="11">
        <f t="shared" si="46"/>
        <v>173.89770723104056</v>
      </c>
      <c r="J1516" s="3" t="str">
        <f t="shared" si="47"/>
        <v>Low</v>
      </c>
    </row>
    <row r="1517" spans="1:10">
      <c r="A1517" s="7" t="s">
        <v>1578</v>
      </c>
      <c r="B1517" s="7" t="s">
        <v>318</v>
      </c>
      <c r="C1517" s="7" t="s">
        <v>12</v>
      </c>
      <c r="D1517" s="22">
        <v>493000</v>
      </c>
      <c r="E1517" s="7">
        <v>20</v>
      </c>
      <c r="F1517" s="7">
        <v>4</v>
      </c>
      <c r="G1517" s="7">
        <v>3.1</v>
      </c>
      <c r="H1517" s="12">
        <v>2492</v>
      </c>
      <c r="I1517" s="9">
        <f t="shared" si="46"/>
        <v>197.83306581059389</v>
      </c>
      <c r="J1517" s="3" t="str">
        <f t="shared" si="47"/>
        <v>Low</v>
      </c>
    </row>
    <row r="1518" spans="1:10">
      <c r="A1518" s="4" t="s">
        <v>1579</v>
      </c>
      <c r="B1518" s="4" t="s">
        <v>70</v>
      </c>
      <c r="C1518" s="4" t="s">
        <v>12</v>
      </c>
      <c r="D1518" s="21">
        <v>495000</v>
      </c>
      <c r="E1518" s="4">
        <v>3</v>
      </c>
      <c r="F1518" s="4">
        <v>3</v>
      </c>
      <c r="G1518" s="4">
        <v>2.1</v>
      </c>
      <c r="H1518" s="10">
        <v>2120</v>
      </c>
      <c r="I1518" s="11">
        <f t="shared" si="46"/>
        <v>233.49056603773585</v>
      </c>
      <c r="J1518" s="3" t="str">
        <f t="shared" si="47"/>
        <v>Medium</v>
      </c>
    </row>
    <row r="1519" spans="1:10">
      <c r="A1519" s="7" t="s">
        <v>1580</v>
      </c>
      <c r="B1519" s="7" t="s">
        <v>1305</v>
      </c>
      <c r="C1519" s="7" t="s">
        <v>12</v>
      </c>
      <c r="D1519" s="22">
        <v>495000</v>
      </c>
      <c r="E1519" s="7">
        <v>24</v>
      </c>
      <c r="F1519" s="7">
        <v>4</v>
      </c>
      <c r="G1519" s="7">
        <v>2.2000000000000002</v>
      </c>
      <c r="H1519" s="12">
        <v>2113</v>
      </c>
      <c r="I1519" s="9">
        <f t="shared" si="46"/>
        <v>234.26407950780882</v>
      </c>
      <c r="J1519" s="3" t="str">
        <f t="shared" si="47"/>
        <v>Medium</v>
      </c>
    </row>
    <row r="1520" spans="1:10">
      <c r="A1520" s="4" t="s">
        <v>1581</v>
      </c>
      <c r="B1520" s="4" t="s">
        <v>823</v>
      </c>
      <c r="C1520" s="4" t="s">
        <v>12</v>
      </c>
      <c r="D1520" s="21">
        <v>495000</v>
      </c>
      <c r="E1520" s="4">
        <v>55</v>
      </c>
      <c r="F1520" s="4">
        <v>4</v>
      </c>
      <c r="G1520" s="4">
        <v>2.1</v>
      </c>
      <c r="H1520" s="10">
        <v>2764</v>
      </c>
      <c r="I1520" s="11">
        <f t="shared" si="46"/>
        <v>179.08827785817655</v>
      </c>
      <c r="J1520" s="3" t="str">
        <f t="shared" si="47"/>
        <v>Low</v>
      </c>
    </row>
    <row r="1521" spans="1:10">
      <c r="A1521" s="7" t="s">
        <v>1582</v>
      </c>
      <c r="B1521" s="7" t="s">
        <v>400</v>
      </c>
      <c r="C1521" s="7" t="s">
        <v>12</v>
      </c>
      <c r="D1521" s="22">
        <v>495500</v>
      </c>
      <c r="E1521" s="7">
        <v>6</v>
      </c>
      <c r="F1521" s="7">
        <v>4</v>
      </c>
      <c r="G1521" s="7">
        <v>2.2000000000000002</v>
      </c>
      <c r="H1521" s="12">
        <v>2005</v>
      </c>
      <c r="I1521" s="9">
        <f t="shared" si="46"/>
        <v>247.13216957605985</v>
      </c>
      <c r="J1521" s="3" t="str">
        <f t="shared" si="47"/>
        <v>Medium</v>
      </c>
    </row>
    <row r="1522" spans="1:10">
      <c r="A1522" s="4" t="s">
        <v>1583</v>
      </c>
      <c r="B1522" s="4" t="s">
        <v>474</v>
      </c>
      <c r="C1522" s="4" t="s">
        <v>12</v>
      </c>
      <c r="D1522" s="21">
        <v>496500</v>
      </c>
      <c r="E1522" s="4">
        <v>16</v>
      </c>
      <c r="F1522" s="4">
        <v>2</v>
      </c>
      <c r="G1522" s="4">
        <v>3</v>
      </c>
      <c r="H1522" s="10">
        <v>1272</v>
      </c>
      <c r="I1522" s="11">
        <f t="shared" si="46"/>
        <v>390.33018867924528</v>
      </c>
      <c r="J1522" s="3" t="str">
        <f t="shared" si="47"/>
        <v>High</v>
      </c>
    </row>
    <row r="1523" spans="1:10">
      <c r="A1523" s="7" t="s">
        <v>1584</v>
      </c>
      <c r="B1523" s="7" t="s">
        <v>18</v>
      </c>
      <c r="C1523" s="7" t="s">
        <v>12</v>
      </c>
      <c r="D1523" s="22">
        <v>498000</v>
      </c>
      <c r="E1523" s="7">
        <v>16</v>
      </c>
      <c r="F1523" s="7">
        <v>4</v>
      </c>
      <c r="G1523" s="7">
        <v>2.1</v>
      </c>
      <c r="H1523" s="12">
        <v>2710</v>
      </c>
      <c r="I1523" s="9">
        <f t="shared" si="46"/>
        <v>183.76383763837637</v>
      </c>
      <c r="J1523" s="3" t="str">
        <f t="shared" si="47"/>
        <v>Low</v>
      </c>
    </row>
    <row r="1524" spans="1:10">
      <c r="A1524" s="4" t="s">
        <v>1585</v>
      </c>
      <c r="B1524" s="4" t="s">
        <v>318</v>
      </c>
      <c r="C1524" s="4" t="s">
        <v>12</v>
      </c>
      <c r="D1524" s="21">
        <v>499000</v>
      </c>
      <c r="E1524" s="4">
        <v>108</v>
      </c>
      <c r="F1524" s="4">
        <v>3</v>
      </c>
      <c r="G1524" s="4">
        <v>2.1</v>
      </c>
      <c r="H1524" s="10">
        <v>2066</v>
      </c>
      <c r="I1524" s="11">
        <f t="shared" si="46"/>
        <v>241.52952565343659</v>
      </c>
      <c r="J1524" s="3" t="str">
        <f t="shared" si="47"/>
        <v>Medium</v>
      </c>
    </row>
    <row r="1525" spans="1:10">
      <c r="A1525" s="7" t="s">
        <v>1586</v>
      </c>
      <c r="B1525" s="7" t="s">
        <v>384</v>
      </c>
      <c r="C1525" s="7" t="s">
        <v>12</v>
      </c>
      <c r="D1525" s="22">
        <v>499900</v>
      </c>
      <c r="E1525" s="7">
        <v>3</v>
      </c>
      <c r="F1525" s="7">
        <v>2</v>
      </c>
      <c r="G1525" s="7">
        <v>2</v>
      </c>
      <c r="H1525" s="12">
        <v>1275</v>
      </c>
      <c r="I1525" s="9">
        <f t="shared" si="46"/>
        <v>392.07843137254901</v>
      </c>
      <c r="J1525" s="3" t="str">
        <f t="shared" si="47"/>
        <v>High</v>
      </c>
    </row>
    <row r="1526" spans="1:10">
      <c r="A1526" s="4" t="s">
        <v>1587</v>
      </c>
      <c r="B1526" s="4" t="s">
        <v>268</v>
      </c>
      <c r="C1526" s="4" t="s">
        <v>12</v>
      </c>
      <c r="D1526" s="21">
        <v>499900</v>
      </c>
      <c r="E1526" s="4">
        <v>147</v>
      </c>
      <c r="F1526" s="4">
        <v>6</v>
      </c>
      <c r="G1526" s="4">
        <v>3.1</v>
      </c>
      <c r="H1526" s="10">
        <v>3449</v>
      </c>
      <c r="I1526" s="11">
        <f t="shared" si="46"/>
        <v>144.9405624818788</v>
      </c>
      <c r="J1526" s="3" t="str">
        <f t="shared" si="47"/>
        <v>Low</v>
      </c>
    </row>
    <row r="1527" spans="1:10">
      <c r="A1527" s="7" t="s">
        <v>1588</v>
      </c>
      <c r="B1527" s="7" t="s">
        <v>131</v>
      </c>
      <c r="C1527" s="7" t="s">
        <v>12</v>
      </c>
      <c r="D1527" s="22">
        <v>499900</v>
      </c>
      <c r="E1527" s="7">
        <v>195</v>
      </c>
      <c r="F1527" s="7">
        <v>3</v>
      </c>
      <c r="G1527" s="7">
        <v>2.1</v>
      </c>
      <c r="H1527" s="12">
        <v>1834</v>
      </c>
      <c r="I1527" s="9">
        <f t="shared" si="46"/>
        <v>272.57360959651038</v>
      </c>
      <c r="J1527" s="3" t="str">
        <f t="shared" si="47"/>
        <v>Medium</v>
      </c>
    </row>
    <row r="1528" spans="1:10">
      <c r="A1528" s="4" t="s">
        <v>1589</v>
      </c>
      <c r="B1528" s="4" t="s">
        <v>117</v>
      </c>
      <c r="C1528" s="4" t="s">
        <v>12</v>
      </c>
      <c r="D1528" s="21">
        <v>500000</v>
      </c>
      <c r="E1528" s="4">
        <v>0</v>
      </c>
      <c r="F1528" s="4">
        <v>3</v>
      </c>
      <c r="G1528" s="4">
        <v>2.1</v>
      </c>
      <c r="H1528" s="10">
        <v>2326</v>
      </c>
      <c r="I1528" s="11">
        <f t="shared" si="46"/>
        <v>214.96130696474634</v>
      </c>
      <c r="J1528" s="3" t="str">
        <f t="shared" si="47"/>
        <v>Medium</v>
      </c>
    </row>
    <row r="1529" spans="1:10">
      <c r="A1529" s="7" t="s">
        <v>1590</v>
      </c>
      <c r="B1529" s="7" t="s">
        <v>77</v>
      </c>
      <c r="C1529" s="7" t="s">
        <v>12</v>
      </c>
      <c r="D1529" s="22">
        <v>500000</v>
      </c>
      <c r="E1529" s="7">
        <v>6</v>
      </c>
      <c r="F1529" s="7">
        <v>4</v>
      </c>
      <c r="G1529" s="7">
        <v>2.1</v>
      </c>
      <c r="H1529" s="12">
        <v>2376</v>
      </c>
      <c r="I1529" s="9">
        <f t="shared" si="46"/>
        <v>210.43771043771045</v>
      </c>
      <c r="J1529" s="3" t="str">
        <f t="shared" si="47"/>
        <v>Medium</v>
      </c>
    </row>
    <row r="1530" spans="1:10">
      <c r="A1530" s="4" t="s">
        <v>1591</v>
      </c>
      <c r="B1530" s="4" t="s">
        <v>268</v>
      </c>
      <c r="C1530" s="4" t="s">
        <v>12</v>
      </c>
      <c r="D1530" s="21">
        <v>500000</v>
      </c>
      <c r="E1530" s="4">
        <v>10</v>
      </c>
      <c r="F1530" s="4">
        <v>4</v>
      </c>
      <c r="G1530" s="4">
        <v>2.1</v>
      </c>
      <c r="H1530" s="10">
        <v>2830</v>
      </c>
      <c r="I1530" s="11">
        <f t="shared" si="46"/>
        <v>176.67844522968198</v>
      </c>
      <c r="J1530" s="3" t="str">
        <f t="shared" si="47"/>
        <v>Low</v>
      </c>
    </row>
    <row r="1531" spans="1:10">
      <c r="A1531" s="7" t="s">
        <v>1592</v>
      </c>
      <c r="B1531" s="7" t="s">
        <v>131</v>
      </c>
      <c r="C1531" s="7" t="s">
        <v>12</v>
      </c>
      <c r="D1531" s="22">
        <v>500000</v>
      </c>
      <c r="E1531" s="7">
        <v>7</v>
      </c>
      <c r="F1531" s="7">
        <v>4</v>
      </c>
      <c r="G1531" s="7">
        <v>2</v>
      </c>
      <c r="H1531" s="12">
        <v>1826</v>
      </c>
      <c r="I1531" s="9">
        <f t="shared" si="46"/>
        <v>273.82256297918951</v>
      </c>
      <c r="J1531" s="3" t="str">
        <f t="shared" si="47"/>
        <v>Medium</v>
      </c>
    </row>
    <row r="1532" spans="1:10">
      <c r="A1532" s="4" t="s">
        <v>1593</v>
      </c>
      <c r="B1532" s="4" t="s">
        <v>268</v>
      </c>
      <c r="C1532" s="4" t="s">
        <v>12</v>
      </c>
      <c r="D1532" s="21">
        <v>500000</v>
      </c>
      <c r="E1532" s="4">
        <v>10</v>
      </c>
      <c r="F1532" s="4">
        <v>4</v>
      </c>
      <c r="G1532" s="4">
        <v>3</v>
      </c>
      <c r="H1532" s="10">
        <v>2350</v>
      </c>
      <c r="I1532" s="11">
        <f t="shared" si="46"/>
        <v>212.7659574468085</v>
      </c>
      <c r="J1532" s="3" t="str">
        <f t="shared" si="47"/>
        <v>Medium</v>
      </c>
    </row>
    <row r="1533" spans="1:10">
      <c r="A1533" s="7" t="s">
        <v>1594</v>
      </c>
      <c r="B1533" s="7" t="s">
        <v>16</v>
      </c>
      <c r="C1533" s="7" t="s">
        <v>12</v>
      </c>
      <c r="D1533" s="22">
        <v>500000</v>
      </c>
      <c r="E1533" s="7">
        <v>5</v>
      </c>
      <c r="F1533" s="7">
        <v>4</v>
      </c>
      <c r="G1533" s="7">
        <v>2.1</v>
      </c>
      <c r="H1533" s="12">
        <v>2261</v>
      </c>
      <c r="I1533" s="9">
        <f t="shared" si="46"/>
        <v>221.14108801415304</v>
      </c>
      <c r="J1533" s="3" t="str">
        <f t="shared" si="47"/>
        <v>Medium</v>
      </c>
    </row>
    <row r="1534" spans="1:10">
      <c r="A1534" s="4" t="s">
        <v>1595</v>
      </c>
      <c r="B1534" s="4" t="s">
        <v>80</v>
      </c>
      <c r="C1534" s="4" t="s">
        <v>12</v>
      </c>
      <c r="D1534" s="21">
        <v>500000</v>
      </c>
      <c r="E1534" s="4">
        <v>53</v>
      </c>
      <c r="F1534" s="4">
        <v>3</v>
      </c>
      <c r="G1534" s="4">
        <v>1.1000000000000001</v>
      </c>
      <c r="H1534" s="10">
        <v>1360</v>
      </c>
      <c r="I1534" s="11">
        <f t="shared" si="46"/>
        <v>367.64705882352939</v>
      </c>
      <c r="J1534" s="3" t="str">
        <f t="shared" si="47"/>
        <v>High</v>
      </c>
    </row>
    <row r="1535" spans="1:10">
      <c r="A1535" s="7" t="s">
        <v>1596</v>
      </c>
      <c r="B1535" s="7" t="s">
        <v>117</v>
      </c>
      <c r="C1535" s="7" t="s">
        <v>12</v>
      </c>
      <c r="D1535" s="22">
        <v>500000</v>
      </c>
      <c r="E1535" s="7">
        <v>212</v>
      </c>
      <c r="F1535" s="7">
        <v>4</v>
      </c>
      <c r="G1535" s="7">
        <v>2.1</v>
      </c>
      <c r="H1535" s="12">
        <v>1420</v>
      </c>
      <c r="I1535" s="9">
        <f t="shared" si="46"/>
        <v>352.11267605633805</v>
      </c>
      <c r="J1535" s="3" t="str">
        <f t="shared" si="47"/>
        <v>High</v>
      </c>
    </row>
    <row r="1536" spans="1:10">
      <c r="A1536" s="4" t="s">
        <v>1597</v>
      </c>
      <c r="B1536" s="4" t="s">
        <v>117</v>
      </c>
      <c r="C1536" s="4" t="s">
        <v>12</v>
      </c>
      <c r="D1536" s="21">
        <v>500000</v>
      </c>
      <c r="E1536" s="4">
        <v>51</v>
      </c>
      <c r="F1536" s="4">
        <v>4</v>
      </c>
      <c r="G1536" s="4">
        <v>3.1</v>
      </c>
      <c r="H1536" s="10">
        <v>2906</v>
      </c>
      <c r="I1536" s="11">
        <f t="shared" si="46"/>
        <v>172.05781142463869</v>
      </c>
      <c r="J1536" s="3" t="str">
        <f t="shared" si="47"/>
        <v>Low</v>
      </c>
    </row>
    <row r="1537" spans="1:10">
      <c r="A1537" s="7" t="s">
        <v>1598</v>
      </c>
      <c r="B1537" s="7" t="s">
        <v>728</v>
      </c>
      <c r="C1537" s="7" t="s">
        <v>12</v>
      </c>
      <c r="D1537" s="22">
        <v>500000</v>
      </c>
      <c r="E1537" s="7">
        <v>69</v>
      </c>
      <c r="F1537" s="7">
        <v>3</v>
      </c>
      <c r="G1537" s="7">
        <v>2.2000000000000002</v>
      </c>
      <c r="H1537" s="12">
        <v>2000</v>
      </c>
      <c r="I1537" s="9">
        <f t="shared" si="46"/>
        <v>250</v>
      </c>
      <c r="J1537" s="3" t="str">
        <f t="shared" si="47"/>
        <v>Medium</v>
      </c>
    </row>
    <row r="1538" spans="1:10">
      <c r="A1538" s="4" t="s">
        <v>1599</v>
      </c>
      <c r="B1538" s="4" t="s">
        <v>268</v>
      </c>
      <c r="C1538" s="4" t="s">
        <v>12</v>
      </c>
      <c r="D1538" s="21">
        <v>500000</v>
      </c>
      <c r="E1538" s="4">
        <v>154</v>
      </c>
      <c r="F1538" s="4">
        <v>4</v>
      </c>
      <c r="G1538" s="4">
        <v>2.1</v>
      </c>
      <c r="H1538" s="10">
        <v>2742</v>
      </c>
      <c r="I1538" s="11">
        <f t="shared" ref="I1538:I1601" si="48">D1538/H1538</f>
        <v>182.34865061998542</v>
      </c>
      <c r="J1538" s="3" t="str">
        <f t="shared" ref="J1538:J1601" si="49">IF(I1538 &gt; 300, "High", IF(AND(I1538 &lt;= 300, I1538 &gt; 200), "Medium", "Low"))</f>
        <v>Low</v>
      </c>
    </row>
    <row r="1539" spans="1:10">
      <c r="A1539" s="7" t="s">
        <v>1600</v>
      </c>
      <c r="B1539" s="7" t="s">
        <v>16</v>
      </c>
      <c r="C1539" s="7" t="s">
        <v>12</v>
      </c>
      <c r="D1539" s="22">
        <v>500500</v>
      </c>
      <c r="E1539" s="7">
        <v>3</v>
      </c>
      <c r="F1539" s="7">
        <v>3</v>
      </c>
      <c r="G1539" s="7">
        <v>2.1</v>
      </c>
      <c r="H1539" s="12">
        <v>2114</v>
      </c>
      <c r="I1539" s="9">
        <f t="shared" si="48"/>
        <v>236.75496688741723</v>
      </c>
      <c r="J1539" s="3" t="str">
        <f t="shared" si="49"/>
        <v>Medium</v>
      </c>
    </row>
    <row r="1540" spans="1:10">
      <c r="A1540" s="4" t="s">
        <v>1601</v>
      </c>
      <c r="B1540" s="4" t="s">
        <v>948</v>
      </c>
      <c r="C1540" s="4" t="s">
        <v>12</v>
      </c>
      <c r="D1540" s="21">
        <v>501936</v>
      </c>
      <c r="E1540" s="4">
        <v>338</v>
      </c>
      <c r="F1540" s="4">
        <v>4</v>
      </c>
      <c r="G1540" s="4">
        <v>2.1</v>
      </c>
      <c r="H1540" s="10">
        <v>1939</v>
      </c>
      <c r="I1540" s="11">
        <f t="shared" si="48"/>
        <v>258.86333161423414</v>
      </c>
      <c r="J1540" s="3" t="str">
        <f t="shared" si="49"/>
        <v>Medium</v>
      </c>
    </row>
    <row r="1541" spans="1:10">
      <c r="A1541" s="7" t="s">
        <v>1602</v>
      </c>
      <c r="B1541" s="7" t="s">
        <v>131</v>
      </c>
      <c r="C1541" s="7" t="s">
        <v>12</v>
      </c>
      <c r="D1541" s="22">
        <v>502000</v>
      </c>
      <c r="E1541" s="7">
        <v>9</v>
      </c>
      <c r="F1541" s="7">
        <v>3</v>
      </c>
      <c r="G1541" s="7">
        <v>2.1</v>
      </c>
      <c r="H1541" s="12">
        <v>1786</v>
      </c>
      <c r="I1541" s="9">
        <f t="shared" si="48"/>
        <v>281.07502799552071</v>
      </c>
      <c r="J1541" s="3" t="str">
        <f t="shared" si="49"/>
        <v>Medium</v>
      </c>
    </row>
    <row r="1542" spans="1:10">
      <c r="A1542" s="4" t="s">
        <v>1603</v>
      </c>
      <c r="B1542" s="4" t="s">
        <v>131</v>
      </c>
      <c r="C1542" s="4" t="s">
        <v>12</v>
      </c>
      <c r="D1542" s="21">
        <v>502000</v>
      </c>
      <c r="E1542" s="4">
        <v>107</v>
      </c>
      <c r="F1542" s="4">
        <v>4</v>
      </c>
      <c r="G1542" s="4">
        <v>2.1</v>
      </c>
      <c r="H1542" s="10">
        <v>2106</v>
      </c>
      <c r="I1542" s="11">
        <f t="shared" si="48"/>
        <v>238.36657169990502</v>
      </c>
      <c r="J1542" s="3" t="str">
        <f t="shared" si="49"/>
        <v>Medium</v>
      </c>
    </row>
    <row r="1543" spans="1:10">
      <c r="A1543" s="7" t="s">
        <v>1604</v>
      </c>
      <c r="B1543" s="7" t="s">
        <v>131</v>
      </c>
      <c r="C1543" s="7" t="s">
        <v>12</v>
      </c>
      <c r="D1543" s="22">
        <v>504000</v>
      </c>
      <c r="E1543" s="7">
        <v>15</v>
      </c>
      <c r="F1543" s="7">
        <v>4</v>
      </c>
      <c r="G1543" s="7">
        <v>3.1</v>
      </c>
      <c r="H1543" s="12">
        <v>1783</v>
      </c>
      <c r="I1543" s="9">
        <f t="shared" si="48"/>
        <v>282.66965787997759</v>
      </c>
      <c r="J1543" s="3" t="str">
        <f t="shared" si="49"/>
        <v>Medium</v>
      </c>
    </row>
    <row r="1544" spans="1:10">
      <c r="A1544" s="4" t="s">
        <v>1605</v>
      </c>
      <c r="B1544" s="4" t="s">
        <v>474</v>
      </c>
      <c r="C1544" s="4" t="s">
        <v>12</v>
      </c>
      <c r="D1544" s="21">
        <v>505000</v>
      </c>
      <c r="E1544" s="4">
        <v>11</v>
      </c>
      <c r="F1544" s="4">
        <v>2</v>
      </c>
      <c r="G1544" s="4">
        <v>1</v>
      </c>
      <c r="H1544" s="4">
        <v>690</v>
      </c>
      <c r="I1544" s="11">
        <f t="shared" si="48"/>
        <v>731.8840579710145</v>
      </c>
      <c r="J1544" s="3" t="str">
        <f t="shared" si="49"/>
        <v>High</v>
      </c>
    </row>
    <row r="1545" spans="1:10">
      <c r="A1545" s="7" t="s">
        <v>1606</v>
      </c>
      <c r="B1545" s="7" t="s">
        <v>948</v>
      </c>
      <c r="C1545" s="7" t="s">
        <v>12</v>
      </c>
      <c r="D1545" s="22">
        <v>505000</v>
      </c>
      <c r="E1545" s="7">
        <v>1</v>
      </c>
      <c r="F1545" s="7">
        <v>4</v>
      </c>
      <c r="G1545" s="7">
        <v>2.1</v>
      </c>
      <c r="H1545" s="12">
        <v>1939</v>
      </c>
      <c r="I1545" s="9">
        <f t="shared" si="48"/>
        <v>260.44352759154202</v>
      </c>
      <c r="J1545" s="3" t="str">
        <f t="shared" si="49"/>
        <v>Medium</v>
      </c>
    </row>
    <row r="1546" spans="1:10">
      <c r="A1546" s="4" t="s">
        <v>1607</v>
      </c>
      <c r="B1546" s="4" t="s">
        <v>77</v>
      </c>
      <c r="C1546" s="4" t="s">
        <v>12</v>
      </c>
      <c r="D1546" s="21">
        <v>505000</v>
      </c>
      <c r="E1546" s="4">
        <v>2</v>
      </c>
      <c r="F1546" s="4">
        <v>4</v>
      </c>
      <c r="G1546" s="4">
        <v>3.1</v>
      </c>
      <c r="H1546" s="10">
        <v>1928</v>
      </c>
      <c r="I1546" s="11">
        <f t="shared" si="48"/>
        <v>261.92946058091286</v>
      </c>
      <c r="J1546" s="3" t="str">
        <f t="shared" si="49"/>
        <v>Medium</v>
      </c>
    </row>
    <row r="1547" spans="1:10">
      <c r="A1547" s="7" t="s">
        <v>1608</v>
      </c>
      <c r="B1547" s="7" t="s">
        <v>960</v>
      </c>
      <c r="C1547" s="7" t="s">
        <v>12</v>
      </c>
      <c r="D1547" s="22">
        <v>505000</v>
      </c>
      <c r="E1547" s="7">
        <v>14</v>
      </c>
      <c r="F1547" s="7">
        <v>3</v>
      </c>
      <c r="G1547" s="7">
        <v>2.1</v>
      </c>
      <c r="H1547" s="12">
        <v>2629</v>
      </c>
      <c r="I1547" s="9">
        <f t="shared" si="48"/>
        <v>192.08824648155192</v>
      </c>
      <c r="J1547" s="3" t="str">
        <f t="shared" si="49"/>
        <v>Low</v>
      </c>
    </row>
    <row r="1548" spans="1:10">
      <c r="A1548" s="4" t="s">
        <v>1609</v>
      </c>
      <c r="B1548" s="4" t="s">
        <v>268</v>
      </c>
      <c r="C1548" s="4" t="s">
        <v>12</v>
      </c>
      <c r="D1548" s="21">
        <v>505000</v>
      </c>
      <c r="E1548" s="4">
        <v>1</v>
      </c>
      <c r="F1548" s="4">
        <v>3</v>
      </c>
      <c r="G1548" s="4">
        <v>2.1</v>
      </c>
      <c r="H1548" s="10">
        <v>2492</v>
      </c>
      <c r="I1548" s="11">
        <f t="shared" si="48"/>
        <v>202.64847512038523</v>
      </c>
      <c r="J1548" s="3" t="str">
        <f t="shared" si="49"/>
        <v>Medium</v>
      </c>
    </row>
    <row r="1549" spans="1:10">
      <c r="A1549" s="7" t="s">
        <v>1610</v>
      </c>
      <c r="B1549" s="7" t="s">
        <v>948</v>
      </c>
      <c r="C1549" s="7" t="s">
        <v>12</v>
      </c>
      <c r="D1549" s="22">
        <v>505000</v>
      </c>
      <c r="E1549" s="7">
        <v>97</v>
      </c>
      <c r="F1549" s="7">
        <v>4</v>
      </c>
      <c r="G1549" s="7">
        <v>2.1</v>
      </c>
      <c r="H1549" s="12">
        <v>1939</v>
      </c>
      <c r="I1549" s="9">
        <f t="shared" si="48"/>
        <v>260.44352759154202</v>
      </c>
      <c r="J1549" s="3" t="str">
        <f t="shared" si="49"/>
        <v>Medium</v>
      </c>
    </row>
    <row r="1550" spans="1:10">
      <c r="A1550" s="4" t="s">
        <v>1611</v>
      </c>
      <c r="B1550" s="4" t="s">
        <v>268</v>
      </c>
      <c r="C1550" s="4" t="s">
        <v>12</v>
      </c>
      <c r="D1550" s="21">
        <v>505500</v>
      </c>
      <c r="E1550" s="4">
        <v>27</v>
      </c>
      <c r="F1550" s="4">
        <v>4</v>
      </c>
      <c r="G1550" s="4">
        <v>2.1</v>
      </c>
      <c r="H1550" s="10">
        <v>2855</v>
      </c>
      <c r="I1550" s="11">
        <f t="shared" si="48"/>
        <v>177.05779334500875</v>
      </c>
      <c r="J1550" s="3" t="str">
        <f t="shared" si="49"/>
        <v>Low</v>
      </c>
    </row>
    <row r="1551" spans="1:10">
      <c r="A1551" s="7" t="s">
        <v>1612</v>
      </c>
      <c r="B1551" s="7" t="s">
        <v>80</v>
      </c>
      <c r="C1551" s="7" t="s">
        <v>12</v>
      </c>
      <c r="D1551" s="22">
        <v>506000</v>
      </c>
      <c r="E1551" s="7">
        <v>53</v>
      </c>
      <c r="F1551" s="7">
        <v>3</v>
      </c>
      <c r="G1551" s="7">
        <v>2</v>
      </c>
      <c r="H1551" s="12">
        <v>1654</v>
      </c>
      <c r="I1551" s="9">
        <f t="shared" si="48"/>
        <v>305.92503022974608</v>
      </c>
      <c r="J1551" s="3" t="str">
        <f t="shared" si="49"/>
        <v>High</v>
      </c>
    </row>
    <row r="1552" spans="1:10">
      <c r="A1552" s="4" t="s">
        <v>1613</v>
      </c>
      <c r="B1552" s="4" t="s">
        <v>679</v>
      </c>
      <c r="C1552" s="4" t="s">
        <v>12</v>
      </c>
      <c r="D1552" s="21">
        <v>507500</v>
      </c>
      <c r="E1552" s="4">
        <v>3</v>
      </c>
      <c r="F1552" s="4">
        <v>3</v>
      </c>
      <c r="G1552" s="4">
        <v>1.1000000000000001</v>
      </c>
      <c r="H1552" s="10">
        <v>1125</v>
      </c>
      <c r="I1552" s="11">
        <f t="shared" si="48"/>
        <v>451.11111111111109</v>
      </c>
      <c r="J1552" s="3" t="str">
        <f t="shared" si="49"/>
        <v>High</v>
      </c>
    </row>
    <row r="1553" spans="1:10">
      <c r="A1553" s="7" t="s">
        <v>1614</v>
      </c>
      <c r="B1553" s="7" t="s">
        <v>318</v>
      </c>
      <c r="C1553" s="7" t="s">
        <v>12</v>
      </c>
      <c r="D1553" s="22">
        <v>508000</v>
      </c>
      <c r="E1553" s="7">
        <v>47</v>
      </c>
      <c r="F1553" s="7">
        <v>3</v>
      </c>
      <c r="G1553" s="7">
        <v>2.1</v>
      </c>
      <c r="H1553" s="12">
        <v>2039</v>
      </c>
      <c r="I1553" s="9">
        <f t="shared" si="48"/>
        <v>249.1417361451692</v>
      </c>
      <c r="J1553" s="3" t="str">
        <f t="shared" si="49"/>
        <v>Medium</v>
      </c>
    </row>
    <row r="1554" spans="1:10">
      <c r="A1554" s="4" t="s">
        <v>1615</v>
      </c>
      <c r="B1554" s="4" t="s">
        <v>70</v>
      </c>
      <c r="C1554" s="4" t="s">
        <v>12</v>
      </c>
      <c r="D1554" s="21">
        <v>510000</v>
      </c>
      <c r="E1554" s="4">
        <v>7</v>
      </c>
      <c r="F1554" s="4">
        <v>5</v>
      </c>
      <c r="G1554" s="4">
        <v>2.1</v>
      </c>
      <c r="H1554" s="10">
        <v>2776</v>
      </c>
      <c r="I1554" s="11">
        <f t="shared" si="48"/>
        <v>183.71757925072046</v>
      </c>
      <c r="J1554" s="3" t="str">
        <f t="shared" si="49"/>
        <v>Low</v>
      </c>
    </row>
    <row r="1555" spans="1:10">
      <c r="A1555" s="7" t="s">
        <v>1616</v>
      </c>
      <c r="B1555" s="7" t="s">
        <v>268</v>
      </c>
      <c r="C1555" s="7" t="s">
        <v>12</v>
      </c>
      <c r="D1555" s="22">
        <v>510000</v>
      </c>
      <c r="E1555" s="7">
        <v>14</v>
      </c>
      <c r="F1555" s="7">
        <v>4</v>
      </c>
      <c r="G1555" s="7">
        <v>2.1</v>
      </c>
      <c r="H1555" s="12">
        <v>2958</v>
      </c>
      <c r="I1555" s="9">
        <f t="shared" si="48"/>
        <v>172.41379310344828</v>
      </c>
      <c r="J1555" s="3" t="str">
        <f t="shared" si="49"/>
        <v>Low</v>
      </c>
    </row>
    <row r="1556" spans="1:10">
      <c r="A1556" s="4" t="s">
        <v>1617</v>
      </c>
      <c r="B1556" s="4" t="s">
        <v>212</v>
      </c>
      <c r="C1556" s="4" t="s">
        <v>12</v>
      </c>
      <c r="D1556" s="21">
        <v>510000</v>
      </c>
      <c r="E1556" s="4">
        <v>4</v>
      </c>
      <c r="F1556" s="4">
        <v>4</v>
      </c>
      <c r="G1556" s="4">
        <v>2.1</v>
      </c>
      <c r="H1556" s="10">
        <v>2242</v>
      </c>
      <c r="I1556" s="11">
        <f t="shared" si="48"/>
        <v>227.47546833184657</v>
      </c>
      <c r="J1556" s="3" t="str">
        <f t="shared" si="49"/>
        <v>Medium</v>
      </c>
    </row>
    <row r="1557" spans="1:10">
      <c r="A1557" s="7" t="s">
        <v>1618</v>
      </c>
      <c r="B1557" s="7" t="s">
        <v>18</v>
      </c>
      <c r="C1557" s="7" t="s">
        <v>12</v>
      </c>
      <c r="D1557" s="22">
        <v>510000</v>
      </c>
      <c r="E1557" s="7">
        <v>6</v>
      </c>
      <c r="F1557" s="7">
        <v>4</v>
      </c>
      <c r="G1557" s="7">
        <v>3.1</v>
      </c>
      <c r="H1557" s="12">
        <v>2141</v>
      </c>
      <c r="I1557" s="9">
        <f t="shared" si="48"/>
        <v>238.20644558617468</v>
      </c>
      <c r="J1557" s="3" t="str">
        <f t="shared" si="49"/>
        <v>Medium</v>
      </c>
    </row>
    <row r="1558" spans="1:10">
      <c r="A1558" s="4" t="s">
        <v>1619</v>
      </c>
      <c r="B1558" s="4" t="s">
        <v>823</v>
      </c>
      <c r="C1558" s="4" t="s">
        <v>12</v>
      </c>
      <c r="D1558" s="21">
        <v>510000</v>
      </c>
      <c r="E1558" s="4">
        <v>50</v>
      </c>
      <c r="F1558" s="4">
        <v>4</v>
      </c>
      <c r="G1558" s="4">
        <v>3</v>
      </c>
      <c r="H1558" s="10">
        <v>2206</v>
      </c>
      <c r="I1558" s="11">
        <f t="shared" si="48"/>
        <v>231.18766999093381</v>
      </c>
      <c r="J1558" s="3" t="str">
        <f t="shared" si="49"/>
        <v>Medium</v>
      </c>
    </row>
    <row r="1559" spans="1:10">
      <c r="A1559" s="7" t="s">
        <v>1620</v>
      </c>
      <c r="B1559" s="7" t="s">
        <v>16</v>
      </c>
      <c r="C1559" s="7" t="s">
        <v>12</v>
      </c>
      <c r="D1559" s="22">
        <v>512000</v>
      </c>
      <c r="E1559" s="7">
        <v>13</v>
      </c>
      <c r="F1559" s="7">
        <v>4</v>
      </c>
      <c r="G1559" s="7">
        <v>2.1</v>
      </c>
      <c r="H1559" s="12">
        <v>2649</v>
      </c>
      <c r="I1559" s="9">
        <f t="shared" si="48"/>
        <v>193.280483201208</v>
      </c>
      <c r="J1559" s="3" t="str">
        <f t="shared" si="49"/>
        <v>Low</v>
      </c>
    </row>
    <row r="1560" spans="1:10">
      <c r="A1560" s="4" t="s">
        <v>1621</v>
      </c>
      <c r="B1560" s="4" t="s">
        <v>16</v>
      </c>
      <c r="C1560" s="4" t="s">
        <v>12</v>
      </c>
      <c r="D1560" s="21">
        <v>512500</v>
      </c>
      <c r="E1560" s="4">
        <v>0</v>
      </c>
      <c r="F1560" s="4">
        <v>4</v>
      </c>
      <c r="G1560" s="4">
        <v>2.2000000000000002</v>
      </c>
      <c r="H1560" s="10">
        <v>2689</v>
      </c>
      <c r="I1560" s="11">
        <f t="shared" si="48"/>
        <v>190.59129788025288</v>
      </c>
      <c r="J1560" s="3" t="str">
        <f t="shared" si="49"/>
        <v>Low</v>
      </c>
    </row>
    <row r="1561" spans="1:10">
      <c r="A1561" s="7" t="s">
        <v>1622</v>
      </c>
      <c r="B1561" s="7" t="s">
        <v>268</v>
      </c>
      <c r="C1561" s="7" t="s">
        <v>12</v>
      </c>
      <c r="D1561" s="22">
        <v>512500</v>
      </c>
      <c r="E1561" s="7">
        <v>68</v>
      </c>
      <c r="F1561" s="7">
        <v>4</v>
      </c>
      <c r="G1561" s="7">
        <v>2.2000000000000002</v>
      </c>
      <c r="H1561" s="12">
        <v>4156</v>
      </c>
      <c r="I1561" s="9">
        <f t="shared" si="48"/>
        <v>123.31568816169394</v>
      </c>
      <c r="J1561" s="3" t="str">
        <f t="shared" si="49"/>
        <v>Low</v>
      </c>
    </row>
    <row r="1562" spans="1:10">
      <c r="A1562" s="4" t="s">
        <v>1623</v>
      </c>
      <c r="B1562" s="4" t="s">
        <v>728</v>
      </c>
      <c r="C1562" s="4" t="s">
        <v>12</v>
      </c>
      <c r="D1562" s="21">
        <v>513000</v>
      </c>
      <c r="E1562" s="4">
        <v>314</v>
      </c>
      <c r="F1562" s="4">
        <v>4</v>
      </c>
      <c r="G1562" s="4">
        <v>2.1</v>
      </c>
      <c r="H1562" s="10">
        <v>2698</v>
      </c>
      <c r="I1562" s="11">
        <f t="shared" si="48"/>
        <v>190.14084507042253</v>
      </c>
      <c r="J1562" s="3" t="str">
        <f t="shared" si="49"/>
        <v>Low</v>
      </c>
    </row>
    <row r="1563" spans="1:10">
      <c r="A1563" s="7" t="s">
        <v>1623</v>
      </c>
      <c r="B1563" s="7" t="s">
        <v>728</v>
      </c>
      <c r="C1563" s="7" t="s">
        <v>12</v>
      </c>
      <c r="D1563" s="22">
        <v>513000</v>
      </c>
      <c r="E1563" s="7">
        <v>314</v>
      </c>
      <c r="F1563" s="7">
        <v>4</v>
      </c>
      <c r="G1563" s="7">
        <v>2.1</v>
      </c>
      <c r="H1563" s="12">
        <v>2698</v>
      </c>
      <c r="I1563" s="9">
        <f t="shared" si="48"/>
        <v>190.14084507042253</v>
      </c>
      <c r="J1563" s="3" t="str">
        <f t="shared" si="49"/>
        <v>Low</v>
      </c>
    </row>
    <row r="1564" spans="1:10">
      <c r="A1564" s="4" t="s">
        <v>1624</v>
      </c>
      <c r="B1564" s="4" t="s">
        <v>25</v>
      </c>
      <c r="C1564" s="4" t="s">
        <v>12</v>
      </c>
      <c r="D1564" s="21">
        <v>515000</v>
      </c>
      <c r="E1564" s="4">
        <v>3</v>
      </c>
      <c r="F1564" s="4">
        <v>3</v>
      </c>
      <c r="G1564" s="4">
        <v>2.1</v>
      </c>
      <c r="H1564" s="10">
        <v>2865</v>
      </c>
      <c r="I1564" s="11">
        <f t="shared" si="48"/>
        <v>179.75567190226877</v>
      </c>
      <c r="J1564" s="3" t="str">
        <f t="shared" si="49"/>
        <v>Low</v>
      </c>
    </row>
    <row r="1565" spans="1:10">
      <c r="A1565" s="7" t="s">
        <v>1625</v>
      </c>
      <c r="B1565" s="7" t="s">
        <v>268</v>
      </c>
      <c r="C1565" s="7" t="s">
        <v>12</v>
      </c>
      <c r="D1565" s="22">
        <v>515000</v>
      </c>
      <c r="E1565" s="7">
        <v>14</v>
      </c>
      <c r="F1565" s="7">
        <v>4</v>
      </c>
      <c r="G1565" s="7">
        <v>2.1</v>
      </c>
      <c r="H1565" s="12">
        <v>2431</v>
      </c>
      <c r="I1565" s="9">
        <f t="shared" si="48"/>
        <v>211.84697655285891</v>
      </c>
      <c r="J1565" s="3" t="str">
        <f t="shared" si="49"/>
        <v>Medium</v>
      </c>
    </row>
    <row r="1566" spans="1:10">
      <c r="A1566" s="4" t="s">
        <v>1626</v>
      </c>
      <c r="B1566" s="4" t="s">
        <v>70</v>
      </c>
      <c r="C1566" s="4" t="s">
        <v>12</v>
      </c>
      <c r="D1566" s="21">
        <v>515000</v>
      </c>
      <c r="E1566" s="4">
        <v>9</v>
      </c>
      <c r="F1566" s="4">
        <v>3</v>
      </c>
      <c r="G1566" s="4">
        <v>3.1</v>
      </c>
      <c r="H1566" s="10">
        <v>2425</v>
      </c>
      <c r="I1566" s="11">
        <f t="shared" si="48"/>
        <v>212.37113402061857</v>
      </c>
      <c r="J1566" s="3" t="str">
        <f t="shared" si="49"/>
        <v>Medium</v>
      </c>
    </row>
    <row r="1567" spans="1:10">
      <c r="A1567" s="7" t="s">
        <v>1627</v>
      </c>
      <c r="B1567" s="7" t="s">
        <v>80</v>
      </c>
      <c r="C1567" s="7" t="s">
        <v>12</v>
      </c>
      <c r="D1567" s="22">
        <v>515000</v>
      </c>
      <c r="E1567" s="7">
        <v>19</v>
      </c>
      <c r="F1567" s="7">
        <v>3</v>
      </c>
      <c r="G1567" s="7">
        <v>2.1</v>
      </c>
      <c r="H1567" s="12">
        <v>2726</v>
      </c>
      <c r="I1567" s="9">
        <f t="shared" si="48"/>
        <v>188.92149669845929</v>
      </c>
      <c r="J1567" s="3" t="str">
        <f t="shared" si="49"/>
        <v>Low</v>
      </c>
    </row>
    <row r="1568" spans="1:10">
      <c r="A1568" s="4" t="s">
        <v>1628</v>
      </c>
      <c r="B1568" s="4" t="s">
        <v>18</v>
      </c>
      <c r="C1568" s="4" t="s">
        <v>12</v>
      </c>
      <c r="D1568" s="21">
        <v>515000</v>
      </c>
      <c r="E1568" s="4">
        <v>17</v>
      </c>
      <c r="F1568" s="4">
        <v>4</v>
      </c>
      <c r="G1568" s="4">
        <v>2.1</v>
      </c>
      <c r="H1568" s="10">
        <v>3034</v>
      </c>
      <c r="I1568" s="11">
        <f t="shared" si="48"/>
        <v>169.74291364535267</v>
      </c>
      <c r="J1568" s="3" t="str">
        <f t="shared" si="49"/>
        <v>Low</v>
      </c>
    </row>
    <row r="1569" spans="1:10">
      <c r="A1569" s="7" t="s">
        <v>1629</v>
      </c>
      <c r="B1569" s="7" t="s">
        <v>18</v>
      </c>
      <c r="C1569" s="7" t="s">
        <v>12</v>
      </c>
      <c r="D1569" s="22">
        <v>515000</v>
      </c>
      <c r="E1569" s="7">
        <v>18</v>
      </c>
      <c r="F1569" s="7">
        <v>5</v>
      </c>
      <c r="G1569" s="7">
        <v>4</v>
      </c>
      <c r="H1569" s="12">
        <v>3316</v>
      </c>
      <c r="I1569" s="9">
        <f t="shared" si="48"/>
        <v>155.30759951749096</v>
      </c>
      <c r="J1569" s="3" t="str">
        <f t="shared" si="49"/>
        <v>Low</v>
      </c>
    </row>
    <row r="1570" spans="1:10">
      <c r="A1570" s="4" t="s">
        <v>1630</v>
      </c>
      <c r="B1570" s="4" t="s">
        <v>728</v>
      </c>
      <c r="C1570" s="4" t="s">
        <v>12</v>
      </c>
      <c r="D1570" s="21">
        <v>515000</v>
      </c>
      <c r="E1570" s="4">
        <v>8</v>
      </c>
      <c r="F1570" s="4">
        <v>3</v>
      </c>
      <c r="G1570" s="4">
        <v>1.1000000000000001</v>
      </c>
      <c r="H1570" s="10">
        <v>1514</v>
      </c>
      <c r="I1570" s="11">
        <f t="shared" si="48"/>
        <v>340.15852047556143</v>
      </c>
      <c r="J1570" s="3" t="str">
        <f t="shared" si="49"/>
        <v>High</v>
      </c>
    </row>
    <row r="1571" spans="1:10">
      <c r="A1571" s="7" t="s">
        <v>1631</v>
      </c>
      <c r="B1571" s="7" t="s">
        <v>268</v>
      </c>
      <c r="C1571" s="7" t="s">
        <v>12</v>
      </c>
      <c r="D1571" s="22">
        <v>515000</v>
      </c>
      <c r="E1571" s="7">
        <v>7</v>
      </c>
      <c r="F1571" s="7">
        <v>3</v>
      </c>
      <c r="G1571" s="7">
        <v>2.2000000000000002</v>
      </c>
      <c r="H1571" s="12">
        <v>2744</v>
      </c>
      <c r="I1571" s="9">
        <f t="shared" si="48"/>
        <v>187.68221574344022</v>
      </c>
      <c r="J1571" s="3" t="str">
        <f t="shared" si="49"/>
        <v>Low</v>
      </c>
    </row>
    <row r="1572" spans="1:10">
      <c r="A1572" s="4" t="s">
        <v>1632</v>
      </c>
      <c r="B1572" s="4" t="s">
        <v>18</v>
      </c>
      <c r="C1572" s="4" t="s">
        <v>12</v>
      </c>
      <c r="D1572" s="21">
        <v>515000</v>
      </c>
      <c r="E1572" s="4">
        <v>49</v>
      </c>
      <c r="F1572" s="4">
        <v>5</v>
      </c>
      <c r="G1572" s="4">
        <v>3</v>
      </c>
      <c r="H1572" s="10">
        <v>2607</v>
      </c>
      <c r="I1572" s="11">
        <f t="shared" si="48"/>
        <v>197.54507096279249</v>
      </c>
      <c r="J1572" s="3" t="str">
        <f t="shared" si="49"/>
        <v>Low</v>
      </c>
    </row>
    <row r="1573" spans="1:10">
      <c r="A1573" s="7" t="s">
        <v>1633</v>
      </c>
      <c r="B1573" s="7" t="s">
        <v>18</v>
      </c>
      <c r="C1573" s="7" t="s">
        <v>12</v>
      </c>
      <c r="D1573" s="22">
        <v>515000</v>
      </c>
      <c r="E1573" s="7">
        <v>54</v>
      </c>
      <c r="F1573" s="7">
        <v>4</v>
      </c>
      <c r="G1573" s="7">
        <v>2.1</v>
      </c>
      <c r="H1573" s="12">
        <v>2651</v>
      </c>
      <c r="I1573" s="9">
        <f t="shared" si="48"/>
        <v>194.26631459826481</v>
      </c>
      <c r="J1573" s="3" t="str">
        <f t="shared" si="49"/>
        <v>Low</v>
      </c>
    </row>
    <row r="1574" spans="1:10">
      <c r="A1574" s="4" t="s">
        <v>1634</v>
      </c>
      <c r="B1574" s="4" t="s">
        <v>823</v>
      </c>
      <c r="C1574" s="4" t="s">
        <v>12</v>
      </c>
      <c r="D1574" s="21">
        <v>515000</v>
      </c>
      <c r="E1574" s="4">
        <v>46</v>
      </c>
      <c r="F1574" s="4">
        <v>4</v>
      </c>
      <c r="G1574" s="4">
        <v>2.1</v>
      </c>
      <c r="H1574" s="10">
        <v>2635</v>
      </c>
      <c r="I1574" s="11">
        <f t="shared" si="48"/>
        <v>195.44592030360531</v>
      </c>
      <c r="J1574" s="3" t="str">
        <f t="shared" si="49"/>
        <v>Low</v>
      </c>
    </row>
    <row r="1575" spans="1:10">
      <c r="A1575" s="7" t="s">
        <v>1635</v>
      </c>
      <c r="B1575" s="7" t="s">
        <v>645</v>
      </c>
      <c r="C1575" s="7" t="s">
        <v>12</v>
      </c>
      <c r="D1575" s="22">
        <v>515000</v>
      </c>
      <c r="E1575" s="7">
        <v>57</v>
      </c>
      <c r="F1575" s="7">
        <v>4</v>
      </c>
      <c r="G1575" s="7">
        <v>2.1</v>
      </c>
      <c r="H1575" s="12">
        <v>2304</v>
      </c>
      <c r="I1575" s="9">
        <f t="shared" si="48"/>
        <v>223.52430555555554</v>
      </c>
      <c r="J1575" s="3" t="str">
        <f t="shared" si="49"/>
        <v>Medium</v>
      </c>
    </row>
    <row r="1576" spans="1:10">
      <c r="A1576" s="4" t="s">
        <v>1636</v>
      </c>
      <c r="B1576" s="4" t="s">
        <v>18</v>
      </c>
      <c r="C1576" s="4" t="s">
        <v>12</v>
      </c>
      <c r="D1576" s="21">
        <v>515000</v>
      </c>
      <c r="E1576" s="4">
        <v>61</v>
      </c>
      <c r="F1576" s="4">
        <v>4</v>
      </c>
      <c r="G1576" s="4">
        <v>2.1</v>
      </c>
      <c r="H1576" s="10">
        <v>2636</v>
      </c>
      <c r="I1576" s="11">
        <f t="shared" si="48"/>
        <v>195.37177541729895</v>
      </c>
      <c r="J1576" s="3" t="str">
        <f t="shared" si="49"/>
        <v>Low</v>
      </c>
    </row>
    <row r="1577" spans="1:10">
      <c r="A1577" s="7" t="s">
        <v>1637</v>
      </c>
      <c r="B1577" s="7" t="s">
        <v>331</v>
      </c>
      <c r="C1577" s="7" t="s">
        <v>12</v>
      </c>
      <c r="D1577" s="22">
        <v>515015</v>
      </c>
      <c r="E1577" s="7">
        <v>134</v>
      </c>
      <c r="F1577" s="7">
        <v>3</v>
      </c>
      <c r="G1577" s="7">
        <v>2.1</v>
      </c>
      <c r="H1577" s="12">
        <v>2397</v>
      </c>
      <c r="I1577" s="9">
        <f t="shared" si="48"/>
        <v>214.8581560283688</v>
      </c>
      <c r="J1577" s="3" t="str">
        <f t="shared" si="49"/>
        <v>Medium</v>
      </c>
    </row>
    <row r="1578" spans="1:10">
      <c r="A1578" s="4" t="s">
        <v>1638</v>
      </c>
      <c r="B1578" s="4" t="s">
        <v>77</v>
      </c>
      <c r="C1578" s="4" t="s">
        <v>12</v>
      </c>
      <c r="D1578" s="21">
        <v>517000</v>
      </c>
      <c r="E1578" s="4">
        <v>4</v>
      </c>
      <c r="F1578" s="4">
        <v>5</v>
      </c>
      <c r="G1578" s="4">
        <v>3.1</v>
      </c>
      <c r="H1578" s="10">
        <v>2200</v>
      </c>
      <c r="I1578" s="11">
        <f t="shared" si="48"/>
        <v>235</v>
      </c>
      <c r="J1578" s="3" t="str">
        <f t="shared" si="49"/>
        <v>Medium</v>
      </c>
    </row>
    <row r="1579" spans="1:10">
      <c r="A1579" s="7" t="s">
        <v>1639</v>
      </c>
      <c r="B1579" s="7" t="s">
        <v>131</v>
      </c>
      <c r="C1579" s="7" t="s">
        <v>12</v>
      </c>
      <c r="D1579" s="22">
        <v>517500</v>
      </c>
      <c r="E1579" s="7">
        <v>5</v>
      </c>
      <c r="F1579" s="7">
        <v>4</v>
      </c>
      <c r="G1579" s="7">
        <v>2</v>
      </c>
      <c r="H1579" s="12">
        <v>2152</v>
      </c>
      <c r="I1579" s="9">
        <f t="shared" si="48"/>
        <v>240.47397769516729</v>
      </c>
      <c r="J1579" s="3" t="str">
        <f t="shared" si="49"/>
        <v>Medium</v>
      </c>
    </row>
    <row r="1580" spans="1:10">
      <c r="A1580" s="4" t="s">
        <v>1640</v>
      </c>
      <c r="B1580" s="4" t="s">
        <v>11</v>
      </c>
      <c r="C1580" s="4" t="s">
        <v>12</v>
      </c>
      <c r="D1580" s="21">
        <v>520000</v>
      </c>
      <c r="E1580" s="4">
        <v>105</v>
      </c>
      <c r="F1580" s="4">
        <v>4</v>
      </c>
      <c r="G1580" s="4">
        <v>3.1</v>
      </c>
      <c r="H1580" s="10">
        <v>2042</v>
      </c>
      <c r="I1580" s="11">
        <f t="shared" si="48"/>
        <v>254.65230166503429</v>
      </c>
      <c r="J1580" s="3" t="str">
        <f t="shared" si="49"/>
        <v>Medium</v>
      </c>
    </row>
    <row r="1581" spans="1:10">
      <c r="A1581" s="7" t="s">
        <v>1641</v>
      </c>
      <c r="B1581" s="7" t="s">
        <v>1051</v>
      </c>
      <c r="C1581" s="7" t="s">
        <v>12</v>
      </c>
      <c r="D1581" s="22">
        <v>520000</v>
      </c>
      <c r="E1581" s="7">
        <v>44</v>
      </c>
      <c r="F1581" s="7">
        <v>5</v>
      </c>
      <c r="G1581" s="7">
        <v>3</v>
      </c>
      <c r="H1581" s="12">
        <v>2082</v>
      </c>
      <c r="I1581" s="9">
        <f t="shared" si="48"/>
        <v>249.75984630163305</v>
      </c>
      <c r="J1581" s="3" t="str">
        <f t="shared" si="49"/>
        <v>Medium</v>
      </c>
    </row>
    <row r="1582" spans="1:10">
      <c r="A1582" s="4" t="s">
        <v>1642</v>
      </c>
      <c r="B1582" s="4" t="s">
        <v>56</v>
      </c>
      <c r="C1582" s="4" t="s">
        <v>12</v>
      </c>
      <c r="D1582" s="21">
        <v>520000</v>
      </c>
      <c r="E1582" s="4">
        <v>81</v>
      </c>
      <c r="F1582" s="4">
        <v>4</v>
      </c>
      <c r="G1582" s="4">
        <v>3.1</v>
      </c>
      <c r="H1582" s="10">
        <v>2156</v>
      </c>
      <c r="I1582" s="11">
        <f t="shared" si="48"/>
        <v>241.18738404452691</v>
      </c>
      <c r="J1582" s="3" t="str">
        <f t="shared" si="49"/>
        <v>Medium</v>
      </c>
    </row>
    <row r="1583" spans="1:10">
      <c r="A1583" s="7" t="s">
        <v>1643</v>
      </c>
      <c r="B1583" s="7" t="s">
        <v>131</v>
      </c>
      <c r="C1583" s="7" t="s">
        <v>12</v>
      </c>
      <c r="D1583" s="22">
        <v>520000</v>
      </c>
      <c r="E1583" s="7">
        <v>36</v>
      </c>
      <c r="F1583" s="7">
        <v>3</v>
      </c>
      <c r="G1583" s="7">
        <v>2.1</v>
      </c>
      <c r="H1583" s="12">
        <v>2100</v>
      </c>
      <c r="I1583" s="9">
        <f t="shared" si="48"/>
        <v>247.61904761904762</v>
      </c>
      <c r="J1583" s="3" t="str">
        <f t="shared" si="49"/>
        <v>Medium</v>
      </c>
    </row>
    <row r="1584" spans="1:10">
      <c r="A1584" s="4" t="s">
        <v>1644</v>
      </c>
      <c r="B1584" s="4" t="s">
        <v>400</v>
      </c>
      <c r="C1584" s="4" t="s">
        <v>12</v>
      </c>
      <c r="D1584" s="21">
        <v>520000</v>
      </c>
      <c r="E1584" s="4">
        <v>51</v>
      </c>
      <c r="F1584" s="4">
        <v>4</v>
      </c>
      <c r="G1584" s="4">
        <v>2.1</v>
      </c>
      <c r="H1584" s="10">
        <v>3050</v>
      </c>
      <c r="I1584" s="11">
        <f t="shared" si="48"/>
        <v>170.49180327868854</v>
      </c>
      <c r="J1584" s="3" t="str">
        <f t="shared" si="49"/>
        <v>Low</v>
      </c>
    </row>
    <row r="1585" spans="1:10">
      <c r="A1585" s="7" t="s">
        <v>1645</v>
      </c>
      <c r="B1585" s="7" t="s">
        <v>298</v>
      </c>
      <c r="C1585" s="7" t="s">
        <v>12</v>
      </c>
      <c r="D1585" s="22">
        <v>520000</v>
      </c>
      <c r="E1585" s="7">
        <v>83</v>
      </c>
      <c r="F1585" s="7">
        <v>4</v>
      </c>
      <c r="G1585" s="7">
        <v>2.1</v>
      </c>
      <c r="H1585" s="12">
        <v>1863</v>
      </c>
      <c r="I1585" s="9">
        <f t="shared" si="48"/>
        <v>279.11969940955447</v>
      </c>
      <c r="J1585" s="3" t="str">
        <f t="shared" si="49"/>
        <v>Medium</v>
      </c>
    </row>
    <row r="1586" spans="1:10">
      <c r="A1586" s="4" t="s">
        <v>1646</v>
      </c>
      <c r="B1586" s="4" t="s">
        <v>212</v>
      </c>
      <c r="C1586" s="4" t="s">
        <v>12</v>
      </c>
      <c r="D1586" s="21">
        <v>522000</v>
      </c>
      <c r="E1586" s="4">
        <v>8</v>
      </c>
      <c r="F1586" s="4">
        <v>3</v>
      </c>
      <c r="G1586" s="4">
        <v>3</v>
      </c>
      <c r="H1586" s="10">
        <v>1416</v>
      </c>
      <c r="I1586" s="11">
        <f t="shared" si="48"/>
        <v>368.64406779661016</v>
      </c>
      <c r="J1586" s="3" t="str">
        <f t="shared" si="49"/>
        <v>High</v>
      </c>
    </row>
    <row r="1587" spans="1:10">
      <c r="A1587" s="7" t="s">
        <v>1647</v>
      </c>
      <c r="B1587" s="7" t="s">
        <v>960</v>
      </c>
      <c r="C1587" s="7" t="s">
        <v>12</v>
      </c>
      <c r="D1587" s="22">
        <v>522500</v>
      </c>
      <c r="E1587" s="7">
        <v>108</v>
      </c>
      <c r="F1587" s="7">
        <v>3</v>
      </c>
      <c r="G1587" s="7">
        <v>2.2000000000000002</v>
      </c>
      <c r="H1587" s="12">
        <v>1513</v>
      </c>
      <c r="I1587" s="9">
        <f t="shared" si="48"/>
        <v>345.34038334434899</v>
      </c>
      <c r="J1587" s="3" t="str">
        <f t="shared" si="49"/>
        <v>High</v>
      </c>
    </row>
    <row r="1588" spans="1:10">
      <c r="A1588" s="4" t="s">
        <v>1648</v>
      </c>
      <c r="B1588" s="4" t="s">
        <v>268</v>
      </c>
      <c r="C1588" s="4" t="s">
        <v>12</v>
      </c>
      <c r="D1588" s="21">
        <v>524900</v>
      </c>
      <c r="E1588" s="4">
        <v>7</v>
      </c>
      <c r="F1588" s="4">
        <v>3</v>
      </c>
      <c r="G1588" s="4">
        <v>2.1</v>
      </c>
      <c r="H1588" s="10">
        <v>2264</v>
      </c>
      <c r="I1588" s="11">
        <f t="shared" si="48"/>
        <v>231.84628975265016</v>
      </c>
      <c r="J1588" s="3" t="str">
        <f t="shared" si="49"/>
        <v>Medium</v>
      </c>
    </row>
    <row r="1589" spans="1:10">
      <c r="A1589" s="7" t="s">
        <v>1649</v>
      </c>
      <c r="B1589" s="7" t="s">
        <v>268</v>
      </c>
      <c r="C1589" s="7" t="s">
        <v>12</v>
      </c>
      <c r="D1589" s="22">
        <v>525000</v>
      </c>
      <c r="E1589" s="7">
        <v>7</v>
      </c>
      <c r="F1589" s="7">
        <v>4</v>
      </c>
      <c r="G1589" s="7">
        <v>3.1</v>
      </c>
      <c r="H1589" s="12">
        <v>2377</v>
      </c>
      <c r="I1589" s="9">
        <f t="shared" si="48"/>
        <v>220.86663862010937</v>
      </c>
      <c r="J1589" s="3" t="str">
        <f t="shared" si="49"/>
        <v>Medium</v>
      </c>
    </row>
    <row r="1590" spans="1:10">
      <c r="A1590" s="4" t="s">
        <v>1650</v>
      </c>
      <c r="B1590" s="4" t="s">
        <v>823</v>
      </c>
      <c r="C1590" s="4" t="s">
        <v>12</v>
      </c>
      <c r="D1590" s="21">
        <v>525000</v>
      </c>
      <c r="E1590" s="4">
        <v>16</v>
      </c>
      <c r="F1590" s="4">
        <v>4</v>
      </c>
      <c r="G1590" s="4">
        <v>2.1</v>
      </c>
      <c r="H1590" s="10">
        <v>2800</v>
      </c>
      <c r="I1590" s="11">
        <f t="shared" si="48"/>
        <v>187.5</v>
      </c>
      <c r="J1590" s="3" t="str">
        <f t="shared" si="49"/>
        <v>Low</v>
      </c>
    </row>
    <row r="1591" spans="1:10">
      <c r="A1591" s="7" t="s">
        <v>1651</v>
      </c>
      <c r="B1591" s="7" t="s">
        <v>679</v>
      </c>
      <c r="C1591" s="7" t="s">
        <v>12</v>
      </c>
      <c r="D1591" s="22">
        <v>525000</v>
      </c>
      <c r="E1591" s="7">
        <v>3</v>
      </c>
      <c r="F1591" s="7">
        <v>3</v>
      </c>
      <c r="G1591" s="7">
        <v>2</v>
      </c>
      <c r="H1591" s="12">
        <v>1432</v>
      </c>
      <c r="I1591" s="9">
        <f t="shared" si="48"/>
        <v>366.62011173184356</v>
      </c>
      <c r="J1591" s="3" t="str">
        <f t="shared" si="49"/>
        <v>High</v>
      </c>
    </row>
    <row r="1592" spans="1:10">
      <c r="A1592" s="4" t="s">
        <v>1652</v>
      </c>
      <c r="B1592" s="4" t="s">
        <v>11</v>
      </c>
      <c r="C1592" s="4" t="s">
        <v>12</v>
      </c>
      <c r="D1592" s="21">
        <v>525000</v>
      </c>
      <c r="E1592" s="4">
        <v>45</v>
      </c>
      <c r="F1592" s="4">
        <v>3</v>
      </c>
      <c r="G1592" s="4">
        <v>2</v>
      </c>
      <c r="H1592" s="10">
        <v>1500</v>
      </c>
      <c r="I1592" s="11">
        <f t="shared" si="48"/>
        <v>350</v>
      </c>
      <c r="J1592" s="3" t="str">
        <f t="shared" si="49"/>
        <v>High</v>
      </c>
    </row>
    <row r="1593" spans="1:10">
      <c r="A1593" s="7" t="s">
        <v>1653</v>
      </c>
      <c r="B1593" s="7" t="s">
        <v>400</v>
      </c>
      <c r="C1593" s="7" t="s">
        <v>12</v>
      </c>
      <c r="D1593" s="22">
        <v>525000</v>
      </c>
      <c r="E1593" s="7">
        <v>44</v>
      </c>
      <c r="F1593" s="7">
        <v>4</v>
      </c>
      <c r="G1593" s="7">
        <v>4.0999999999999996</v>
      </c>
      <c r="H1593" s="12">
        <v>3143</v>
      </c>
      <c r="I1593" s="9">
        <f t="shared" si="48"/>
        <v>167.03786191536747</v>
      </c>
      <c r="J1593" s="3" t="str">
        <f t="shared" si="49"/>
        <v>Low</v>
      </c>
    </row>
    <row r="1594" spans="1:10">
      <c r="A1594" s="4" t="s">
        <v>1654</v>
      </c>
      <c r="B1594" s="4" t="s">
        <v>93</v>
      </c>
      <c r="C1594" s="4" t="s">
        <v>12</v>
      </c>
      <c r="D1594" s="21">
        <v>525000</v>
      </c>
      <c r="E1594" s="4">
        <v>40</v>
      </c>
      <c r="F1594" s="4">
        <v>4</v>
      </c>
      <c r="G1594" s="4">
        <v>2.1</v>
      </c>
      <c r="H1594" s="10">
        <v>2355</v>
      </c>
      <c r="I1594" s="11">
        <f t="shared" si="48"/>
        <v>222.9299363057325</v>
      </c>
      <c r="J1594" s="3" t="str">
        <f t="shared" si="49"/>
        <v>Medium</v>
      </c>
    </row>
    <row r="1595" spans="1:10">
      <c r="A1595" s="7" t="s">
        <v>1655</v>
      </c>
      <c r="B1595" s="7" t="s">
        <v>823</v>
      </c>
      <c r="C1595" s="7" t="s">
        <v>12</v>
      </c>
      <c r="D1595" s="22">
        <v>525000</v>
      </c>
      <c r="E1595" s="7">
        <v>86</v>
      </c>
      <c r="F1595" s="7">
        <v>4</v>
      </c>
      <c r="G1595" s="7">
        <v>2.1</v>
      </c>
      <c r="H1595" s="12">
        <v>2700</v>
      </c>
      <c r="I1595" s="9">
        <f t="shared" si="48"/>
        <v>194.44444444444446</v>
      </c>
      <c r="J1595" s="3" t="str">
        <f t="shared" si="49"/>
        <v>Low</v>
      </c>
    </row>
    <row r="1596" spans="1:10">
      <c r="A1596" s="4" t="s">
        <v>1656</v>
      </c>
      <c r="B1596" s="4" t="s">
        <v>56</v>
      </c>
      <c r="C1596" s="4" t="s">
        <v>12</v>
      </c>
      <c r="D1596" s="21">
        <v>525033</v>
      </c>
      <c r="E1596" s="4">
        <v>93</v>
      </c>
      <c r="F1596" s="4">
        <v>4</v>
      </c>
      <c r="G1596" s="4">
        <v>2.1</v>
      </c>
      <c r="H1596" s="10">
        <v>2180</v>
      </c>
      <c r="I1596" s="11">
        <f t="shared" si="48"/>
        <v>240.84082568807341</v>
      </c>
      <c r="J1596" s="3" t="str">
        <f t="shared" si="49"/>
        <v>Medium</v>
      </c>
    </row>
    <row r="1597" spans="1:10">
      <c r="A1597" s="7" t="s">
        <v>1657</v>
      </c>
      <c r="B1597" s="7" t="s">
        <v>318</v>
      </c>
      <c r="C1597" s="7" t="s">
        <v>12</v>
      </c>
      <c r="D1597" s="22">
        <v>525580</v>
      </c>
      <c r="E1597" s="7">
        <v>434</v>
      </c>
      <c r="F1597" s="7">
        <v>4</v>
      </c>
      <c r="G1597" s="7">
        <v>2.1</v>
      </c>
      <c r="H1597" s="12">
        <v>2735</v>
      </c>
      <c r="I1597" s="9">
        <f t="shared" si="48"/>
        <v>192.16819012797075</v>
      </c>
      <c r="J1597" s="3" t="str">
        <f t="shared" si="49"/>
        <v>Low</v>
      </c>
    </row>
    <row r="1598" spans="1:10">
      <c r="A1598" s="4" t="s">
        <v>1658</v>
      </c>
      <c r="B1598" s="4" t="s">
        <v>16</v>
      </c>
      <c r="C1598" s="4" t="s">
        <v>12</v>
      </c>
      <c r="D1598" s="21">
        <v>527500</v>
      </c>
      <c r="E1598" s="4">
        <v>8</v>
      </c>
      <c r="F1598" s="4">
        <v>4</v>
      </c>
      <c r="G1598" s="4">
        <v>2.1</v>
      </c>
      <c r="H1598" s="10">
        <v>2748</v>
      </c>
      <c r="I1598" s="11">
        <f t="shared" si="48"/>
        <v>191.95778748180496</v>
      </c>
      <c r="J1598" s="3" t="str">
        <f t="shared" si="49"/>
        <v>Low</v>
      </c>
    </row>
    <row r="1599" spans="1:10">
      <c r="A1599" s="7" t="s">
        <v>1659</v>
      </c>
      <c r="B1599" s="7" t="s">
        <v>70</v>
      </c>
      <c r="C1599" s="7" t="s">
        <v>12</v>
      </c>
      <c r="D1599" s="22">
        <v>528000</v>
      </c>
      <c r="E1599" s="7">
        <v>5</v>
      </c>
      <c r="F1599" s="7">
        <v>4</v>
      </c>
      <c r="G1599" s="7">
        <v>2.1</v>
      </c>
      <c r="H1599" s="12">
        <v>3055</v>
      </c>
      <c r="I1599" s="9">
        <f t="shared" si="48"/>
        <v>172.83142389525369</v>
      </c>
      <c r="J1599" s="3" t="str">
        <f t="shared" si="49"/>
        <v>Low</v>
      </c>
    </row>
    <row r="1600" spans="1:10">
      <c r="A1600" s="4" t="s">
        <v>1660</v>
      </c>
      <c r="B1600" s="4" t="s">
        <v>70</v>
      </c>
      <c r="C1600" s="4" t="s">
        <v>12</v>
      </c>
      <c r="D1600" s="21">
        <v>528650</v>
      </c>
      <c r="E1600" s="4">
        <v>7</v>
      </c>
      <c r="F1600" s="4">
        <v>4</v>
      </c>
      <c r="G1600" s="4">
        <v>3.1</v>
      </c>
      <c r="H1600" s="10">
        <v>2920</v>
      </c>
      <c r="I1600" s="11">
        <f t="shared" si="48"/>
        <v>181.04452054794521</v>
      </c>
      <c r="J1600" s="3" t="str">
        <f t="shared" si="49"/>
        <v>Low</v>
      </c>
    </row>
    <row r="1601" spans="1:10">
      <c r="A1601" s="7" t="s">
        <v>1661</v>
      </c>
      <c r="B1601" s="7" t="s">
        <v>823</v>
      </c>
      <c r="C1601" s="7" t="s">
        <v>12</v>
      </c>
      <c r="D1601" s="22">
        <v>529000</v>
      </c>
      <c r="E1601" s="7">
        <v>9</v>
      </c>
      <c r="F1601" s="7">
        <v>4</v>
      </c>
      <c r="G1601" s="7">
        <v>2.1</v>
      </c>
      <c r="H1601" s="12">
        <v>2820</v>
      </c>
      <c r="I1601" s="9">
        <f t="shared" si="48"/>
        <v>187.58865248226951</v>
      </c>
      <c r="J1601" s="3" t="str">
        <f t="shared" si="49"/>
        <v>Low</v>
      </c>
    </row>
    <row r="1602" spans="1:10">
      <c r="A1602" s="4" t="s">
        <v>1662</v>
      </c>
      <c r="B1602" s="4" t="s">
        <v>93</v>
      </c>
      <c r="C1602" s="4" t="s">
        <v>12</v>
      </c>
      <c r="D1602" s="21">
        <v>529900</v>
      </c>
      <c r="E1602" s="4">
        <v>27</v>
      </c>
      <c r="F1602" s="4">
        <v>3</v>
      </c>
      <c r="G1602" s="4">
        <v>3</v>
      </c>
      <c r="H1602" s="10">
        <v>1625</v>
      </c>
      <c r="I1602" s="11">
        <f t="shared" ref="I1602:I1665" si="50">D1602/H1602</f>
        <v>326.09230769230771</v>
      </c>
      <c r="J1602" s="3" t="str">
        <f t="shared" ref="J1602:J1665" si="51">IF(I1602 &gt; 300, "High", IF(AND(I1602 &lt;= 300, I1602 &gt; 200), "Medium", "Low"))</f>
        <v>High</v>
      </c>
    </row>
    <row r="1603" spans="1:10">
      <c r="A1603" s="7" t="s">
        <v>1663</v>
      </c>
      <c r="B1603" s="7" t="s">
        <v>948</v>
      </c>
      <c r="C1603" s="7" t="s">
        <v>12</v>
      </c>
      <c r="D1603" s="22">
        <v>530000</v>
      </c>
      <c r="E1603" s="7">
        <v>19</v>
      </c>
      <c r="F1603" s="7">
        <v>4</v>
      </c>
      <c r="G1603" s="7">
        <v>3.1</v>
      </c>
      <c r="H1603" s="12">
        <v>2515</v>
      </c>
      <c r="I1603" s="9">
        <f t="shared" si="50"/>
        <v>210.73558648111333</v>
      </c>
      <c r="J1603" s="3" t="str">
        <f t="shared" si="51"/>
        <v>Medium</v>
      </c>
    </row>
    <row r="1604" spans="1:10">
      <c r="A1604" s="4" t="s">
        <v>1664</v>
      </c>
      <c r="B1604" s="4" t="s">
        <v>56</v>
      </c>
      <c r="C1604" s="4" t="s">
        <v>12</v>
      </c>
      <c r="D1604" s="21">
        <v>530000</v>
      </c>
      <c r="E1604" s="4">
        <v>7</v>
      </c>
      <c r="F1604" s="4">
        <v>3</v>
      </c>
      <c r="G1604" s="4">
        <v>3.1</v>
      </c>
      <c r="H1604" s="10">
        <v>2744</v>
      </c>
      <c r="I1604" s="11">
        <f t="shared" si="50"/>
        <v>193.14868804664724</v>
      </c>
      <c r="J1604" s="3" t="str">
        <f t="shared" si="51"/>
        <v>Low</v>
      </c>
    </row>
    <row r="1605" spans="1:10">
      <c r="A1605" s="7" t="s">
        <v>1665</v>
      </c>
      <c r="B1605" s="7" t="s">
        <v>948</v>
      </c>
      <c r="C1605" s="7" t="s">
        <v>12</v>
      </c>
      <c r="D1605" s="22">
        <v>530000</v>
      </c>
      <c r="E1605" s="7">
        <v>1</v>
      </c>
      <c r="F1605" s="7">
        <v>4</v>
      </c>
      <c r="G1605" s="7">
        <v>2.1</v>
      </c>
      <c r="H1605" s="12">
        <v>2492</v>
      </c>
      <c r="I1605" s="9">
        <f t="shared" si="50"/>
        <v>212.68057784911718</v>
      </c>
      <c r="J1605" s="3" t="str">
        <f t="shared" si="51"/>
        <v>Medium</v>
      </c>
    </row>
    <row r="1606" spans="1:10">
      <c r="A1606" s="4" t="s">
        <v>1666</v>
      </c>
      <c r="B1606" s="4" t="s">
        <v>16</v>
      </c>
      <c r="C1606" s="4" t="s">
        <v>12</v>
      </c>
      <c r="D1606" s="21">
        <v>530000</v>
      </c>
      <c r="E1606" s="4">
        <v>10</v>
      </c>
      <c r="F1606" s="4">
        <v>3</v>
      </c>
      <c r="G1606" s="4">
        <v>2.1</v>
      </c>
      <c r="H1606" s="10">
        <v>2145</v>
      </c>
      <c r="I1606" s="11">
        <f t="shared" si="50"/>
        <v>247.08624708624708</v>
      </c>
      <c r="J1606" s="3" t="str">
        <f t="shared" si="51"/>
        <v>Medium</v>
      </c>
    </row>
    <row r="1607" spans="1:10">
      <c r="A1607" s="7" t="s">
        <v>1667</v>
      </c>
      <c r="B1607" s="7" t="s">
        <v>268</v>
      </c>
      <c r="C1607" s="7" t="s">
        <v>12</v>
      </c>
      <c r="D1607" s="22">
        <v>530000</v>
      </c>
      <c r="E1607" s="7">
        <v>92</v>
      </c>
      <c r="F1607" s="7">
        <v>4</v>
      </c>
      <c r="G1607" s="7">
        <v>4.2</v>
      </c>
      <c r="H1607" s="12">
        <v>3346</v>
      </c>
      <c r="I1607" s="9">
        <f t="shared" si="50"/>
        <v>158.39808726838015</v>
      </c>
      <c r="J1607" s="3" t="str">
        <f t="shared" si="51"/>
        <v>Low</v>
      </c>
    </row>
    <row r="1608" spans="1:10">
      <c r="A1608" s="4" t="s">
        <v>1668</v>
      </c>
      <c r="B1608" s="4" t="s">
        <v>948</v>
      </c>
      <c r="C1608" s="4" t="s">
        <v>12</v>
      </c>
      <c r="D1608" s="21">
        <v>530000</v>
      </c>
      <c r="E1608" s="4">
        <v>61</v>
      </c>
      <c r="F1608" s="4">
        <v>4</v>
      </c>
      <c r="G1608" s="4">
        <v>2.1</v>
      </c>
      <c r="H1608" s="10">
        <v>2492</v>
      </c>
      <c r="I1608" s="11">
        <f t="shared" si="50"/>
        <v>212.68057784911718</v>
      </c>
      <c r="J1608" s="3" t="str">
        <f t="shared" si="51"/>
        <v>Medium</v>
      </c>
    </row>
    <row r="1609" spans="1:10">
      <c r="A1609" s="7" t="s">
        <v>1669</v>
      </c>
      <c r="B1609" s="7" t="s">
        <v>77</v>
      </c>
      <c r="C1609" s="7" t="s">
        <v>12</v>
      </c>
      <c r="D1609" s="22">
        <v>531500</v>
      </c>
      <c r="E1609" s="7">
        <v>12</v>
      </c>
      <c r="F1609" s="7">
        <v>4</v>
      </c>
      <c r="G1609" s="7">
        <v>2.1</v>
      </c>
      <c r="H1609" s="12">
        <v>2920</v>
      </c>
      <c r="I1609" s="9">
        <f t="shared" si="50"/>
        <v>182.02054794520549</v>
      </c>
      <c r="J1609" s="3" t="str">
        <f t="shared" si="51"/>
        <v>Low</v>
      </c>
    </row>
    <row r="1610" spans="1:10">
      <c r="A1610" s="4" t="s">
        <v>1670</v>
      </c>
      <c r="B1610" s="4" t="s">
        <v>212</v>
      </c>
      <c r="C1610" s="4" t="s">
        <v>12</v>
      </c>
      <c r="D1610" s="21">
        <v>533000</v>
      </c>
      <c r="E1610" s="4">
        <v>6</v>
      </c>
      <c r="F1610" s="4">
        <v>6</v>
      </c>
      <c r="G1610" s="4">
        <v>3.1</v>
      </c>
      <c r="H1610" s="10">
        <v>2960</v>
      </c>
      <c r="I1610" s="11">
        <f t="shared" si="50"/>
        <v>180.06756756756758</v>
      </c>
      <c r="J1610" s="3" t="str">
        <f t="shared" si="51"/>
        <v>Low</v>
      </c>
    </row>
    <row r="1611" spans="1:10">
      <c r="A1611" s="7" t="s">
        <v>1671</v>
      </c>
      <c r="B1611" s="7" t="s">
        <v>70</v>
      </c>
      <c r="C1611" s="7" t="s">
        <v>12</v>
      </c>
      <c r="D1611" s="22">
        <v>533000</v>
      </c>
      <c r="E1611" s="7">
        <v>48</v>
      </c>
      <c r="F1611" s="7">
        <v>4</v>
      </c>
      <c r="G1611" s="7">
        <v>3</v>
      </c>
      <c r="H1611" s="12">
        <v>3169</v>
      </c>
      <c r="I1611" s="9">
        <f t="shared" si="50"/>
        <v>168.19185863048281</v>
      </c>
      <c r="J1611" s="3" t="str">
        <f t="shared" si="51"/>
        <v>Low</v>
      </c>
    </row>
    <row r="1612" spans="1:10">
      <c r="A1612" s="4" t="s">
        <v>1672</v>
      </c>
      <c r="B1612" s="4" t="s">
        <v>645</v>
      </c>
      <c r="C1612" s="4" t="s">
        <v>12</v>
      </c>
      <c r="D1612" s="21">
        <v>534000</v>
      </c>
      <c r="E1612" s="4">
        <v>7</v>
      </c>
      <c r="F1612" s="4">
        <v>4</v>
      </c>
      <c r="G1612" s="4">
        <v>3</v>
      </c>
      <c r="H1612" s="10">
        <v>1668</v>
      </c>
      <c r="I1612" s="11">
        <f t="shared" si="50"/>
        <v>320.14388489208631</v>
      </c>
      <c r="J1612" s="3" t="str">
        <f t="shared" si="51"/>
        <v>High</v>
      </c>
    </row>
    <row r="1613" spans="1:10">
      <c r="A1613" s="7" t="s">
        <v>1673</v>
      </c>
      <c r="B1613" s="7" t="s">
        <v>960</v>
      </c>
      <c r="C1613" s="7" t="s">
        <v>12</v>
      </c>
      <c r="D1613" s="22">
        <v>534080</v>
      </c>
      <c r="E1613" s="7">
        <v>7</v>
      </c>
      <c r="F1613" s="7">
        <v>3</v>
      </c>
      <c r="G1613" s="7">
        <v>2.1</v>
      </c>
      <c r="H1613" s="12">
        <v>2110</v>
      </c>
      <c r="I1613" s="9">
        <f t="shared" si="50"/>
        <v>253.11848341232226</v>
      </c>
      <c r="J1613" s="3" t="str">
        <f t="shared" si="51"/>
        <v>Medium</v>
      </c>
    </row>
    <row r="1614" spans="1:10">
      <c r="A1614" s="4" t="s">
        <v>1674</v>
      </c>
      <c r="B1614" s="4" t="s">
        <v>80</v>
      </c>
      <c r="C1614" s="4" t="s">
        <v>12</v>
      </c>
      <c r="D1614" s="21">
        <v>535000</v>
      </c>
      <c r="E1614" s="4">
        <v>5</v>
      </c>
      <c r="F1614" s="4">
        <v>4</v>
      </c>
      <c r="G1614" s="4">
        <v>2.1</v>
      </c>
      <c r="H1614" s="10">
        <v>2295</v>
      </c>
      <c r="I1614" s="11">
        <f t="shared" si="50"/>
        <v>233.11546840958604</v>
      </c>
      <c r="J1614" s="3" t="str">
        <f t="shared" si="51"/>
        <v>Medium</v>
      </c>
    </row>
    <row r="1615" spans="1:10">
      <c r="A1615" s="7" t="s">
        <v>1675</v>
      </c>
      <c r="B1615" s="7" t="s">
        <v>212</v>
      </c>
      <c r="C1615" s="7" t="s">
        <v>12</v>
      </c>
      <c r="D1615" s="22">
        <v>535000</v>
      </c>
      <c r="E1615" s="7">
        <v>7</v>
      </c>
      <c r="F1615" s="7">
        <v>2</v>
      </c>
      <c r="G1615" s="7">
        <v>2</v>
      </c>
      <c r="H1615" s="12">
        <v>2159</v>
      </c>
      <c r="I1615" s="9">
        <f t="shared" si="50"/>
        <v>247.79990736452061</v>
      </c>
      <c r="J1615" s="3" t="str">
        <f t="shared" si="51"/>
        <v>Medium</v>
      </c>
    </row>
    <row r="1616" spans="1:10">
      <c r="A1616" s="4" t="s">
        <v>1676</v>
      </c>
      <c r="B1616" s="4" t="s">
        <v>888</v>
      </c>
      <c r="C1616" s="4" t="s">
        <v>12</v>
      </c>
      <c r="D1616" s="21">
        <v>535000</v>
      </c>
      <c r="E1616" s="4">
        <v>142</v>
      </c>
      <c r="F1616" s="4">
        <v>4</v>
      </c>
      <c r="G1616" s="4">
        <v>2.1</v>
      </c>
      <c r="H1616" s="10">
        <v>3130</v>
      </c>
      <c r="I1616" s="11">
        <f t="shared" si="50"/>
        <v>170.92651757188497</v>
      </c>
      <c r="J1616" s="3" t="str">
        <f t="shared" si="51"/>
        <v>Low</v>
      </c>
    </row>
    <row r="1617" spans="1:10">
      <c r="A1617" s="7" t="s">
        <v>1677</v>
      </c>
      <c r="B1617" s="7" t="s">
        <v>212</v>
      </c>
      <c r="C1617" s="7" t="s">
        <v>12</v>
      </c>
      <c r="D1617" s="22">
        <v>536000</v>
      </c>
      <c r="E1617" s="7">
        <v>2</v>
      </c>
      <c r="F1617" s="7">
        <v>4</v>
      </c>
      <c r="G1617" s="7">
        <v>2.1</v>
      </c>
      <c r="H1617" s="12">
        <v>2528</v>
      </c>
      <c r="I1617" s="9">
        <f t="shared" si="50"/>
        <v>212.02531645569621</v>
      </c>
      <c r="J1617" s="3" t="str">
        <f t="shared" si="51"/>
        <v>Medium</v>
      </c>
    </row>
    <row r="1618" spans="1:10">
      <c r="A1618" s="4" t="s">
        <v>1678</v>
      </c>
      <c r="B1618" s="4" t="s">
        <v>728</v>
      </c>
      <c r="C1618" s="4" t="s">
        <v>12</v>
      </c>
      <c r="D1618" s="21">
        <v>536000</v>
      </c>
      <c r="E1618" s="4">
        <v>6</v>
      </c>
      <c r="F1618" s="4">
        <v>4</v>
      </c>
      <c r="G1618" s="4">
        <v>2.1</v>
      </c>
      <c r="H1618" s="10">
        <v>2160</v>
      </c>
      <c r="I1618" s="11">
        <f t="shared" si="50"/>
        <v>248.14814814814815</v>
      </c>
      <c r="J1618" s="3" t="str">
        <f t="shared" si="51"/>
        <v>Medium</v>
      </c>
    </row>
    <row r="1619" spans="1:10">
      <c r="A1619" s="7" t="s">
        <v>1679</v>
      </c>
      <c r="B1619" s="7" t="s">
        <v>679</v>
      </c>
      <c r="C1619" s="7" t="s">
        <v>12</v>
      </c>
      <c r="D1619" s="22">
        <v>537000</v>
      </c>
      <c r="E1619" s="7">
        <v>1</v>
      </c>
      <c r="F1619" s="7">
        <v>2</v>
      </c>
      <c r="G1619" s="7">
        <v>1</v>
      </c>
      <c r="H1619" s="7">
        <v>861</v>
      </c>
      <c r="I1619" s="9">
        <f t="shared" si="50"/>
        <v>623.69337979094075</v>
      </c>
      <c r="J1619" s="3" t="str">
        <f t="shared" si="51"/>
        <v>High</v>
      </c>
    </row>
    <row r="1620" spans="1:10">
      <c r="A1620" s="4" t="s">
        <v>1680</v>
      </c>
      <c r="B1620" s="4" t="s">
        <v>93</v>
      </c>
      <c r="C1620" s="4" t="s">
        <v>12</v>
      </c>
      <c r="D1620" s="21">
        <v>537000</v>
      </c>
      <c r="E1620" s="4">
        <v>83</v>
      </c>
      <c r="F1620" s="4">
        <v>4</v>
      </c>
      <c r="G1620" s="4">
        <v>3.1</v>
      </c>
      <c r="H1620" s="10">
        <v>3276</v>
      </c>
      <c r="I1620" s="11">
        <f t="shared" si="50"/>
        <v>163.91941391941393</v>
      </c>
      <c r="J1620" s="3" t="str">
        <f t="shared" si="51"/>
        <v>Low</v>
      </c>
    </row>
    <row r="1621" spans="1:10">
      <c r="A1621" s="7" t="s">
        <v>1681</v>
      </c>
      <c r="B1621" s="7" t="s">
        <v>212</v>
      </c>
      <c r="C1621" s="7" t="s">
        <v>12</v>
      </c>
      <c r="D1621" s="22">
        <v>540000</v>
      </c>
      <c r="E1621" s="7">
        <v>0</v>
      </c>
      <c r="F1621" s="7">
        <v>4</v>
      </c>
      <c r="G1621" s="7">
        <v>2.1</v>
      </c>
      <c r="H1621" s="12">
        <v>2299</v>
      </c>
      <c r="I1621" s="9">
        <f t="shared" si="50"/>
        <v>234.884732492388</v>
      </c>
      <c r="J1621" s="3" t="str">
        <f t="shared" si="51"/>
        <v>Medium</v>
      </c>
    </row>
    <row r="1622" spans="1:10">
      <c r="A1622" s="4" t="s">
        <v>1682</v>
      </c>
      <c r="B1622" s="4" t="s">
        <v>1139</v>
      </c>
      <c r="C1622" s="4" t="s">
        <v>12</v>
      </c>
      <c r="D1622" s="21">
        <v>540000</v>
      </c>
      <c r="E1622" s="4">
        <v>3</v>
      </c>
      <c r="F1622" s="4">
        <v>4</v>
      </c>
      <c r="G1622" s="4">
        <v>2.1</v>
      </c>
      <c r="H1622" s="10">
        <v>2126</v>
      </c>
      <c r="I1622" s="11">
        <f t="shared" si="50"/>
        <v>253.99811853245532</v>
      </c>
      <c r="J1622" s="3" t="str">
        <f t="shared" si="51"/>
        <v>Medium</v>
      </c>
    </row>
    <row r="1623" spans="1:10">
      <c r="A1623" s="7" t="s">
        <v>1683</v>
      </c>
      <c r="B1623" s="7" t="s">
        <v>70</v>
      </c>
      <c r="C1623" s="7" t="s">
        <v>12</v>
      </c>
      <c r="D1623" s="22">
        <v>540000</v>
      </c>
      <c r="E1623" s="7">
        <v>13</v>
      </c>
      <c r="F1623" s="7">
        <v>3</v>
      </c>
      <c r="G1623" s="7">
        <v>3</v>
      </c>
      <c r="H1623" s="12">
        <v>2377</v>
      </c>
      <c r="I1623" s="9">
        <f t="shared" si="50"/>
        <v>227.17711400925538</v>
      </c>
      <c r="J1623" s="3" t="str">
        <f t="shared" si="51"/>
        <v>Medium</v>
      </c>
    </row>
    <row r="1624" spans="1:10">
      <c r="A1624" s="4" t="s">
        <v>1684</v>
      </c>
      <c r="B1624" s="4" t="s">
        <v>80</v>
      </c>
      <c r="C1624" s="4" t="s">
        <v>12</v>
      </c>
      <c r="D1624" s="21">
        <v>540000</v>
      </c>
      <c r="E1624" s="4">
        <v>59</v>
      </c>
      <c r="F1624" s="4">
        <v>4</v>
      </c>
      <c r="G1624" s="4">
        <v>3.1</v>
      </c>
      <c r="H1624" s="10">
        <v>2942</v>
      </c>
      <c r="I1624" s="11">
        <f t="shared" si="50"/>
        <v>183.54860639021075</v>
      </c>
      <c r="J1624" s="3" t="str">
        <f t="shared" si="51"/>
        <v>Low</v>
      </c>
    </row>
    <row r="1625" spans="1:10">
      <c r="A1625" s="7" t="s">
        <v>1685</v>
      </c>
      <c r="B1625" s="7" t="s">
        <v>16</v>
      </c>
      <c r="C1625" s="7" t="s">
        <v>12</v>
      </c>
      <c r="D1625" s="22">
        <v>540000</v>
      </c>
      <c r="E1625" s="7">
        <v>6</v>
      </c>
      <c r="F1625" s="7">
        <v>4</v>
      </c>
      <c r="G1625" s="7">
        <v>2.1</v>
      </c>
      <c r="H1625" s="12">
        <v>2196</v>
      </c>
      <c r="I1625" s="9">
        <f t="shared" si="50"/>
        <v>245.90163934426229</v>
      </c>
      <c r="J1625" s="3" t="str">
        <f t="shared" si="51"/>
        <v>Medium</v>
      </c>
    </row>
    <row r="1626" spans="1:10">
      <c r="A1626" s="4" t="s">
        <v>1686</v>
      </c>
      <c r="B1626" s="4" t="s">
        <v>1051</v>
      </c>
      <c r="C1626" s="4" t="s">
        <v>12</v>
      </c>
      <c r="D1626" s="21">
        <v>540000</v>
      </c>
      <c r="E1626" s="4">
        <v>89</v>
      </c>
      <c r="F1626" s="4">
        <v>4</v>
      </c>
      <c r="G1626" s="4">
        <v>2</v>
      </c>
      <c r="H1626" s="10">
        <v>2300</v>
      </c>
      <c r="I1626" s="11">
        <f t="shared" si="50"/>
        <v>234.78260869565219</v>
      </c>
      <c r="J1626" s="3" t="str">
        <f t="shared" si="51"/>
        <v>Medium</v>
      </c>
    </row>
    <row r="1627" spans="1:10">
      <c r="A1627" s="7" t="s">
        <v>1687</v>
      </c>
      <c r="B1627" s="7" t="s">
        <v>117</v>
      </c>
      <c r="C1627" s="7" t="s">
        <v>12</v>
      </c>
      <c r="D1627" s="22">
        <v>540000</v>
      </c>
      <c r="E1627" s="7">
        <v>124</v>
      </c>
      <c r="F1627" s="7">
        <v>4</v>
      </c>
      <c r="G1627" s="7">
        <v>2.1</v>
      </c>
      <c r="H1627" s="12">
        <v>3169</v>
      </c>
      <c r="I1627" s="9">
        <f t="shared" si="50"/>
        <v>170.40075733669929</v>
      </c>
      <c r="J1627" s="3" t="str">
        <f t="shared" si="51"/>
        <v>Low</v>
      </c>
    </row>
    <row r="1628" spans="1:10">
      <c r="A1628" s="4" t="s">
        <v>1688</v>
      </c>
      <c r="B1628" s="4" t="s">
        <v>16</v>
      </c>
      <c r="C1628" s="4" t="s">
        <v>12</v>
      </c>
      <c r="D1628" s="21">
        <v>541500</v>
      </c>
      <c r="E1628" s="4">
        <v>5</v>
      </c>
      <c r="F1628" s="4">
        <v>4</v>
      </c>
      <c r="G1628" s="4">
        <v>3.1</v>
      </c>
      <c r="H1628" s="10">
        <v>2821</v>
      </c>
      <c r="I1628" s="11">
        <f t="shared" si="50"/>
        <v>191.95320808224034</v>
      </c>
      <c r="J1628" s="3" t="str">
        <f t="shared" si="51"/>
        <v>Low</v>
      </c>
    </row>
    <row r="1629" spans="1:10">
      <c r="A1629" s="7" t="s">
        <v>1689</v>
      </c>
      <c r="B1629" s="7" t="s">
        <v>318</v>
      </c>
      <c r="C1629" s="7" t="s">
        <v>12</v>
      </c>
      <c r="D1629" s="22">
        <v>543000</v>
      </c>
      <c r="E1629" s="7">
        <v>8</v>
      </c>
      <c r="F1629" s="7">
        <v>3</v>
      </c>
      <c r="G1629" s="7">
        <v>2.2000000000000002</v>
      </c>
      <c r="H1629" s="12">
        <v>1955</v>
      </c>
      <c r="I1629" s="9">
        <f t="shared" si="50"/>
        <v>277.74936061381072</v>
      </c>
      <c r="J1629" s="3" t="str">
        <f t="shared" si="51"/>
        <v>Medium</v>
      </c>
    </row>
    <row r="1630" spans="1:10">
      <c r="A1630" s="4" t="s">
        <v>1690</v>
      </c>
      <c r="B1630" s="4" t="s">
        <v>70</v>
      </c>
      <c r="C1630" s="4" t="s">
        <v>12</v>
      </c>
      <c r="D1630" s="21">
        <v>543000</v>
      </c>
      <c r="E1630" s="4">
        <v>16</v>
      </c>
      <c r="F1630" s="4">
        <v>4</v>
      </c>
      <c r="G1630" s="4">
        <v>2.2000000000000002</v>
      </c>
      <c r="H1630" s="10">
        <v>2758</v>
      </c>
      <c r="I1630" s="11">
        <f t="shared" si="50"/>
        <v>196.88179840464105</v>
      </c>
      <c r="J1630" s="3" t="str">
        <f t="shared" si="51"/>
        <v>Low</v>
      </c>
    </row>
    <row r="1631" spans="1:10">
      <c r="A1631" s="7" t="s">
        <v>1691</v>
      </c>
      <c r="B1631" s="7" t="s">
        <v>80</v>
      </c>
      <c r="C1631" s="7" t="s">
        <v>12</v>
      </c>
      <c r="D1631" s="22">
        <v>544000</v>
      </c>
      <c r="E1631" s="7">
        <v>6</v>
      </c>
      <c r="F1631" s="7">
        <v>4</v>
      </c>
      <c r="G1631" s="7">
        <v>2.1</v>
      </c>
      <c r="H1631" s="12">
        <v>2928</v>
      </c>
      <c r="I1631" s="9">
        <f t="shared" si="50"/>
        <v>185.79234972677597</v>
      </c>
      <c r="J1631" s="3" t="str">
        <f t="shared" si="51"/>
        <v>Low</v>
      </c>
    </row>
    <row r="1632" spans="1:10">
      <c r="A1632" s="4" t="s">
        <v>1692</v>
      </c>
      <c r="B1632" s="4" t="s">
        <v>679</v>
      </c>
      <c r="C1632" s="4" t="s">
        <v>12</v>
      </c>
      <c r="D1632" s="21">
        <v>545000</v>
      </c>
      <c r="E1632" s="4">
        <v>0</v>
      </c>
      <c r="F1632" s="4">
        <v>3</v>
      </c>
      <c r="G1632" s="4">
        <v>1.1000000000000001</v>
      </c>
      <c r="H1632" s="10">
        <v>1416</v>
      </c>
      <c r="I1632" s="11">
        <f t="shared" si="50"/>
        <v>384.88700564971754</v>
      </c>
      <c r="J1632" s="3" t="str">
        <f t="shared" si="51"/>
        <v>High</v>
      </c>
    </row>
    <row r="1633" spans="1:10">
      <c r="A1633" s="7" t="s">
        <v>1693</v>
      </c>
      <c r="B1633" s="7" t="s">
        <v>70</v>
      </c>
      <c r="C1633" s="7" t="s">
        <v>12</v>
      </c>
      <c r="D1633" s="22">
        <v>545000</v>
      </c>
      <c r="E1633" s="7">
        <v>5</v>
      </c>
      <c r="F1633" s="7">
        <v>4</v>
      </c>
      <c r="G1633" s="7">
        <v>2.1</v>
      </c>
      <c r="H1633" s="12">
        <v>2389</v>
      </c>
      <c r="I1633" s="9">
        <f t="shared" si="50"/>
        <v>228.12892423608204</v>
      </c>
      <c r="J1633" s="3" t="str">
        <f t="shared" si="51"/>
        <v>Medium</v>
      </c>
    </row>
    <row r="1634" spans="1:10">
      <c r="A1634" s="4" t="s">
        <v>1694</v>
      </c>
      <c r="B1634" s="4" t="s">
        <v>544</v>
      </c>
      <c r="C1634" s="4" t="s">
        <v>12</v>
      </c>
      <c r="D1634" s="21">
        <v>545000</v>
      </c>
      <c r="E1634" s="4">
        <v>28</v>
      </c>
      <c r="F1634" s="4">
        <v>4</v>
      </c>
      <c r="G1634" s="4">
        <v>2.1</v>
      </c>
      <c r="H1634" s="10">
        <v>2250</v>
      </c>
      <c r="I1634" s="11">
        <f t="shared" si="50"/>
        <v>242.22222222222223</v>
      </c>
      <c r="J1634" s="3" t="str">
        <f t="shared" si="51"/>
        <v>Medium</v>
      </c>
    </row>
    <row r="1635" spans="1:10">
      <c r="A1635" s="7" t="s">
        <v>1695</v>
      </c>
      <c r="B1635" s="7" t="s">
        <v>93</v>
      </c>
      <c r="C1635" s="7" t="s">
        <v>12</v>
      </c>
      <c r="D1635" s="22">
        <v>545000</v>
      </c>
      <c r="E1635" s="7">
        <v>14</v>
      </c>
      <c r="F1635" s="7">
        <v>4</v>
      </c>
      <c r="G1635" s="7">
        <v>2.1</v>
      </c>
      <c r="H1635" s="12">
        <v>2526</v>
      </c>
      <c r="I1635" s="9">
        <f t="shared" si="50"/>
        <v>215.75613618368962</v>
      </c>
      <c r="J1635" s="3" t="str">
        <f t="shared" si="51"/>
        <v>Medium</v>
      </c>
    </row>
    <row r="1636" spans="1:10">
      <c r="A1636" s="4" t="s">
        <v>1696</v>
      </c>
      <c r="B1636" s="4" t="s">
        <v>948</v>
      </c>
      <c r="C1636" s="4" t="s">
        <v>12</v>
      </c>
      <c r="D1636" s="21">
        <v>545000</v>
      </c>
      <c r="E1636" s="4">
        <v>337</v>
      </c>
      <c r="F1636" s="4">
        <v>4</v>
      </c>
      <c r="G1636" s="4">
        <v>2.1</v>
      </c>
      <c r="H1636" s="10">
        <v>2619</v>
      </c>
      <c r="I1636" s="11">
        <f t="shared" si="50"/>
        <v>208.09469263077511</v>
      </c>
      <c r="J1636" s="3" t="str">
        <f t="shared" si="51"/>
        <v>Medium</v>
      </c>
    </row>
    <row r="1637" spans="1:10">
      <c r="A1637" s="7" t="s">
        <v>1697</v>
      </c>
      <c r="B1637" s="7" t="s">
        <v>948</v>
      </c>
      <c r="C1637" s="7" t="s">
        <v>12</v>
      </c>
      <c r="D1637" s="22">
        <v>545500</v>
      </c>
      <c r="E1637" s="7">
        <v>35</v>
      </c>
      <c r="F1637" s="7">
        <v>4</v>
      </c>
      <c r="G1637" s="7">
        <v>2.1</v>
      </c>
      <c r="H1637" s="12">
        <v>2606</v>
      </c>
      <c r="I1637" s="9">
        <f t="shared" si="50"/>
        <v>209.32463545663853</v>
      </c>
      <c r="J1637" s="3" t="str">
        <f t="shared" si="51"/>
        <v>Medium</v>
      </c>
    </row>
    <row r="1638" spans="1:10">
      <c r="A1638" s="4" t="s">
        <v>1698</v>
      </c>
      <c r="B1638" s="4" t="s">
        <v>212</v>
      </c>
      <c r="C1638" s="4" t="s">
        <v>12</v>
      </c>
      <c r="D1638" s="21">
        <v>545500</v>
      </c>
      <c r="E1638" s="4">
        <v>181</v>
      </c>
      <c r="F1638" s="4">
        <v>4</v>
      </c>
      <c r="G1638" s="4">
        <v>2</v>
      </c>
      <c r="H1638" s="10">
        <v>3192</v>
      </c>
      <c r="I1638" s="11">
        <f t="shared" si="50"/>
        <v>170.89598997493735</v>
      </c>
      <c r="J1638" s="3" t="str">
        <f t="shared" si="51"/>
        <v>Low</v>
      </c>
    </row>
    <row r="1639" spans="1:10">
      <c r="A1639" s="7" t="s">
        <v>1699</v>
      </c>
      <c r="B1639" s="7" t="s">
        <v>18</v>
      </c>
      <c r="C1639" s="7" t="s">
        <v>12</v>
      </c>
      <c r="D1639" s="22">
        <v>547900</v>
      </c>
      <c r="E1639" s="7">
        <v>103</v>
      </c>
      <c r="F1639" s="7">
        <v>4</v>
      </c>
      <c r="G1639" s="7">
        <v>3.1</v>
      </c>
      <c r="H1639" s="12">
        <v>2200</v>
      </c>
      <c r="I1639" s="9">
        <f t="shared" si="50"/>
        <v>249.04545454545453</v>
      </c>
      <c r="J1639" s="3" t="str">
        <f t="shared" si="51"/>
        <v>Medium</v>
      </c>
    </row>
    <row r="1640" spans="1:10">
      <c r="A1640" s="4" t="s">
        <v>1700</v>
      </c>
      <c r="B1640" s="4" t="s">
        <v>400</v>
      </c>
      <c r="C1640" s="4" t="s">
        <v>12</v>
      </c>
      <c r="D1640" s="21">
        <v>549000</v>
      </c>
      <c r="E1640" s="4">
        <v>4</v>
      </c>
      <c r="F1640" s="4">
        <v>4</v>
      </c>
      <c r="G1640" s="4">
        <v>3.1</v>
      </c>
      <c r="H1640" s="10">
        <v>2838</v>
      </c>
      <c r="I1640" s="11">
        <f t="shared" si="50"/>
        <v>193.446088794926</v>
      </c>
      <c r="J1640" s="3" t="str">
        <f t="shared" si="51"/>
        <v>Low</v>
      </c>
    </row>
    <row r="1641" spans="1:10">
      <c r="A1641" s="7" t="s">
        <v>1701</v>
      </c>
      <c r="B1641" s="7" t="s">
        <v>56</v>
      </c>
      <c r="C1641" s="7" t="s">
        <v>12</v>
      </c>
      <c r="D1641" s="22">
        <v>549000</v>
      </c>
      <c r="E1641" s="7">
        <v>7</v>
      </c>
      <c r="F1641" s="7">
        <v>4</v>
      </c>
      <c r="G1641" s="7">
        <v>3</v>
      </c>
      <c r="H1641" s="12">
        <v>1300</v>
      </c>
      <c r="I1641" s="9">
        <f t="shared" si="50"/>
        <v>422.30769230769232</v>
      </c>
      <c r="J1641" s="3" t="str">
        <f t="shared" si="51"/>
        <v>High</v>
      </c>
    </row>
    <row r="1642" spans="1:10">
      <c r="A1642" s="4" t="s">
        <v>1702</v>
      </c>
      <c r="B1642" s="4" t="s">
        <v>131</v>
      </c>
      <c r="C1642" s="4" t="s">
        <v>12</v>
      </c>
      <c r="D1642" s="21">
        <v>549000</v>
      </c>
      <c r="E1642" s="4">
        <v>6</v>
      </c>
      <c r="F1642" s="4">
        <v>3</v>
      </c>
      <c r="G1642" s="4">
        <v>1.1000000000000001</v>
      </c>
      <c r="H1642" s="10">
        <v>1529</v>
      </c>
      <c r="I1642" s="11">
        <f t="shared" si="50"/>
        <v>359.05820797907131</v>
      </c>
      <c r="J1642" s="3" t="str">
        <f t="shared" si="51"/>
        <v>High</v>
      </c>
    </row>
    <row r="1643" spans="1:10">
      <c r="A1643" s="7" t="s">
        <v>1703</v>
      </c>
      <c r="B1643" s="7" t="s">
        <v>212</v>
      </c>
      <c r="C1643" s="7" t="s">
        <v>12</v>
      </c>
      <c r="D1643" s="22">
        <v>550000</v>
      </c>
      <c r="E1643" s="7">
        <v>7</v>
      </c>
      <c r="F1643" s="7">
        <v>4</v>
      </c>
      <c r="G1643" s="7">
        <v>3</v>
      </c>
      <c r="H1643" s="12">
        <v>2801</v>
      </c>
      <c r="I1643" s="9">
        <f t="shared" si="50"/>
        <v>196.35844341306677</v>
      </c>
      <c r="J1643" s="3" t="str">
        <f t="shared" si="51"/>
        <v>Low</v>
      </c>
    </row>
    <row r="1644" spans="1:10">
      <c r="A1644" s="4" t="s">
        <v>1704</v>
      </c>
      <c r="B1644" s="4" t="s">
        <v>131</v>
      </c>
      <c r="C1644" s="4" t="s">
        <v>12</v>
      </c>
      <c r="D1644" s="21">
        <v>550000</v>
      </c>
      <c r="E1644" s="4">
        <v>0</v>
      </c>
      <c r="F1644" s="4">
        <v>3</v>
      </c>
      <c r="G1644" s="4">
        <v>2</v>
      </c>
      <c r="H1644" s="10">
        <v>1518</v>
      </c>
      <c r="I1644" s="11">
        <f t="shared" si="50"/>
        <v>362.31884057971013</v>
      </c>
      <c r="J1644" s="3" t="str">
        <f t="shared" si="51"/>
        <v>High</v>
      </c>
    </row>
    <row r="1645" spans="1:10">
      <c r="A1645" s="7" t="s">
        <v>1705</v>
      </c>
      <c r="B1645" s="7" t="s">
        <v>268</v>
      </c>
      <c r="C1645" s="7" t="s">
        <v>12</v>
      </c>
      <c r="D1645" s="22">
        <v>550000</v>
      </c>
      <c r="E1645" s="7">
        <v>20</v>
      </c>
      <c r="F1645" s="7">
        <v>4</v>
      </c>
      <c r="G1645" s="7">
        <v>2.2000000000000002</v>
      </c>
      <c r="H1645" s="12">
        <v>2922</v>
      </c>
      <c r="I1645" s="9">
        <f t="shared" si="50"/>
        <v>188.22724161533196</v>
      </c>
      <c r="J1645" s="3" t="str">
        <f t="shared" si="51"/>
        <v>Low</v>
      </c>
    </row>
    <row r="1646" spans="1:10">
      <c r="A1646" s="4" t="s">
        <v>1706</v>
      </c>
      <c r="B1646" s="4" t="s">
        <v>268</v>
      </c>
      <c r="C1646" s="4" t="s">
        <v>12</v>
      </c>
      <c r="D1646" s="21">
        <v>550000</v>
      </c>
      <c r="E1646" s="4">
        <v>0</v>
      </c>
      <c r="F1646" s="4">
        <v>4</v>
      </c>
      <c r="G1646" s="4">
        <v>3.2</v>
      </c>
      <c r="H1646" s="10">
        <v>3622</v>
      </c>
      <c r="I1646" s="11">
        <f t="shared" si="50"/>
        <v>151.84980673660959</v>
      </c>
      <c r="J1646" s="3" t="str">
        <f t="shared" si="51"/>
        <v>Low</v>
      </c>
    </row>
    <row r="1647" spans="1:10">
      <c r="A1647" s="7" t="s">
        <v>1707</v>
      </c>
      <c r="B1647" s="7" t="s">
        <v>645</v>
      </c>
      <c r="C1647" s="7" t="s">
        <v>12</v>
      </c>
      <c r="D1647" s="22">
        <v>550000</v>
      </c>
      <c r="E1647" s="7">
        <v>265</v>
      </c>
      <c r="F1647" s="7">
        <v>4</v>
      </c>
      <c r="G1647" s="7">
        <v>4</v>
      </c>
      <c r="H1647" s="12">
        <v>2128</v>
      </c>
      <c r="I1647" s="9">
        <f t="shared" si="50"/>
        <v>258.45864661654133</v>
      </c>
      <c r="J1647" s="3" t="str">
        <f t="shared" si="51"/>
        <v>Medium</v>
      </c>
    </row>
    <row r="1648" spans="1:10">
      <c r="A1648" s="4" t="s">
        <v>1708</v>
      </c>
      <c r="B1648" s="4" t="s">
        <v>56</v>
      </c>
      <c r="C1648" s="4" t="s">
        <v>12</v>
      </c>
      <c r="D1648" s="21">
        <v>550000</v>
      </c>
      <c r="E1648" s="4">
        <v>15</v>
      </c>
      <c r="F1648" s="4">
        <v>4</v>
      </c>
      <c r="G1648" s="4">
        <v>2.1</v>
      </c>
      <c r="H1648" s="10">
        <v>2860</v>
      </c>
      <c r="I1648" s="11">
        <f t="shared" si="50"/>
        <v>192.30769230769232</v>
      </c>
      <c r="J1648" s="3" t="str">
        <f t="shared" si="51"/>
        <v>Low</v>
      </c>
    </row>
    <row r="1649" spans="1:10">
      <c r="A1649" s="7" t="s">
        <v>1709</v>
      </c>
      <c r="B1649" s="7" t="s">
        <v>18</v>
      </c>
      <c r="C1649" s="7" t="s">
        <v>12</v>
      </c>
      <c r="D1649" s="22">
        <v>550000</v>
      </c>
      <c r="E1649" s="7">
        <v>158</v>
      </c>
      <c r="F1649" s="7">
        <v>4</v>
      </c>
      <c r="G1649" s="7">
        <v>2.1</v>
      </c>
      <c r="H1649" s="12">
        <v>2360</v>
      </c>
      <c r="I1649" s="9">
        <f t="shared" si="50"/>
        <v>233.05084745762713</v>
      </c>
      <c r="J1649" s="3" t="str">
        <f t="shared" si="51"/>
        <v>Medium</v>
      </c>
    </row>
    <row r="1650" spans="1:10">
      <c r="A1650" s="4" t="s">
        <v>1710</v>
      </c>
      <c r="B1650" s="4" t="s">
        <v>212</v>
      </c>
      <c r="C1650" s="4" t="s">
        <v>12</v>
      </c>
      <c r="D1650" s="21">
        <v>550000</v>
      </c>
      <c r="E1650" s="4">
        <v>8</v>
      </c>
      <c r="F1650" s="4">
        <v>3</v>
      </c>
      <c r="G1650" s="4">
        <v>3</v>
      </c>
      <c r="H1650" s="10">
        <v>2244</v>
      </c>
      <c r="I1650" s="11">
        <f t="shared" si="50"/>
        <v>245.09803921568627</v>
      </c>
      <c r="J1650" s="3" t="str">
        <f t="shared" si="51"/>
        <v>Medium</v>
      </c>
    </row>
    <row r="1651" spans="1:10">
      <c r="A1651" s="7" t="s">
        <v>1711</v>
      </c>
      <c r="B1651" s="7" t="s">
        <v>645</v>
      </c>
      <c r="C1651" s="7" t="s">
        <v>12</v>
      </c>
      <c r="D1651" s="22">
        <v>550000</v>
      </c>
      <c r="E1651" s="7">
        <v>7</v>
      </c>
      <c r="F1651" s="7">
        <v>5</v>
      </c>
      <c r="G1651" s="7">
        <v>3.1</v>
      </c>
      <c r="H1651" s="12">
        <v>2302</v>
      </c>
      <c r="I1651" s="9">
        <f t="shared" si="50"/>
        <v>238.92267593397045</v>
      </c>
      <c r="J1651" s="3" t="str">
        <f t="shared" si="51"/>
        <v>Medium</v>
      </c>
    </row>
    <row r="1652" spans="1:10">
      <c r="A1652" s="4" t="s">
        <v>1712</v>
      </c>
      <c r="B1652" s="4" t="s">
        <v>18</v>
      </c>
      <c r="C1652" s="4" t="s">
        <v>12</v>
      </c>
      <c r="D1652" s="21">
        <v>550000</v>
      </c>
      <c r="E1652" s="4">
        <v>48</v>
      </c>
      <c r="F1652" s="4">
        <v>3</v>
      </c>
      <c r="G1652" s="4">
        <v>2.1</v>
      </c>
      <c r="H1652" s="10">
        <v>2018</v>
      </c>
      <c r="I1652" s="11">
        <f t="shared" si="50"/>
        <v>272.54707631318138</v>
      </c>
      <c r="J1652" s="3" t="str">
        <f t="shared" si="51"/>
        <v>Medium</v>
      </c>
    </row>
    <row r="1653" spans="1:10">
      <c r="A1653" s="7" t="s">
        <v>1713</v>
      </c>
      <c r="B1653" s="7" t="s">
        <v>18</v>
      </c>
      <c r="C1653" s="7" t="s">
        <v>12</v>
      </c>
      <c r="D1653" s="22">
        <v>550000</v>
      </c>
      <c r="E1653" s="7">
        <v>8</v>
      </c>
      <c r="F1653" s="7">
        <v>4</v>
      </c>
      <c r="G1653" s="7">
        <v>2.1</v>
      </c>
      <c r="H1653" s="12">
        <v>2802</v>
      </c>
      <c r="I1653" s="9">
        <f t="shared" si="50"/>
        <v>196.28836545324768</v>
      </c>
      <c r="J1653" s="3" t="str">
        <f t="shared" si="51"/>
        <v>Low</v>
      </c>
    </row>
    <row r="1654" spans="1:10">
      <c r="A1654" s="4" t="s">
        <v>1714</v>
      </c>
      <c r="B1654" s="4" t="s">
        <v>77</v>
      </c>
      <c r="C1654" s="4" t="s">
        <v>12</v>
      </c>
      <c r="D1654" s="21">
        <v>550000</v>
      </c>
      <c r="E1654" s="4">
        <v>80</v>
      </c>
      <c r="F1654" s="4">
        <v>4</v>
      </c>
      <c r="G1654" s="4">
        <v>2.1</v>
      </c>
      <c r="H1654" s="10">
        <v>2309</v>
      </c>
      <c r="I1654" s="11">
        <f t="shared" si="50"/>
        <v>238.19835426591598</v>
      </c>
      <c r="J1654" s="3" t="str">
        <f t="shared" si="51"/>
        <v>Medium</v>
      </c>
    </row>
    <row r="1655" spans="1:10">
      <c r="A1655" s="7" t="s">
        <v>1715</v>
      </c>
      <c r="B1655" s="7" t="s">
        <v>318</v>
      </c>
      <c r="C1655" s="7" t="s">
        <v>12</v>
      </c>
      <c r="D1655" s="22">
        <v>550000</v>
      </c>
      <c r="E1655" s="7">
        <v>63</v>
      </c>
      <c r="F1655" s="7">
        <v>3</v>
      </c>
      <c r="G1655" s="7">
        <v>2.1</v>
      </c>
      <c r="H1655" s="12">
        <v>1950</v>
      </c>
      <c r="I1655" s="9">
        <f t="shared" si="50"/>
        <v>282.05128205128204</v>
      </c>
      <c r="J1655" s="3" t="str">
        <f t="shared" si="51"/>
        <v>Medium</v>
      </c>
    </row>
    <row r="1656" spans="1:10">
      <c r="A1656" s="4" t="s">
        <v>1716</v>
      </c>
      <c r="B1656" s="4" t="s">
        <v>888</v>
      </c>
      <c r="C1656" s="4" t="s">
        <v>12</v>
      </c>
      <c r="D1656" s="21">
        <v>552000</v>
      </c>
      <c r="E1656" s="4">
        <v>5</v>
      </c>
      <c r="F1656" s="4">
        <v>4</v>
      </c>
      <c r="G1656" s="4">
        <v>2.1</v>
      </c>
      <c r="H1656" s="10">
        <v>2445</v>
      </c>
      <c r="I1656" s="11">
        <f t="shared" si="50"/>
        <v>225.76687116564418</v>
      </c>
      <c r="J1656" s="3" t="str">
        <f t="shared" si="51"/>
        <v>Medium</v>
      </c>
    </row>
    <row r="1657" spans="1:10">
      <c r="A1657" s="7" t="s">
        <v>1717</v>
      </c>
      <c r="B1657" s="7" t="s">
        <v>363</v>
      </c>
      <c r="C1657" s="7" t="s">
        <v>12</v>
      </c>
      <c r="D1657" s="22">
        <v>552925</v>
      </c>
      <c r="E1657" s="7">
        <v>55</v>
      </c>
      <c r="F1657" s="7">
        <v>3</v>
      </c>
      <c r="G1657" s="7">
        <v>2.1</v>
      </c>
      <c r="H1657" s="12">
        <v>2308</v>
      </c>
      <c r="I1657" s="9">
        <f t="shared" si="50"/>
        <v>239.56889081455805</v>
      </c>
      <c r="J1657" s="3" t="str">
        <f t="shared" si="51"/>
        <v>Medium</v>
      </c>
    </row>
    <row r="1658" spans="1:10">
      <c r="A1658" s="4" t="s">
        <v>1718</v>
      </c>
      <c r="B1658" s="4" t="s">
        <v>268</v>
      </c>
      <c r="C1658" s="4" t="s">
        <v>12</v>
      </c>
      <c r="D1658" s="21">
        <v>554000</v>
      </c>
      <c r="E1658" s="4">
        <v>6</v>
      </c>
      <c r="F1658" s="4">
        <v>4</v>
      </c>
      <c r="G1658" s="4">
        <v>4</v>
      </c>
      <c r="H1658" s="10">
        <v>3848</v>
      </c>
      <c r="I1658" s="11">
        <f t="shared" si="50"/>
        <v>143.97089397089397</v>
      </c>
      <c r="J1658" s="3" t="str">
        <f t="shared" si="51"/>
        <v>Low</v>
      </c>
    </row>
    <row r="1659" spans="1:10">
      <c r="A1659" s="7" t="s">
        <v>1719</v>
      </c>
      <c r="B1659" s="7" t="s">
        <v>948</v>
      </c>
      <c r="C1659" s="7" t="s">
        <v>12</v>
      </c>
      <c r="D1659" s="22">
        <v>554042</v>
      </c>
      <c r="E1659" s="7">
        <v>10</v>
      </c>
      <c r="F1659" s="7">
        <v>4</v>
      </c>
      <c r="G1659" s="7">
        <v>2.1</v>
      </c>
      <c r="H1659" s="12">
        <v>2239</v>
      </c>
      <c r="I1659" s="9">
        <f t="shared" si="50"/>
        <v>247.45064761054041</v>
      </c>
      <c r="J1659" s="3" t="str">
        <f t="shared" si="51"/>
        <v>Medium</v>
      </c>
    </row>
    <row r="1660" spans="1:10">
      <c r="A1660" s="4" t="s">
        <v>1720</v>
      </c>
      <c r="B1660" s="4" t="s">
        <v>268</v>
      </c>
      <c r="C1660" s="4" t="s">
        <v>12</v>
      </c>
      <c r="D1660" s="21">
        <v>555000</v>
      </c>
      <c r="E1660" s="4">
        <v>8</v>
      </c>
      <c r="F1660" s="4">
        <v>3</v>
      </c>
      <c r="G1660" s="4">
        <v>3.1</v>
      </c>
      <c r="H1660" s="10">
        <v>2132</v>
      </c>
      <c r="I1660" s="11">
        <f t="shared" si="50"/>
        <v>260.31894934333957</v>
      </c>
      <c r="J1660" s="3" t="str">
        <f t="shared" si="51"/>
        <v>Medium</v>
      </c>
    </row>
    <row r="1661" spans="1:10">
      <c r="A1661" s="7" t="s">
        <v>1721</v>
      </c>
      <c r="B1661" s="7" t="s">
        <v>544</v>
      </c>
      <c r="C1661" s="7" t="s">
        <v>12</v>
      </c>
      <c r="D1661" s="22">
        <v>555000</v>
      </c>
      <c r="E1661" s="7">
        <v>5</v>
      </c>
      <c r="F1661" s="7">
        <v>4</v>
      </c>
      <c r="G1661" s="7">
        <v>2.1</v>
      </c>
      <c r="H1661" s="12">
        <v>2251</v>
      </c>
      <c r="I1661" s="9">
        <f t="shared" si="50"/>
        <v>246.55708573967127</v>
      </c>
      <c r="J1661" s="3" t="str">
        <f t="shared" si="51"/>
        <v>Medium</v>
      </c>
    </row>
    <row r="1662" spans="1:10">
      <c r="A1662" s="4" t="s">
        <v>1722</v>
      </c>
      <c r="B1662" s="4" t="s">
        <v>400</v>
      </c>
      <c r="C1662" s="4" t="s">
        <v>12</v>
      </c>
      <c r="D1662" s="21">
        <v>555000</v>
      </c>
      <c r="E1662" s="4">
        <v>6</v>
      </c>
      <c r="F1662" s="4">
        <v>3</v>
      </c>
      <c r="G1662" s="4">
        <v>2.2000000000000002</v>
      </c>
      <c r="H1662" s="10">
        <v>1925</v>
      </c>
      <c r="I1662" s="11">
        <f t="shared" si="50"/>
        <v>288.31168831168833</v>
      </c>
      <c r="J1662" s="3" t="str">
        <f t="shared" si="51"/>
        <v>Medium</v>
      </c>
    </row>
    <row r="1663" spans="1:10">
      <c r="A1663" s="7" t="s">
        <v>1723</v>
      </c>
      <c r="B1663" s="7" t="s">
        <v>70</v>
      </c>
      <c r="C1663" s="7" t="s">
        <v>12</v>
      </c>
      <c r="D1663" s="22">
        <v>555000</v>
      </c>
      <c r="E1663" s="7">
        <v>12</v>
      </c>
      <c r="F1663" s="7">
        <v>3</v>
      </c>
      <c r="G1663" s="7">
        <v>2.1</v>
      </c>
      <c r="H1663" s="12">
        <v>2916</v>
      </c>
      <c r="I1663" s="9">
        <f t="shared" si="50"/>
        <v>190.32921810699588</v>
      </c>
      <c r="J1663" s="3" t="str">
        <f t="shared" si="51"/>
        <v>Low</v>
      </c>
    </row>
    <row r="1664" spans="1:10">
      <c r="A1664" s="4" t="s">
        <v>1724</v>
      </c>
      <c r="B1664" s="4" t="s">
        <v>679</v>
      </c>
      <c r="C1664" s="4" t="s">
        <v>12</v>
      </c>
      <c r="D1664" s="21">
        <v>555000</v>
      </c>
      <c r="E1664" s="4">
        <v>0</v>
      </c>
      <c r="F1664" s="4">
        <v>4</v>
      </c>
      <c r="G1664" s="4">
        <v>2.1</v>
      </c>
      <c r="H1664" s="10">
        <v>2114</v>
      </c>
      <c r="I1664" s="11">
        <f t="shared" si="50"/>
        <v>262.53547776726583</v>
      </c>
      <c r="J1664" s="3" t="str">
        <f t="shared" si="51"/>
        <v>Medium</v>
      </c>
    </row>
    <row r="1665" spans="1:10">
      <c r="A1665" s="7" t="s">
        <v>1725</v>
      </c>
      <c r="B1665" s="7" t="s">
        <v>400</v>
      </c>
      <c r="C1665" s="7" t="s">
        <v>12</v>
      </c>
      <c r="D1665" s="22">
        <v>555000</v>
      </c>
      <c r="E1665" s="7">
        <v>28</v>
      </c>
      <c r="F1665" s="7">
        <v>3</v>
      </c>
      <c r="G1665" s="7">
        <v>3.1</v>
      </c>
      <c r="H1665" s="12">
        <v>2313</v>
      </c>
      <c r="I1665" s="9">
        <f t="shared" si="50"/>
        <v>239.94811932555123</v>
      </c>
      <c r="J1665" s="3" t="str">
        <f t="shared" si="51"/>
        <v>Medium</v>
      </c>
    </row>
    <row r="1666" spans="1:10">
      <c r="A1666" s="4" t="s">
        <v>1726</v>
      </c>
      <c r="B1666" s="4" t="s">
        <v>80</v>
      </c>
      <c r="C1666" s="4" t="s">
        <v>12</v>
      </c>
      <c r="D1666" s="21">
        <v>555165</v>
      </c>
      <c r="E1666" s="4">
        <v>241</v>
      </c>
      <c r="F1666" s="4">
        <v>4</v>
      </c>
      <c r="G1666" s="4">
        <v>3</v>
      </c>
      <c r="H1666" s="10">
        <v>2665</v>
      </c>
      <c r="I1666" s="11">
        <f t="shared" ref="I1666:I1729" si="52">D1666/H1666</f>
        <v>208.3170731707317</v>
      </c>
      <c r="J1666" s="3" t="str">
        <f t="shared" ref="J1666:J1729" si="53">IF(I1666 &gt; 300, "High", IF(AND(I1666 &lt;= 300, I1666 &gt; 200), "Medium", "Low"))</f>
        <v>Medium</v>
      </c>
    </row>
    <row r="1667" spans="1:10">
      <c r="A1667" s="7" t="s">
        <v>1727</v>
      </c>
      <c r="B1667" s="7" t="s">
        <v>131</v>
      </c>
      <c r="C1667" s="7" t="s">
        <v>12</v>
      </c>
      <c r="D1667" s="22">
        <v>559000</v>
      </c>
      <c r="E1667" s="7">
        <v>5</v>
      </c>
      <c r="F1667" s="7">
        <v>4</v>
      </c>
      <c r="G1667" s="7">
        <v>2.1</v>
      </c>
      <c r="H1667" s="12">
        <v>2531</v>
      </c>
      <c r="I1667" s="9">
        <f t="shared" si="52"/>
        <v>220.86131963650732</v>
      </c>
      <c r="J1667" s="3" t="str">
        <f t="shared" si="53"/>
        <v>Medium</v>
      </c>
    </row>
    <row r="1668" spans="1:10">
      <c r="A1668" s="4" t="s">
        <v>1728</v>
      </c>
      <c r="B1668" s="4" t="s">
        <v>18</v>
      </c>
      <c r="C1668" s="4" t="s">
        <v>12</v>
      </c>
      <c r="D1668" s="21">
        <v>560000</v>
      </c>
      <c r="E1668" s="4">
        <v>3</v>
      </c>
      <c r="F1668" s="4">
        <v>4</v>
      </c>
      <c r="G1668" s="4">
        <v>2.1</v>
      </c>
      <c r="H1668" s="10">
        <v>2500</v>
      </c>
      <c r="I1668" s="11">
        <f t="shared" si="52"/>
        <v>224</v>
      </c>
      <c r="J1668" s="3" t="str">
        <f t="shared" si="53"/>
        <v>Medium</v>
      </c>
    </row>
    <row r="1669" spans="1:10">
      <c r="A1669" s="7" t="s">
        <v>1729</v>
      </c>
      <c r="B1669" s="7" t="s">
        <v>1344</v>
      </c>
      <c r="C1669" s="7" t="s">
        <v>12</v>
      </c>
      <c r="D1669" s="22">
        <v>560000</v>
      </c>
      <c r="E1669" s="7">
        <v>0</v>
      </c>
      <c r="F1669" s="7">
        <v>4</v>
      </c>
      <c r="G1669" s="7">
        <v>3.1</v>
      </c>
      <c r="H1669" s="12">
        <v>2903</v>
      </c>
      <c r="I1669" s="9">
        <f t="shared" si="52"/>
        <v>192.90389252497417</v>
      </c>
      <c r="J1669" s="3" t="str">
        <f t="shared" si="53"/>
        <v>Low</v>
      </c>
    </row>
    <row r="1670" spans="1:10">
      <c r="A1670" s="4" t="s">
        <v>1730</v>
      </c>
      <c r="B1670" s="4" t="s">
        <v>888</v>
      </c>
      <c r="C1670" s="4" t="s">
        <v>12</v>
      </c>
      <c r="D1670" s="21">
        <v>560000</v>
      </c>
      <c r="E1670" s="4">
        <v>6</v>
      </c>
      <c r="F1670" s="4">
        <v>3</v>
      </c>
      <c r="G1670" s="4">
        <v>2.1</v>
      </c>
      <c r="H1670" s="10">
        <v>1480</v>
      </c>
      <c r="I1670" s="11">
        <f t="shared" si="52"/>
        <v>378.37837837837839</v>
      </c>
      <c r="J1670" s="3" t="str">
        <f t="shared" si="53"/>
        <v>High</v>
      </c>
    </row>
    <row r="1671" spans="1:10">
      <c r="A1671" s="7" t="s">
        <v>1731</v>
      </c>
      <c r="B1671" s="7" t="s">
        <v>16</v>
      </c>
      <c r="C1671" s="7" t="s">
        <v>12</v>
      </c>
      <c r="D1671" s="22">
        <v>560000</v>
      </c>
      <c r="E1671" s="7">
        <v>8</v>
      </c>
      <c r="F1671" s="7">
        <v>4</v>
      </c>
      <c r="G1671" s="7">
        <v>2.1</v>
      </c>
      <c r="H1671" s="7">
        <v>2722</v>
      </c>
      <c r="I1671" s="9">
        <f t="shared" si="52"/>
        <v>205.73108008817047</v>
      </c>
      <c r="J1671" s="3" t="str">
        <f t="shared" si="53"/>
        <v>Medium</v>
      </c>
    </row>
    <row r="1672" spans="1:10">
      <c r="A1672" s="4" t="s">
        <v>1732</v>
      </c>
      <c r="B1672" s="4" t="s">
        <v>18</v>
      </c>
      <c r="C1672" s="4" t="s">
        <v>12</v>
      </c>
      <c r="D1672" s="21">
        <v>560000</v>
      </c>
      <c r="E1672" s="4">
        <v>171</v>
      </c>
      <c r="F1672" s="4">
        <v>4</v>
      </c>
      <c r="G1672" s="4">
        <v>2.1</v>
      </c>
      <c r="H1672" s="10">
        <v>2360</v>
      </c>
      <c r="I1672" s="11">
        <f t="shared" si="52"/>
        <v>237.28813559322035</v>
      </c>
      <c r="J1672" s="3" t="str">
        <f t="shared" si="53"/>
        <v>Medium</v>
      </c>
    </row>
    <row r="1673" spans="1:10">
      <c r="A1673" s="7" t="s">
        <v>1733</v>
      </c>
      <c r="B1673" s="7" t="s">
        <v>474</v>
      </c>
      <c r="C1673" s="7" t="s">
        <v>12</v>
      </c>
      <c r="D1673" s="22">
        <v>560000</v>
      </c>
      <c r="E1673" s="7">
        <v>43</v>
      </c>
      <c r="F1673" s="7">
        <v>2</v>
      </c>
      <c r="G1673" s="7">
        <v>2</v>
      </c>
      <c r="H1673" s="12">
        <v>1352</v>
      </c>
      <c r="I1673" s="9">
        <f t="shared" si="52"/>
        <v>414.20118343195264</v>
      </c>
      <c r="J1673" s="3" t="str">
        <f t="shared" si="53"/>
        <v>High</v>
      </c>
    </row>
    <row r="1674" spans="1:10">
      <c r="A1674" s="4" t="s">
        <v>1734</v>
      </c>
      <c r="B1674" s="4" t="s">
        <v>18</v>
      </c>
      <c r="C1674" s="4" t="s">
        <v>12</v>
      </c>
      <c r="D1674" s="21">
        <v>560000</v>
      </c>
      <c r="E1674" s="4">
        <v>169</v>
      </c>
      <c r="F1674" s="4">
        <v>4</v>
      </c>
      <c r="G1674" s="4">
        <v>2.1</v>
      </c>
      <c r="H1674" s="10">
        <v>2738</v>
      </c>
      <c r="I1674" s="11">
        <f t="shared" si="52"/>
        <v>204.52885317750182</v>
      </c>
      <c r="J1674" s="3" t="str">
        <f t="shared" si="53"/>
        <v>Medium</v>
      </c>
    </row>
    <row r="1675" spans="1:10">
      <c r="A1675" s="7" t="s">
        <v>1735</v>
      </c>
      <c r="B1675" s="7" t="s">
        <v>318</v>
      </c>
      <c r="C1675" s="7" t="s">
        <v>12</v>
      </c>
      <c r="D1675" s="22">
        <v>560000</v>
      </c>
      <c r="E1675" s="7">
        <v>90</v>
      </c>
      <c r="F1675" s="7">
        <v>4</v>
      </c>
      <c r="G1675" s="7">
        <v>2.1</v>
      </c>
      <c r="H1675" s="12">
        <v>2150</v>
      </c>
      <c r="I1675" s="9">
        <f t="shared" si="52"/>
        <v>260.46511627906978</v>
      </c>
      <c r="J1675" s="3" t="str">
        <f t="shared" si="53"/>
        <v>Medium</v>
      </c>
    </row>
    <row r="1676" spans="1:10">
      <c r="A1676" s="4" t="s">
        <v>1736</v>
      </c>
      <c r="B1676" s="4" t="s">
        <v>70</v>
      </c>
      <c r="C1676" s="4" t="s">
        <v>12</v>
      </c>
      <c r="D1676" s="21">
        <v>562000</v>
      </c>
      <c r="E1676" s="4">
        <v>67</v>
      </c>
      <c r="F1676" s="4">
        <v>4</v>
      </c>
      <c r="G1676" s="4">
        <v>2.1</v>
      </c>
      <c r="H1676" s="10">
        <v>3250</v>
      </c>
      <c r="I1676" s="11">
        <f t="shared" si="52"/>
        <v>172.92307692307693</v>
      </c>
      <c r="J1676" s="3" t="str">
        <f t="shared" si="53"/>
        <v>Low</v>
      </c>
    </row>
    <row r="1677" spans="1:10">
      <c r="A1677" s="7" t="s">
        <v>1737</v>
      </c>
      <c r="B1677" s="7" t="s">
        <v>1425</v>
      </c>
      <c r="C1677" s="7" t="s">
        <v>12</v>
      </c>
      <c r="D1677" s="22">
        <v>562500</v>
      </c>
      <c r="E1677" s="7">
        <v>102</v>
      </c>
      <c r="F1677" s="7">
        <v>3</v>
      </c>
      <c r="G1677" s="7">
        <v>3.1</v>
      </c>
      <c r="H1677" s="12">
        <v>2546</v>
      </c>
      <c r="I1677" s="9">
        <f t="shared" si="52"/>
        <v>220.93479968578163</v>
      </c>
      <c r="J1677" s="3" t="str">
        <f t="shared" si="53"/>
        <v>Medium</v>
      </c>
    </row>
    <row r="1678" spans="1:10">
      <c r="A1678" s="4" t="s">
        <v>1738</v>
      </c>
      <c r="B1678" s="4" t="s">
        <v>18</v>
      </c>
      <c r="C1678" s="4" t="s">
        <v>12</v>
      </c>
      <c r="D1678" s="21">
        <v>563000</v>
      </c>
      <c r="E1678" s="4">
        <v>7</v>
      </c>
      <c r="F1678" s="4">
        <v>4</v>
      </c>
      <c r="G1678" s="4">
        <v>2.1</v>
      </c>
      <c r="H1678" s="10">
        <v>2742</v>
      </c>
      <c r="I1678" s="11">
        <f t="shared" si="52"/>
        <v>205.32458059810358</v>
      </c>
      <c r="J1678" s="3" t="str">
        <f t="shared" si="53"/>
        <v>Medium</v>
      </c>
    </row>
    <row r="1679" spans="1:10">
      <c r="A1679" s="7" t="s">
        <v>1739</v>
      </c>
      <c r="B1679" s="7" t="s">
        <v>544</v>
      </c>
      <c r="C1679" s="7" t="s">
        <v>12</v>
      </c>
      <c r="D1679" s="22">
        <v>563925</v>
      </c>
      <c r="E1679" s="7">
        <v>2</v>
      </c>
      <c r="F1679" s="7">
        <v>4</v>
      </c>
      <c r="G1679" s="7">
        <v>3</v>
      </c>
      <c r="H1679" s="12">
        <v>2790</v>
      </c>
      <c r="I1679" s="9">
        <f t="shared" si="52"/>
        <v>202.1236559139785</v>
      </c>
      <c r="J1679" s="3" t="str">
        <f t="shared" si="53"/>
        <v>Medium</v>
      </c>
    </row>
    <row r="1680" spans="1:10">
      <c r="A1680" s="4" t="s">
        <v>1740</v>
      </c>
      <c r="B1680" s="4" t="s">
        <v>331</v>
      </c>
      <c r="C1680" s="4" t="s">
        <v>12</v>
      </c>
      <c r="D1680" s="21">
        <v>564740</v>
      </c>
      <c r="E1680" s="4">
        <v>209</v>
      </c>
      <c r="F1680" s="4">
        <v>4</v>
      </c>
      <c r="G1680" s="4">
        <v>2.1</v>
      </c>
      <c r="H1680" s="10">
        <v>2590</v>
      </c>
      <c r="I1680" s="11">
        <f t="shared" si="52"/>
        <v>218.04633204633205</v>
      </c>
      <c r="J1680" s="3" t="str">
        <f t="shared" si="53"/>
        <v>Medium</v>
      </c>
    </row>
    <row r="1681" spans="1:10">
      <c r="A1681" s="7" t="s">
        <v>1741</v>
      </c>
      <c r="B1681" s="7" t="s">
        <v>18</v>
      </c>
      <c r="C1681" s="7" t="s">
        <v>12</v>
      </c>
      <c r="D1681" s="22">
        <v>565000</v>
      </c>
      <c r="E1681" s="7">
        <v>17</v>
      </c>
      <c r="F1681" s="7">
        <v>4</v>
      </c>
      <c r="G1681" s="7">
        <v>4</v>
      </c>
      <c r="H1681" s="12">
        <v>3382</v>
      </c>
      <c r="I1681" s="9">
        <f t="shared" si="52"/>
        <v>167.0609107037256</v>
      </c>
      <c r="J1681" s="3" t="str">
        <f t="shared" si="53"/>
        <v>Low</v>
      </c>
    </row>
    <row r="1682" spans="1:10">
      <c r="A1682" s="4" t="s">
        <v>1742</v>
      </c>
      <c r="B1682" s="4" t="s">
        <v>212</v>
      </c>
      <c r="C1682" s="4" t="s">
        <v>12</v>
      </c>
      <c r="D1682" s="21">
        <v>565000</v>
      </c>
      <c r="E1682" s="4">
        <v>29</v>
      </c>
      <c r="F1682" s="4">
        <v>4</v>
      </c>
      <c r="G1682" s="4">
        <v>2.1</v>
      </c>
      <c r="H1682" s="10">
        <v>2807</v>
      </c>
      <c r="I1682" s="11">
        <f t="shared" si="52"/>
        <v>201.28250801567509</v>
      </c>
      <c r="J1682" s="3" t="str">
        <f t="shared" si="53"/>
        <v>Medium</v>
      </c>
    </row>
    <row r="1683" spans="1:10">
      <c r="A1683" s="7" t="s">
        <v>1743</v>
      </c>
      <c r="B1683" s="7" t="s">
        <v>70</v>
      </c>
      <c r="C1683" s="7" t="s">
        <v>12</v>
      </c>
      <c r="D1683" s="22">
        <v>567000</v>
      </c>
      <c r="E1683" s="7">
        <v>51</v>
      </c>
      <c r="F1683" s="7">
        <v>5</v>
      </c>
      <c r="G1683" s="7">
        <v>3.1</v>
      </c>
      <c r="H1683" s="12">
        <v>3299</v>
      </c>
      <c r="I1683" s="9">
        <f t="shared" si="52"/>
        <v>171.87026371627766</v>
      </c>
      <c r="J1683" s="3" t="str">
        <f t="shared" si="53"/>
        <v>Low</v>
      </c>
    </row>
    <row r="1684" spans="1:10">
      <c r="A1684" s="4" t="s">
        <v>1744</v>
      </c>
      <c r="B1684" s="4" t="s">
        <v>29</v>
      </c>
      <c r="C1684" s="4" t="s">
        <v>12</v>
      </c>
      <c r="D1684" s="21">
        <v>568000</v>
      </c>
      <c r="E1684" s="4">
        <v>7</v>
      </c>
      <c r="F1684" s="4">
        <v>3</v>
      </c>
      <c r="G1684" s="4">
        <v>2.1</v>
      </c>
      <c r="H1684" s="10">
        <v>2172</v>
      </c>
      <c r="I1684" s="11">
        <f t="shared" si="52"/>
        <v>261.51012891344385</v>
      </c>
      <c r="J1684" s="3" t="str">
        <f t="shared" si="53"/>
        <v>Medium</v>
      </c>
    </row>
    <row r="1685" spans="1:10">
      <c r="A1685" s="7" t="s">
        <v>1745</v>
      </c>
      <c r="B1685" s="7" t="s">
        <v>56</v>
      </c>
      <c r="C1685" s="7" t="s">
        <v>12</v>
      </c>
      <c r="D1685" s="22">
        <v>570000</v>
      </c>
      <c r="E1685" s="7">
        <v>2</v>
      </c>
      <c r="F1685" s="7">
        <v>4</v>
      </c>
      <c r="G1685" s="7">
        <v>2.1</v>
      </c>
      <c r="H1685" s="12">
        <v>2777</v>
      </c>
      <c r="I1685" s="9">
        <f t="shared" si="52"/>
        <v>205.25747209218582</v>
      </c>
      <c r="J1685" s="3" t="str">
        <f t="shared" si="53"/>
        <v>Medium</v>
      </c>
    </row>
    <row r="1686" spans="1:10">
      <c r="A1686" s="4" t="s">
        <v>1746</v>
      </c>
      <c r="B1686" s="4" t="s">
        <v>93</v>
      </c>
      <c r="C1686" s="4" t="s">
        <v>12</v>
      </c>
      <c r="D1686" s="21">
        <v>570000</v>
      </c>
      <c r="E1686" s="4">
        <v>4</v>
      </c>
      <c r="F1686" s="4">
        <v>4</v>
      </c>
      <c r="G1686" s="4">
        <v>1.3</v>
      </c>
      <c r="H1686" s="10">
        <v>2576</v>
      </c>
      <c r="I1686" s="11">
        <f t="shared" si="52"/>
        <v>221.27329192546583</v>
      </c>
      <c r="J1686" s="3" t="str">
        <f t="shared" si="53"/>
        <v>Medium</v>
      </c>
    </row>
    <row r="1687" spans="1:10">
      <c r="A1687" s="7" t="s">
        <v>1747</v>
      </c>
      <c r="B1687" s="7" t="s">
        <v>960</v>
      </c>
      <c r="C1687" s="7" t="s">
        <v>12</v>
      </c>
      <c r="D1687" s="22">
        <v>570000</v>
      </c>
      <c r="E1687" s="7">
        <v>6</v>
      </c>
      <c r="F1687" s="7">
        <v>4</v>
      </c>
      <c r="G1687" s="7">
        <v>3.1</v>
      </c>
      <c r="H1687" s="12">
        <v>3355</v>
      </c>
      <c r="I1687" s="9">
        <f t="shared" si="52"/>
        <v>169.89567809239941</v>
      </c>
      <c r="J1687" s="3" t="str">
        <f t="shared" si="53"/>
        <v>Low</v>
      </c>
    </row>
    <row r="1688" spans="1:10">
      <c r="A1688" s="4" t="s">
        <v>1748</v>
      </c>
      <c r="B1688" s="4" t="s">
        <v>212</v>
      </c>
      <c r="C1688" s="4" t="s">
        <v>12</v>
      </c>
      <c r="D1688" s="21">
        <v>572000</v>
      </c>
      <c r="E1688" s="4">
        <v>16</v>
      </c>
      <c r="F1688" s="4">
        <v>4</v>
      </c>
      <c r="G1688" s="4">
        <v>2.1</v>
      </c>
      <c r="H1688" s="10">
        <v>3015</v>
      </c>
      <c r="I1688" s="11">
        <f t="shared" si="52"/>
        <v>189.71807628524047</v>
      </c>
      <c r="J1688" s="3" t="str">
        <f t="shared" si="53"/>
        <v>Low</v>
      </c>
    </row>
    <row r="1689" spans="1:10">
      <c r="A1689" s="7" t="s">
        <v>1749</v>
      </c>
      <c r="B1689" s="7" t="s">
        <v>18</v>
      </c>
      <c r="C1689" s="7" t="s">
        <v>12</v>
      </c>
      <c r="D1689" s="22">
        <v>572100</v>
      </c>
      <c r="E1689" s="7">
        <v>57</v>
      </c>
      <c r="F1689" s="7">
        <v>5</v>
      </c>
      <c r="G1689" s="7">
        <v>4</v>
      </c>
      <c r="H1689" s="12">
        <v>3434</v>
      </c>
      <c r="I1689" s="9">
        <f t="shared" si="52"/>
        <v>166.59871869539896</v>
      </c>
      <c r="J1689" s="3" t="str">
        <f t="shared" si="53"/>
        <v>Low</v>
      </c>
    </row>
    <row r="1690" spans="1:10">
      <c r="A1690" s="4" t="s">
        <v>1750</v>
      </c>
      <c r="B1690" s="4" t="s">
        <v>16</v>
      </c>
      <c r="C1690" s="4" t="s">
        <v>12</v>
      </c>
      <c r="D1690" s="21">
        <v>573000</v>
      </c>
      <c r="E1690" s="4">
        <v>22</v>
      </c>
      <c r="F1690" s="4">
        <v>4</v>
      </c>
      <c r="G1690" s="4">
        <v>2.1</v>
      </c>
      <c r="H1690" s="10">
        <v>2300</v>
      </c>
      <c r="I1690" s="11">
        <f t="shared" si="52"/>
        <v>249.13043478260869</v>
      </c>
      <c r="J1690" s="3" t="str">
        <f t="shared" si="53"/>
        <v>Medium</v>
      </c>
    </row>
    <row r="1691" spans="1:10">
      <c r="A1691" s="7" t="s">
        <v>1751</v>
      </c>
      <c r="B1691" s="7" t="s">
        <v>93</v>
      </c>
      <c r="C1691" s="7" t="s">
        <v>12</v>
      </c>
      <c r="D1691" s="22">
        <v>574900</v>
      </c>
      <c r="E1691" s="7">
        <v>31</v>
      </c>
      <c r="F1691" s="7">
        <v>0</v>
      </c>
      <c r="G1691" s="7">
        <v>0.1</v>
      </c>
      <c r="H1691" s="12">
        <v>2500</v>
      </c>
      <c r="I1691" s="9">
        <f t="shared" si="52"/>
        <v>229.96</v>
      </c>
      <c r="J1691" s="3" t="str">
        <f t="shared" si="53"/>
        <v>Medium</v>
      </c>
    </row>
    <row r="1692" spans="1:10">
      <c r="A1692" s="4" t="s">
        <v>1752</v>
      </c>
      <c r="B1692" s="4" t="s">
        <v>679</v>
      </c>
      <c r="C1692" s="4" t="s">
        <v>12</v>
      </c>
      <c r="D1692" s="21">
        <v>575000</v>
      </c>
      <c r="E1692" s="4">
        <v>7</v>
      </c>
      <c r="F1692" s="4">
        <v>3</v>
      </c>
      <c r="G1692" s="4">
        <v>2</v>
      </c>
      <c r="H1692" s="10">
        <v>1523</v>
      </c>
      <c r="I1692" s="11">
        <f t="shared" si="52"/>
        <v>377.54432042022324</v>
      </c>
      <c r="J1692" s="3" t="str">
        <f t="shared" si="53"/>
        <v>High</v>
      </c>
    </row>
    <row r="1693" spans="1:10">
      <c r="A1693" s="7" t="s">
        <v>1753</v>
      </c>
      <c r="B1693" s="7" t="s">
        <v>544</v>
      </c>
      <c r="C1693" s="7" t="s">
        <v>12</v>
      </c>
      <c r="D1693" s="22">
        <v>575000</v>
      </c>
      <c r="E1693" s="7">
        <v>3</v>
      </c>
      <c r="F1693" s="7">
        <v>3</v>
      </c>
      <c r="G1693" s="7">
        <v>2.1</v>
      </c>
      <c r="H1693" s="12">
        <v>2620</v>
      </c>
      <c r="I1693" s="9">
        <f t="shared" si="52"/>
        <v>219.46564885496184</v>
      </c>
      <c r="J1693" s="3" t="str">
        <f t="shared" si="53"/>
        <v>Medium</v>
      </c>
    </row>
    <row r="1694" spans="1:10">
      <c r="A1694" s="4" t="s">
        <v>1754</v>
      </c>
      <c r="B1694" s="4" t="s">
        <v>1305</v>
      </c>
      <c r="C1694" s="4" t="s">
        <v>12</v>
      </c>
      <c r="D1694" s="21">
        <v>575000</v>
      </c>
      <c r="E1694" s="4">
        <v>19</v>
      </c>
      <c r="F1694" s="4">
        <v>4</v>
      </c>
      <c r="G1694" s="4">
        <v>2.1</v>
      </c>
      <c r="H1694" s="10">
        <v>2609</v>
      </c>
      <c r="I1694" s="11">
        <f t="shared" si="52"/>
        <v>220.39095438865465</v>
      </c>
      <c r="J1694" s="3" t="str">
        <f t="shared" si="53"/>
        <v>Medium</v>
      </c>
    </row>
    <row r="1695" spans="1:10">
      <c r="A1695" s="7" t="s">
        <v>1755</v>
      </c>
      <c r="B1695" s="7" t="s">
        <v>117</v>
      </c>
      <c r="C1695" s="7" t="s">
        <v>12</v>
      </c>
      <c r="D1695" s="22">
        <v>575000</v>
      </c>
      <c r="E1695" s="7">
        <v>19</v>
      </c>
      <c r="F1695" s="7">
        <v>4</v>
      </c>
      <c r="G1695" s="7">
        <v>2</v>
      </c>
      <c r="H1695" s="12">
        <v>2230</v>
      </c>
      <c r="I1695" s="9">
        <f t="shared" si="52"/>
        <v>257.84753363228697</v>
      </c>
      <c r="J1695" s="3" t="str">
        <f t="shared" si="53"/>
        <v>Medium</v>
      </c>
    </row>
    <row r="1696" spans="1:10">
      <c r="A1696" s="4" t="s">
        <v>1756</v>
      </c>
      <c r="B1696" s="4" t="s">
        <v>823</v>
      </c>
      <c r="C1696" s="4" t="s">
        <v>12</v>
      </c>
      <c r="D1696" s="21">
        <v>575000</v>
      </c>
      <c r="E1696" s="4">
        <v>16</v>
      </c>
      <c r="F1696" s="4">
        <v>3</v>
      </c>
      <c r="G1696" s="4">
        <v>2.1</v>
      </c>
      <c r="H1696" s="10">
        <v>2000</v>
      </c>
      <c r="I1696" s="11">
        <f t="shared" si="52"/>
        <v>287.5</v>
      </c>
      <c r="J1696" s="3" t="str">
        <f t="shared" si="53"/>
        <v>Medium</v>
      </c>
    </row>
    <row r="1697" spans="1:10">
      <c r="A1697" s="7" t="s">
        <v>1757</v>
      </c>
      <c r="B1697" s="7" t="s">
        <v>960</v>
      </c>
      <c r="C1697" s="7" t="s">
        <v>12</v>
      </c>
      <c r="D1697" s="22">
        <v>575000</v>
      </c>
      <c r="E1697" s="7">
        <v>60</v>
      </c>
      <c r="F1697" s="7">
        <v>4</v>
      </c>
      <c r="G1697" s="7">
        <v>3</v>
      </c>
      <c r="H1697" s="12">
        <v>2819</v>
      </c>
      <c r="I1697" s="9">
        <f t="shared" si="52"/>
        <v>203.97304008513657</v>
      </c>
      <c r="J1697" s="3" t="str">
        <f t="shared" si="53"/>
        <v>Medium</v>
      </c>
    </row>
    <row r="1698" spans="1:10">
      <c r="A1698" s="4" t="s">
        <v>1758</v>
      </c>
      <c r="B1698" s="4" t="s">
        <v>212</v>
      </c>
      <c r="C1698" s="4" t="s">
        <v>12</v>
      </c>
      <c r="D1698" s="21">
        <v>577000</v>
      </c>
      <c r="E1698" s="4">
        <v>6</v>
      </c>
      <c r="F1698" s="4">
        <v>3</v>
      </c>
      <c r="G1698" s="4">
        <v>2.1</v>
      </c>
      <c r="H1698" s="10">
        <v>1891</v>
      </c>
      <c r="I1698" s="11">
        <f t="shared" si="52"/>
        <v>305.12956107879427</v>
      </c>
      <c r="J1698" s="3" t="str">
        <f t="shared" si="53"/>
        <v>High</v>
      </c>
    </row>
    <row r="1699" spans="1:10">
      <c r="A1699" s="7" t="s">
        <v>1759</v>
      </c>
      <c r="B1699" s="7" t="s">
        <v>318</v>
      </c>
      <c r="C1699" s="7" t="s">
        <v>12</v>
      </c>
      <c r="D1699" s="22">
        <v>577500</v>
      </c>
      <c r="E1699" s="7">
        <v>14</v>
      </c>
      <c r="F1699" s="7">
        <v>4</v>
      </c>
      <c r="G1699" s="7">
        <v>4</v>
      </c>
      <c r="H1699" s="12">
        <v>2941</v>
      </c>
      <c r="I1699" s="9">
        <f t="shared" si="52"/>
        <v>196.36178170690241</v>
      </c>
      <c r="J1699" s="3" t="str">
        <f t="shared" si="53"/>
        <v>Low</v>
      </c>
    </row>
    <row r="1700" spans="1:10">
      <c r="A1700" s="4" t="s">
        <v>1760</v>
      </c>
      <c r="B1700" s="4" t="s">
        <v>212</v>
      </c>
      <c r="C1700" s="4" t="s">
        <v>12</v>
      </c>
      <c r="D1700" s="21">
        <v>578000</v>
      </c>
      <c r="E1700" s="4">
        <v>5</v>
      </c>
      <c r="F1700" s="4">
        <v>3</v>
      </c>
      <c r="G1700" s="4">
        <v>3.1</v>
      </c>
      <c r="H1700" s="10">
        <v>1988</v>
      </c>
      <c r="I1700" s="11">
        <f t="shared" si="52"/>
        <v>290.74446680080484</v>
      </c>
      <c r="J1700" s="3" t="str">
        <f t="shared" si="53"/>
        <v>Medium</v>
      </c>
    </row>
    <row r="1701" spans="1:10">
      <c r="A1701" s="7" t="s">
        <v>1761</v>
      </c>
      <c r="B1701" s="7" t="s">
        <v>16</v>
      </c>
      <c r="C1701" s="7" t="s">
        <v>12</v>
      </c>
      <c r="D1701" s="22">
        <v>578300</v>
      </c>
      <c r="E1701" s="7">
        <v>5</v>
      </c>
      <c r="F1701" s="7">
        <v>5</v>
      </c>
      <c r="G1701" s="7">
        <v>2.1</v>
      </c>
      <c r="H1701" s="12">
        <v>2596</v>
      </c>
      <c r="I1701" s="9">
        <f t="shared" si="52"/>
        <v>222.76579352850538</v>
      </c>
      <c r="J1701" s="3" t="str">
        <f t="shared" si="53"/>
        <v>Medium</v>
      </c>
    </row>
    <row r="1702" spans="1:10">
      <c r="A1702" s="4" t="s">
        <v>1762</v>
      </c>
      <c r="B1702" s="4" t="s">
        <v>131</v>
      </c>
      <c r="C1702" s="4" t="s">
        <v>12</v>
      </c>
      <c r="D1702" s="21">
        <v>579900</v>
      </c>
      <c r="E1702" s="4">
        <v>245</v>
      </c>
      <c r="F1702" s="4">
        <v>3</v>
      </c>
      <c r="G1702" s="4">
        <v>2.1</v>
      </c>
      <c r="H1702" s="10">
        <v>2200</v>
      </c>
      <c r="I1702" s="11">
        <f t="shared" si="52"/>
        <v>263.59090909090907</v>
      </c>
      <c r="J1702" s="3" t="str">
        <f t="shared" si="53"/>
        <v>Medium</v>
      </c>
    </row>
    <row r="1703" spans="1:10">
      <c r="A1703" s="7" t="s">
        <v>1763</v>
      </c>
      <c r="B1703" s="7" t="s">
        <v>80</v>
      </c>
      <c r="C1703" s="7" t="s">
        <v>12</v>
      </c>
      <c r="D1703" s="22">
        <v>581615</v>
      </c>
      <c r="E1703" s="7">
        <v>20</v>
      </c>
      <c r="F1703" s="7">
        <v>4</v>
      </c>
      <c r="G1703" s="7">
        <v>2.1</v>
      </c>
      <c r="H1703" s="12">
        <v>2573</v>
      </c>
      <c r="I1703" s="9">
        <f t="shared" si="52"/>
        <v>226.04547221142636</v>
      </c>
      <c r="J1703" s="3" t="str">
        <f t="shared" si="53"/>
        <v>Medium</v>
      </c>
    </row>
    <row r="1704" spans="1:10">
      <c r="A1704" s="4" t="s">
        <v>1764</v>
      </c>
      <c r="B1704" s="4" t="s">
        <v>331</v>
      </c>
      <c r="C1704" s="4" t="s">
        <v>12</v>
      </c>
      <c r="D1704" s="21">
        <v>585000</v>
      </c>
      <c r="E1704" s="4">
        <v>4</v>
      </c>
      <c r="F1704" s="4">
        <v>3</v>
      </c>
      <c r="G1704" s="4">
        <v>2.1</v>
      </c>
      <c r="H1704" s="10">
        <v>2262</v>
      </c>
      <c r="I1704" s="11">
        <f t="shared" si="52"/>
        <v>258.62068965517244</v>
      </c>
      <c r="J1704" s="3" t="str">
        <f t="shared" si="53"/>
        <v>Medium</v>
      </c>
    </row>
    <row r="1705" spans="1:10">
      <c r="A1705" s="7" t="s">
        <v>1765</v>
      </c>
      <c r="B1705" s="7" t="s">
        <v>823</v>
      </c>
      <c r="C1705" s="7" t="s">
        <v>12</v>
      </c>
      <c r="D1705" s="22">
        <v>585000</v>
      </c>
      <c r="E1705" s="7">
        <v>9</v>
      </c>
      <c r="F1705" s="7">
        <v>3</v>
      </c>
      <c r="G1705" s="7">
        <v>2.1</v>
      </c>
      <c r="H1705" s="12">
        <v>2722</v>
      </c>
      <c r="I1705" s="9">
        <f t="shared" si="52"/>
        <v>214.91550330639237</v>
      </c>
      <c r="J1705" s="3" t="str">
        <f t="shared" si="53"/>
        <v>Medium</v>
      </c>
    </row>
    <row r="1706" spans="1:10">
      <c r="A1706" s="4" t="s">
        <v>1766</v>
      </c>
      <c r="B1706" s="4" t="s">
        <v>70</v>
      </c>
      <c r="C1706" s="4" t="s">
        <v>12</v>
      </c>
      <c r="D1706" s="21">
        <v>585000</v>
      </c>
      <c r="E1706" s="4">
        <v>5</v>
      </c>
      <c r="F1706" s="4">
        <v>4</v>
      </c>
      <c r="G1706" s="4">
        <v>2.2000000000000002</v>
      </c>
      <c r="H1706" s="10">
        <v>3100</v>
      </c>
      <c r="I1706" s="11">
        <f t="shared" si="52"/>
        <v>188.70967741935485</v>
      </c>
      <c r="J1706" s="3" t="str">
        <f t="shared" si="53"/>
        <v>Low</v>
      </c>
    </row>
    <row r="1707" spans="1:10">
      <c r="A1707" s="7" t="s">
        <v>1767</v>
      </c>
      <c r="B1707" s="7" t="s">
        <v>18</v>
      </c>
      <c r="C1707" s="7" t="s">
        <v>12</v>
      </c>
      <c r="D1707" s="22">
        <v>585000</v>
      </c>
      <c r="E1707" s="7">
        <v>43</v>
      </c>
      <c r="F1707" s="7">
        <v>4</v>
      </c>
      <c r="G1707" s="7">
        <v>2.1</v>
      </c>
      <c r="H1707" s="12">
        <v>2692</v>
      </c>
      <c r="I1707" s="9">
        <f t="shared" si="52"/>
        <v>217.31054977711739</v>
      </c>
      <c r="J1707" s="3" t="str">
        <f t="shared" si="53"/>
        <v>Medium</v>
      </c>
    </row>
    <row r="1708" spans="1:10">
      <c r="A1708" s="4" t="s">
        <v>1768</v>
      </c>
      <c r="B1708" s="4" t="s">
        <v>298</v>
      </c>
      <c r="C1708" s="4" t="s">
        <v>12</v>
      </c>
      <c r="D1708" s="21">
        <v>586000</v>
      </c>
      <c r="E1708" s="4">
        <v>37</v>
      </c>
      <c r="F1708" s="4">
        <v>4</v>
      </c>
      <c r="G1708" s="4">
        <v>3.1</v>
      </c>
      <c r="H1708" s="10">
        <v>2896</v>
      </c>
      <c r="I1708" s="11">
        <f t="shared" si="52"/>
        <v>202.34806629834253</v>
      </c>
      <c r="J1708" s="3" t="str">
        <f t="shared" si="53"/>
        <v>Medium</v>
      </c>
    </row>
    <row r="1709" spans="1:10">
      <c r="A1709" s="7" t="s">
        <v>1769</v>
      </c>
      <c r="B1709" s="7" t="s">
        <v>948</v>
      </c>
      <c r="C1709" s="7" t="s">
        <v>12</v>
      </c>
      <c r="D1709" s="22">
        <v>589900</v>
      </c>
      <c r="E1709" s="7">
        <v>25</v>
      </c>
      <c r="F1709" s="7">
        <v>4</v>
      </c>
      <c r="G1709" s="7">
        <v>2.1</v>
      </c>
      <c r="H1709" s="12">
        <v>3235</v>
      </c>
      <c r="I1709" s="9">
        <f t="shared" si="52"/>
        <v>182.34930448222565</v>
      </c>
      <c r="J1709" s="3" t="str">
        <f t="shared" si="53"/>
        <v>Low</v>
      </c>
    </row>
    <row r="1710" spans="1:10">
      <c r="A1710" s="4" t="s">
        <v>1770</v>
      </c>
      <c r="B1710" s="4" t="s">
        <v>16</v>
      </c>
      <c r="C1710" s="4" t="s">
        <v>12</v>
      </c>
      <c r="D1710" s="21">
        <v>590000</v>
      </c>
      <c r="E1710" s="4">
        <v>3</v>
      </c>
      <c r="F1710" s="4">
        <v>3</v>
      </c>
      <c r="G1710" s="4">
        <v>2.1</v>
      </c>
      <c r="H1710" s="10">
        <v>1928</v>
      </c>
      <c r="I1710" s="11">
        <f t="shared" si="52"/>
        <v>306.01659751037346</v>
      </c>
      <c r="J1710" s="3" t="str">
        <f t="shared" si="53"/>
        <v>High</v>
      </c>
    </row>
    <row r="1711" spans="1:10">
      <c r="A1711" s="7" t="s">
        <v>1771</v>
      </c>
      <c r="B1711" s="7" t="s">
        <v>56</v>
      </c>
      <c r="C1711" s="7" t="s">
        <v>12</v>
      </c>
      <c r="D1711" s="22">
        <v>590000</v>
      </c>
      <c r="E1711" s="7">
        <v>5</v>
      </c>
      <c r="F1711" s="7">
        <v>4</v>
      </c>
      <c r="G1711" s="7">
        <v>3</v>
      </c>
      <c r="H1711" s="12">
        <v>2838</v>
      </c>
      <c r="I1711" s="9">
        <f t="shared" si="52"/>
        <v>207.89288231148697</v>
      </c>
      <c r="J1711" s="3" t="str">
        <f t="shared" si="53"/>
        <v>Medium</v>
      </c>
    </row>
    <row r="1712" spans="1:10">
      <c r="A1712" s="4" t="s">
        <v>1772</v>
      </c>
      <c r="B1712" s="4" t="s">
        <v>544</v>
      </c>
      <c r="C1712" s="4" t="s">
        <v>12</v>
      </c>
      <c r="D1712" s="21">
        <v>590000</v>
      </c>
      <c r="E1712" s="4">
        <v>187</v>
      </c>
      <c r="F1712" s="4">
        <v>3</v>
      </c>
      <c r="G1712" s="4">
        <v>2.1</v>
      </c>
      <c r="H1712" s="10">
        <v>2144</v>
      </c>
      <c r="I1712" s="11">
        <f t="shared" si="52"/>
        <v>275.18656716417911</v>
      </c>
      <c r="J1712" s="3" t="str">
        <f t="shared" si="53"/>
        <v>Medium</v>
      </c>
    </row>
    <row r="1713" spans="1:10">
      <c r="A1713" s="7" t="s">
        <v>1773</v>
      </c>
      <c r="B1713" s="7" t="s">
        <v>80</v>
      </c>
      <c r="C1713" s="7" t="s">
        <v>12</v>
      </c>
      <c r="D1713" s="22">
        <v>592000</v>
      </c>
      <c r="E1713" s="7">
        <v>27</v>
      </c>
      <c r="F1713" s="7">
        <v>4</v>
      </c>
      <c r="G1713" s="7">
        <v>3.1</v>
      </c>
      <c r="H1713" s="12">
        <v>2757</v>
      </c>
      <c r="I1713" s="9">
        <f t="shared" si="52"/>
        <v>214.72615161407327</v>
      </c>
      <c r="J1713" s="3" t="str">
        <f t="shared" si="53"/>
        <v>Medium</v>
      </c>
    </row>
    <row r="1714" spans="1:10">
      <c r="A1714" s="4" t="s">
        <v>1774</v>
      </c>
      <c r="B1714" s="4" t="s">
        <v>117</v>
      </c>
      <c r="C1714" s="4" t="s">
        <v>12</v>
      </c>
      <c r="D1714" s="21">
        <v>592000</v>
      </c>
      <c r="E1714" s="4">
        <v>102</v>
      </c>
      <c r="F1714" s="4">
        <v>3</v>
      </c>
      <c r="G1714" s="4">
        <v>3</v>
      </c>
      <c r="H1714" s="10">
        <v>2196</v>
      </c>
      <c r="I1714" s="11">
        <f t="shared" si="52"/>
        <v>269.58105646630236</v>
      </c>
      <c r="J1714" s="3" t="str">
        <f t="shared" si="53"/>
        <v>Medium</v>
      </c>
    </row>
    <row r="1715" spans="1:10">
      <c r="A1715" s="7" t="s">
        <v>1775</v>
      </c>
      <c r="B1715" s="7" t="s">
        <v>823</v>
      </c>
      <c r="C1715" s="7" t="s">
        <v>12</v>
      </c>
      <c r="D1715" s="22">
        <v>594066</v>
      </c>
      <c r="E1715" s="7">
        <v>510</v>
      </c>
      <c r="F1715" s="7">
        <v>3</v>
      </c>
      <c r="G1715" s="7">
        <v>2.1</v>
      </c>
      <c r="H1715" s="12">
        <v>2000</v>
      </c>
      <c r="I1715" s="9">
        <f t="shared" si="52"/>
        <v>297.03300000000002</v>
      </c>
      <c r="J1715" s="3" t="str">
        <f t="shared" si="53"/>
        <v>Medium</v>
      </c>
    </row>
    <row r="1716" spans="1:10">
      <c r="A1716" s="4" t="s">
        <v>1776</v>
      </c>
      <c r="B1716" s="4" t="s">
        <v>70</v>
      </c>
      <c r="C1716" s="4" t="s">
        <v>12</v>
      </c>
      <c r="D1716" s="21">
        <v>594090</v>
      </c>
      <c r="E1716" s="4">
        <v>1</v>
      </c>
      <c r="F1716" s="4">
        <v>5</v>
      </c>
      <c r="G1716" s="4">
        <v>3</v>
      </c>
      <c r="H1716" s="10">
        <v>2700</v>
      </c>
      <c r="I1716" s="11">
        <f t="shared" si="52"/>
        <v>220.03333333333333</v>
      </c>
      <c r="J1716" s="3" t="str">
        <f t="shared" si="53"/>
        <v>Medium</v>
      </c>
    </row>
    <row r="1717" spans="1:10">
      <c r="A1717" s="7" t="s">
        <v>1777</v>
      </c>
      <c r="B1717" s="7" t="s">
        <v>553</v>
      </c>
      <c r="C1717" s="7" t="s">
        <v>12</v>
      </c>
      <c r="D1717" s="22">
        <v>594090</v>
      </c>
      <c r="E1717" s="7">
        <v>75</v>
      </c>
      <c r="F1717" s="7">
        <v>5</v>
      </c>
      <c r="G1717" s="7">
        <v>3</v>
      </c>
      <c r="H1717" s="12">
        <v>2700</v>
      </c>
      <c r="I1717" s="9">
        <f t="shared" si="52"/>
        <v>220.03333333333333</v>
      </c>
      <c r="J1717" s="3" t="str">
        <f t="shared" si="53"/>
        <v>Medium</v>
      </c>
    </row>
    <row r="1718" spans="1:10">
      <c r="A1718" s="4" t="s">
        <v>1778</v>
      </c>
      <c r="B1718" s="4" t="s">
        <v>331</v>
      </c>
      <c r="C1718" s="4" t="s">
        <v>12</v>
      </c>
      <c r="D1718" s="21">
        <v>595000</v>
      </c>
      <c r="E1718" s="4">
        <v>12</v>
      </c>
      <c r="F1718" s="4">
        <v>4</v>
      </c>
      <c r="G1718" s="4">
        <v>5.0999999999999996</v>
      </c>
      <c r="H1718" s="10">
        <v>3512</v>
      </c>
      <c r="I1718" s="11">
        <f t="shared" si="52"/>
        <v>169.41913439635536</v>
      </c>
      <c r="J1718" s="3" t="str">
        <f t="shared" si="53"/>
        <v>Low</v>
      </c>
    </row>
    <row r="1719" spans="1:10">
      <c r="A1719" s="7" t="s">
        <v>1779</v>
      </c>
      <c r="B1719" s="7" t="s">
        <v>70</v>
      </c>
      <c r="C1719" s="7" t="s">
        <v>12</v>
      </c>
      <c r="D1719" s="22">
        <v>595000</v>
      </c>
      <c r="E1719" s="7">
        <v>195</v>
      </c>
      <c r="F1719" s="7">
        <v>4</v>
      </c>
      <c r="G1719" s="7">
        <v>3.1</v>
      </c>
      <c r="H1719" s="12">
        <v>3485</v>
      </c>
      <c r="I1719" s="9">
        <f t="shared" si="52"/>
        <v>170.73170731707316</v>
      </c>
      <c r="J1719" s="3" t="str">
        <f t="shared" si="53"/>
        <v>Low</v>
      </c>
    </row>
    <row r="1720" spans="1:10">
      <c r="A1720" s="4" t="s">
        <v>1780</v>
      </c>
      <c r="B1720" s="4" t="s">
        <v>212</v>
      </c>
      <c r="C1720" s="4" t="s">
        <v>12</v>
      </c>
      <c r="D1720" s="21">
        <v>595101</v>
      </c>
      <c r="E1720" s="4">
        <v>8</v>
      </c>
      <c r="F1720" s="4">
        <v>4</v>
      </c>
      <c r="G1720" s="4">
        <v>3.1</v>
      </c>
      <c r="H1720" s="10">
        <v>2605</v>
      </c>
      <c r="I1720" s="11">
        <f t="shared" si="52"/>
        <v>228.44568138195777</v>
      </c>
      <c r="J1720" s="3" t="str">
        <f t="shared" si="53"/>
        <v>Medium</v>
      </c>
    </row>
    <row r="1721" spans="1:10">
      <c r="A1721" s="7" t="s">
        <v>1781</v>
      </c>
      <c r="B1721" s="7" t="s">
        <v>544</v>
      </c>
      <c r="C1721" s="7" t="s">
        <v>12</v>
      </c>
      <c r="D1721" s="22">
        <v>595417</v>
      </c>
      <c r="E1721" s="7">
        <v>1</v>
      </c>
      <c r="F1721" s="7">
        <v>4</v>
      </c>
      <c r="G1721" s="7">
        <v>2.1</v>
      </c>
      <c r="H1721" s="12">
        <v>3110</v>
      </c>
      <c r="I1721" s="9">
        <f t="shared" si="52"/>
        <v>191.45241157556271</v>
      </c>
      <c r="J1721" s="3" t="str">
        <f t="shared" si="53"/>
        <v>Low</v>
      </c>
    </row>
    <row r="1722" spans="1:10">
      <c r="A1722" s="4" t="s">
        <v>1782</v>
      </c>
      <c r="B1722" s="4" t="s">
        <v>544</v>
      </c>
      <c r="C1722" s="4" t="s">
        <v>12</v>
      </c>
      <c r="D1722" s="21">
        <v>596076</v>
      </c>
      <c r="E1722" s="4">
        <v>54</v>
      </c>
      <c r="F1722" s="4">
        <v>4</v>
      </c>
      <c r="G1722" s="4">
        <v>3</v>
      </c>
      <c r="H1722" s="10">
        <v>2938</v>
      </c>
      <c r="I1722" s="11">
        <f t="shared" si="52"/>
        <v>202.88495575221239</v>
      </c>
      <c r="J1722" s="3" t="str">
        <f t="shared" si="53"/>
        <v>Medium</v>
      </c>
    </row>
    <row r="1723" spans="1:10">
      <c r="A1723" s="7" t="s">
        <v>1783</v>
      </c>
      <c r="B1723" s="7" t="s">
        <v>823</v>
      </c>
      <c r="C1723" s="7" t="s">
        <v>12</v>
      </c>
      <c r="D1723" s="22">
        <v>597736</v>
      </c>
      <c r="E1723" s="7">
        <v>285</v>
      </c>
      <c r="F1723" s="7">
        <v>4</v>
      </c>
      <c r="G1723" s="7">
        <v>2.1</v>
      </c>
      <c r="H1723" s="12">
        <v>2824</v>
      </c>
      <c r="I1723" s="9">
        <f t="shared" si="52"/>
        <v>211.66288951841361</v>
      </c>
      <c r="J1723" s="3" t="str">
        <f t="shared" si="53"/>
        <v>Medium</v>
      </c>
    </row>
    <row r="1724" spans="1:10">
      <c r="A1724" s="4" t="s">
        <v>1784</v>
      </c>
      <c r="B1724" s="4" t="s">
        <v>268</v>
      </c>
      <c r="C1724" s="4" t="s">
        <v>12</v>
      </c>
      <c r="D1724" s="21">
        <v>599000</v>
      </c>
      <c r="E1724" s="4">
        <v>10</v>
      </c>
      <c r="F1724" s="4">
        <v>6</v>
      </c>
      <c r="G1724" s="4">
        <v>3.1</v>
      </c>
      <c r="H1724" s="10">
        <v>3570</v>
      </c>
      <c r="I1724" s="11">
        <f t="shared" si="52"/>
        <v>167.78711484593836</v>
      </c>
      <c r="J1724" s="3" t="str">
        <f t="shared" si="53"/>
        <v>Low</v>
      </c>
    </row>
    <row r="1725" spans="1:10">
      <c r="A1725" s="7" t="s">
        <v>1785</v>
      </c>
      <c r="B1725" s="7" t="s">
        <v>318</v>
      </c>
      <c r="C1725" s="7" t="s">
        <v>12</v>
      </c>
      <c r="D1725" s="22">
        <v>599000</v>
      </c>
      <c r="E1725" s="7">
        <v>311</v>
      </c>
      <c r="F1725" s="7">
        <v>4</v>
      </c>
      <c r="G1725" s="7">
        <v>3</v>
      </c>
      <c r="H1725" s="12">
        <v>2745</v>
      </c>
      <c r="I1725" s="9">
        <f t="shared" si="52"/>
        <v>218.21493624772313</v>
      </c>
      <c r="J1725" s="3" t="str">
        <f t="shared" si="53"/>
        <v>Medium</v>
      </c>
    </row>
    <row r="1726" spans="1:10">
      <c r="A1726" s="4" t="s">
        <v>1786</v>
      </c>
      <c r="B1726" s="4" t="s">
        <v>553</v>
      </c>
      <c r="C1726" s="4" t="s">
        <v>12</v>
      </c>
      <c r="D1726" s="21">
        <v>599900</v>
      </c>
      <c r="E1726" s="4">
        <v>254</v>
      </c>
      <c r="F1726" s="4">
        <v>4</v>
      </c>
      <c r="G1726" s="4">
        <v>2.1</v>
      </c>
      <c r="H1726" s="10">
        <v>2585</v>
      </c>
      <c r="I1726" s="11">
        <f t="shared" si="52"/>
        <v>232.0696324951644</v>
      </c>
      <c r="J1726" s="3" t="str">
        <f t="shared" si="53"/>
        <v>Medium</v>
      </c>
    </row>
    <row r="1727" spans="1:10">
      <c r="A1727" s="7" t="s">
        <v>1787</v>
      </c>
      <c r="B1727" s="7" t="s">
        <v>679</v>
      </c>
      <c r="C1727" s="7" t="s">
        <v>12</v>
      </c>
      <c r="D1727" s="22">
        <v>600000</v>
      </c>
      <c r="E1727" s="7">
        <v>5</v>
      </c>
      <c r="F1727" s="7">
        <v>3</v>
      </c>
      <c r="G1727" s="7">
        <v>1.1000000000000001</v>
      </c>
      <c r="H1727" s="12">
        <v>1156</v>
      </c>
      <c r="I1727" s="9">
        <f t="shared" si="52"/>
        <v>519.03114186851212</v>
      </c>
      <c r="J1727" s="3" t="str">
        <f t="shared" si="53"/>
        <v>High</v>
      </c>
    </row>
    <row r="1728" spans="1:10">
      <c r="A1728" s="4" t="s">
        <v>1788</v>
      </c>
      <c r="B1728" s="4" t="s">
        <v>268</v>
      </c>
      <c r="C1728" s="4" t="s">
        <v>12</v>
      </c>
      <c r="D1728" s="21">
        <v>600000</v>
      </c>
      <c r="E1728" s="4">
        <v>4</v>
      </c>
      <c r="F1728" s="4">
        <v>4</v>
      </c>
      <c r="G1728" s="4">
        <v>2.1</v>
      </c>
      <c r="H1728" s="10">
        <v>3422</v>
      </c>
      <c r="I1728" s="11">
        <f t="shared" si="52"/>
        <v>175.33606078316774</v>
      </c>
      <c r="J1728" s="3" t="str">
        <f t="shared" si="53"/>
        <v>Low</v>
      </c>
    </row>
    <row r="1729" spans="1:10">
      <c r="A1729" s="7" t="s">
        <v>1789</v>
      </c>
      <c r="B1729" s="7" t="s">
        <v>823</v>
      </c>
      <c r="C1729" s="7" t="s">
        <v>12</v>
      </c>
      <c r="D1729" s="22">
        <v>600000</v>
      </c>
      <c r="E1729" s="7">
        <v>6</v>
      </c>
      <c r="F1729" s="7">
        <v>4</v>
      </c>
      <c r="G1729" s="7">
        <v>2.1</v>
      </c>
      <c r="H1729" s="12">
        <v>2903</v>
      </c>
      <c r="I1729" s="9">
        <f t="shared" si="52"/>
        <v>206.68274199104374</v>
      </c>
      <c r="J1729" s="3" t="str">
        <f t="shared" si="53"/>
        <v>Medium</v>
      </c>
    </row>
    <row r="1730" spans="1:10">
      <c r="A1730" s="4" t="s">
        <v>1790</v>
      </c>
      <c r="B1730" s="4" t="s">
        <v>56</v>
      </c>
      <c r="C1730" s="4" t="s">
        <v>12</v>
      </c>
      <c r="D1730" s="21">
        <v>600000</v>
      </c>
      <c r="E1730" s="4">
        <v>7</v>
      </c>
      <c r="F1730" s="4">
        <v>4</v>
      </c>
      <c r="G1730" s="4">
        <v>3.1</v>
      </c>
      <c r="H1730" s="10">
        <v>3477</v>
      </c>
      <c r="I1730" s="11">
        <f t="shared" ref="I1730:I1793" si="54">D1730/H1730</f>
        <v>172.56255392579811</v>
      </c>
      <c r="J1730" s="3" t="str">
        <f t="shared" ref="J1730:J1793" si="55">IF(I1730 &gt; 300, "High", IF(AND(I1730 &lt;= 300, I1730 &gt; 200), "Medium", "Low"))</f>
        <v>Low</v>
      </c>
    </row>
    <row r="1731" spans="1:10">
      <c r="A1731" s="7" t="s">
        <v>1791</v>
      </c>
      <c r="B1731" s="7" t="s">
        <v>80</v>
      </c>
      <c r="C1731" s="7" t="s">
        <v>12</v>
      </c>
      <c r="D1731" s="22">
        <v>600000</v>
      </c>
      <c r="E1731" s="7">
        <v>6</v>
      </c>
      <c r="F1731" s="7">
        <v>4</v>
      </c>
      <c r="G1731" s="7">
        <v>2.1</v>
      </c>
      <c r="H1731" s="12">
        <v>3560</v>
      </c>
      <c r="I1731" s="9">
        <f t="shared" si="54"/>
        <v>168.53932584269663</v>
      </c>
      <c r="J1731" s="3" t="str">
        <f t="shared" si="55"/>
        <v>Low</v>
      </c>
    </row>
    <row r="1732" spans="1:10">
      <c r="A1732" s="4" t="s">
        <v>1792</v>
      </c>
      <c r="B1732" s="4" t="s">
        <v>282</v>
      </c>
      <c r="C1732" s="4" t="s">
        <v>12</v>
      </c>
      <c r="D1732" s="21">
        <v>600000</v>
      </c>
      <c r="E1732" s="4">
        <v>128</v>
      </c>
      <c r="F1732" s="4">
        <v>3</v>
      </c>
      <c r="G1732" s="4">
        <v>3.1</v>
      </c>
      <c r="H1732" s="10">
        <v>1906</v>
      </c>
      <c r="I1732" s="11">
        <f t="shared" si="54"/>
        <v>314.79538300104934</v>
      </c>
      <c r="J1732" s="3" t="str">
        <f t="shared" si="55"/>
        <v>High</v>
      </c>
    </row>
    <row r="1733" spans="1:10">
      <c r="A1733" s="7" t="s">
        <v>1793</v>
      </c>
      <c r="B1733" s="7" t="s">
        <v>18</v>
      </c>
      <c r="C1733" s="7" t="s">
        <v>12</v>
      </c>
      <c r="D1733" s="22">
        <v>600000</v>
      </c>
      <c r="E1733" s="7">
        <v>166</v>
      </c>
      <c r="F1733" s="7">
        <v>5</v>
      </c>
      <c r="G1733" s="7">
        <v>3.1</v>
      </c>
      <c r="H1733" s="12">
        <v>2977</v>
      </c>
      <c r="I1733" s="9">
        <f t="shared" si="54"/>
        <v>201.54517971111858</v>
      </c>
      <c r="J1733" s="3" t="str">
        <f t="shared" si="55"/>
        <v>Medium</v>
      </c>
    </row>
    <row r="1734" spans="1:10">
      <c r="A1734" s="4" t="s">
        <v>1794</v>
      </c>
      <c r="B1734" s="4" t="s">
        <v>1051</v>
      </c>
      <c r="C1734" s="4" t="s">
        <v>12</v>
      </c>
      <c r="D1734" s="21">
        <v>600000</v>
      </c>
      <c r="E1734" s="4">
        <v>130</v>
      </c>
      <c r="F1734" s="4">
        <v>3</v>
      </c>
      <c r="G1734" s="4">
        <v>3.1</v>
      </c>
      <c r="H1734" s="10">
        <v>2000</v>
      </c>
      <c r="I1734" s="11">
        <f t="shared" si="54"/>
        <v>300</v>
      </c>
      <c r="J1734" s="3" t="str">
        <f t="shared" si="55"/>
        <v>Medium</v>
      </c>
    </row>
    <row r="1735" spans="1:10">
      <c r="A1735" s="7" t="s">
        <v>1795</v>
      </c>
      <c r="B1735" s="7" t="s">
        <v>544</v>
      </c>
      <c r="C1735" s="7" t="s">
        <v>12</v>
      </c>
      <c r="D1735" s="22">
        <v>600201</v>
      </c>
      <c r="E1735" s="7">
        <v>161</v>
      </c>
      <c r="F1735" s="7">
        <v>4</v>
      </c>
      <c r="G1735" s="7">
        <v>3</v>
      </c>
      <c r="H1735" s="12">
        <v>2023</v>
      </c>
      <c r="I1735" s="9">
        <f t="shared" si="54"/>
        <v>296.68858131487889</v>
      </c>
      <c r="J1735" s="3" t="str">
        <f t="shared" si="55"/>
        <v>Medium</v>
      </c>
    </row>
    <row r="1736" spans="1:10">
      <c r="A1736" s="4" t="s">
        <v>1796</v>
      </c>
      <c r="B1736" s="4" t="s">
        <v>282</v>
      </c>
      <c r="C1736" s="4" t="s">
        <v>12</v>
      </c>
      <c r="D1736" s="21">
        <v>602000</v>
      </c>
      <c r="E1736" s="4">
        <v>3</v>
      </c>
      <c r="F1736" s="4">
        <v>4</v>
      </c>
      <c r="G1736" s="4">
        <v>2.2000000000000002</v>
      </c>
      <c r="H1736" s="10">
        <v>2284</v>
      </c>
      <c r="I1736" s="11">
        <f t="shared" si="54"/>
        <v>263.57267950963222</v>
      </c>
      <c r="J1736" s="3" t="str">
        <f t="shared" si="55"/>
        <v>Medium</v>
      </c>
    </row>
    <row r="1737" spans="1:10">
      <c r="A1737" s="7" t="s">
        <v>1797</v>
      </c>
      <c r="B1737" s="7" t="s">
        <v>544</v>
      </c>
      <c r="C1737" s="7" t="s">
        <v>12</v>
      </c>
      <c r="D1737" s="22">
        <v>604335</v>
      </c>
      <c r="E1737" s="7">
        <v>1</v>
      </c>
      <c r="F1737" s="7">
        <v>5</v>
      </c>
      <c r="G1737" s="7">
        <v>3</v>
      </c>
      <c r="H1737" s="12">
        <v>2936</v>
      </c>
      <c r="I1737" s="9">
        <f t="shared" si="54"/>
        <v>205.83617166212534</v>
      </c>
      <c r="J1737" s="3" t="str">
        <f t="shared" si="55"/>
        <v>Medium</v>
      </c>
    </row>
    <row r="1738" spans="1:10">
      <c r="A1738" s="4" t="s">
        <v>1798</v>
      </c>
      <c r="B1738" s="4" t="s">
        <v>80</v>
      </c>
      <c r="C1738" s="4" t="s">
        <v>12</v>
      </c>
      <c r="D1738" s="21">
        <v>608000</v>
      </c>
      <c r="E1738" s="4">
        <v>487</v>
      </c>
      <c r="F1738" s="4">
        <v>3</v>
      </c>
      <c r="G1738" s="4">
        <v>2.1</v>
      </c>
      <c r="H1738" s="10">
        <v>2214</v>
      </c>
      <c r="I1738" s="11">
        <f t="shared" si="54"/>
        <v>274.61607949412826</v>
      </c>
      <c r="J1738" s="3" t="str">
        <f t="shared" si="55"/>
        <v>Medium</v>
      </c>
    </row>
    <row r="1739" spans="1:10">
      <c r="A1739" s="7" t="s">
        <v>1799</v>
      </c>
      <c r="B1739" s="7" t="s">
        <v>679</v>
      </c>
      <c r="C1739" s="7" t="s">
        <v>12</v>
      </c>
      <c r="D1739" s="22">
        <v>610000</v>
      </c>
      <c r="E1739" s="7">
        <v>0</v>
      </c>
      <c r="F1739" s="7">
        <v>3</v>
      </c>
      <c r="G1739" s="7">
        <v>2.1</v>
      </c>
      <c r="H1739" s="12">
        <v>1757</v>
      </c>
      <c r="I1739" s="9">
        <f t="shared" si="54"/>
        <v>347.18269778030736</v>
      </c>
      <c r="J1739" s="3" t="str">
        <f t="shared" si="55"/>
        <v>High</v>
      </c>
    </row>
    <row r="1740" spans="1:10">
      <c r="A1740" s="4" t="s">
        <v>1800</v>
      </c>
      <c r="B1740" s="4" t="s">
        <v>268</v>
      </c>
      <c r="C1740" s="4" t="s">
        <v>12</v>
      </c>
      <c r="D1740" s="21">
        <v>610000</v>
      </c>
      <c r="E1740" s="4">
        <v>1</v>
      </c>
      <c r="F1740" s="4">
        <v>4</v>
      </c>
      <c r="G1740" s="4">
        <v>3.1</v>
      </c>
      <c r="H1740" s="10">
        <v>3086</v>
      </c>
      <c r="I1740" s="11">
        <f t="shared" si="54"/>
        <v>197.66688269604666</v>
      </c>
      <c r="J1740" s="3" t="str">
        <f t="shared" si="55"/>
        <v>Low</v>
      </c>
    </row>
    <row r="1741" spans="1:10">
      <c r="A1741" s="7" t="s">
        <v>1801</v>
      </c>
      <c r="B1741" s="7" t="s">
        <v>1802</v>
      </c>
      <c r="C1741" s="7" t="s">
        <v>12</v>
      </c>
      <c r="D1741" s="22">
        <v>610000</v>
      </c>
      <c r="E1741" s="7">
        <v>6</v>
      </c>
      <c r="F1741" s="7">
        <v>4</v>
      </c>
      <c r="G1741" s="7">
        <v>3.1</v>
      </c>
      <c r="H1741" s="12">
        <v>2246</v>
      </c>
      <c r="I1741" s="9">
        <f t="shared" si="54"/>
        <v>271.5939447907391</v>
      </c>
      <c r="J1741" s="3" t="str">
        <f t="shared" si="55"/>
        <v>Medium</v>
      </c>
    </row>
    <row r="1742" spans="1:10">
      <c r="A1742" s="4" t="s">
        <v>1803</v>
      </c>
      <c r="B1742" s="4" t="s">
        <v>1344</v>
      </c>
      <c r="C1742" s="4" t="s">
        <v>12</v>
      </c>
      <c r="D1742" s="21">
        <v>611000</v>
      </c>
      <c r="E1742" s="4">
        <v>4</v>
      </c>
      <c r="F1742" s="4">
        <v>4</v>
      </c>
      <c r="G1742" s="4">
        <v>3.1</v>
      </c>
      <c r="H1742" s="10">
        <v>2777</v>
      </c>
      <c r="I1742" s="11">
        <f t="shared" si="54"/>
        <v>220.0216060496939</v>
      </c>
      <c r="J1742" s="3" t="str">
        <f t="shared" si="55"/>
        <v>Medium</v>
      </c>
    </row>
    <row r="1743" spans="1:10">
      <c r="A1743" s="7" t="s">
        <v>1804</v>
      </c>
      <c r="B1743" s="7" t="s">
        <v>70</v>
      </c>
      <c r="C1743" s="7" t="s">
        <v>12</v>
      </c>
      <c r="D1743" s="22">
        <v>611490</v>
      </c>
      <c r="E1743" s="7">
        <v>101</v>
      </c>
      <c r="F1743" s="7">
        <v>4</v>
      </c>
      <c r="G1743" s="7">
        <v>2.1</v>
      </c>
      <c r="H1743" s="12">
        <v>2457</v>
      </c>
      <c r="I1743" s="9">
        <f t="shared" si="54"/>
        <v>248.87667887667888</v>
      </c>
      <c r="J1743" s="3" t="str">
        <f t="shared" si="55"/>
        <v>Medium</v>
      </c>
    </row>
    <row r="1744" spans="1:10">
      <c r="A1744" s="4" t="s">
        <v>1805</v>
      </c>
      <c r="B1744" s="4" t="s">
        <v>1366</v>
      </c>
      <c r="C1744" s="4" t="s">
        <v>12</v>
      </c>
      <c r="D1744" s="21">
        <v>611500</v>
      </c>
      <c r="E1744" s="4">
        <v>66</v>
      </c>
      <c r="F1744" s="4">
        <v>3</v>
      </c>
      <c r="G1744" s="4">
        <v>3.1</v>
      </c>
      <c r="H1744" s="10">
        <v>2900</v>
      </c>
      <c r="I1744" s="11">
        <f t="shared" si="54"/>
        <v>210.86206896551724</v>
      </c>
      <c r="J1744" s="3" t="str">
        <f t="shared" si="55"/>
        <v>Medium</v>
      </c>
    </row>
    <row r="1745" spans="1:10">
      <c r="A1745" s="7" t="s">
        <v>1806</v>
      </c>
      <c r="B1745" s="7" t="s">
        <v>18</v>
      </c>
      <c r="C1745" s="7" t="s">
        <v>12</v>
      </c>
      <c r="D1745" s="22">
        <v>613371</v>
      </c>
      <c r="E1745" s="7">
        <v>17</v>
      </c>
      <c r="F1745" s="7">
        <v>4</v>
      </c>
      <c r="G1745" s="7">
        <v>2.1</v>
      </c>
      <c r="H1745" s="12">
        <v>2628</v>
      </c>
      <c r="I1745" s="9">
        <f t="shared" si="54"/>
        <v>233.39840182648402</v>
      </c>
      <c r="J1745" s="3" t="str">
        <f t="shared" si="55"/>
        <v>Medium</v>
      </c>
    </row>
    <row r="1746" spans="1:10">
      <c r="A1746" s="4" t="s">
        <v>1807</v>
      </c>
      <c r="B1746" s="4" t="s">
        <v>93</v>
      </c>
      <c r="C1746" s="4" t="s">
        <v>12</v>
      </c>
      <c r="D1746" s="21">
        <v>614500</v>
      </c>
      <c r="E1746" s="4">
        <v>64</v>
      </c>
      <c r="F1746" s="4">
        <v>4</v>
      </c>
      <c r="G1746" s="4">
        <v>2.1</v>
      </c>
      <c r="H1746" s="10">
        <v>2861</v>
      </c>
      <c r="I1746" s="11">
        <f t="shared" si="54"/>
        <v>214.78504019573575</v>
      </c>
      <c r="J1746" s="3" t="str">
        <f t="shared" si="55"/>
        <v>Medium</v>
      </c>
    </row>
    <row r="1747" spans="1:10">
      <c r="A1747" s="7" t="s">
        <v>1808</v>
      </c>
      <c r="B1747" s="7" t="s">
        <v>331</v>
      </c>
      <c r="C1747" s="7" t="s">
        <v>12</v>
      </c>
      <c r="D1747" s="22">
        <v>615000</v>
      </c>
      <c r="E1747" s="7">
        <v>131</v>
      </c>
      <c r="F1747" s="7">
        <v>4</v>
      </c>
      <c r="G1747" s="7">
        <v>3.1</v>
      </c>
      <c r="H1747" s="12">
        <v>3000</v>
      </c>
      <c r="I1747" s="9">
        <f t="shared" si="54"/>
        <v>205</v>
      </c>
      <c r="J1747" s="3" t="str">
        <f t="shared" si="55"/>
        <v>Medium</v>
      </c>
    </row>
    <row r="1748" spans="1:10">
      <c r="A1748" s="4" t="s">
        <v>1809</v>
      </c>
      <c r="B1748" s="4" t="s">
        <v>645</v>
      </c>
      <c r="C1748" s="4" t="s">
        <v>12</v>
      </c>
      <c r="D1748" s="21">
        <v>615000</v>
      </c>
      <c r="E1748" s="4">
        <v>72</v>
      </c>
      <c r="F1748" s="4">
        <v>3</v>
      </c>
      <c r="G1748" s="4">
        <v>2.1</v>
      </c>
      <c r="H1748" s="10">
        <v>2262</v>
      </c>
      <c r="I1748" s="11">
        <f t="shared" si="54"/>
        <v>271.88328912466841</v>
      </c>
      <c r="J1748" s="3" t="str">
        <f t="shared" si="55"/>
        <v>Medium</v>
      </c>
    </row>
    <row r="1749" spans="1:10">
      <c r="A1749" s="7" t="s">
        <v>1810</v>
      </c>
      <c r="B1749" s="7" t="s">
        <v>544</v>
      </c>
      <c r="C1749" s="7" t="s">
        <v>12</v>
      </c>
      <c r="D1749" s="22">
        <v>616800</v>
      </c>
      <c r="E1749" s="7">
        <v>0</v>
      </c>
      <c r="F1749" s="7">
        <v>4</v>
      </c>
      <c r="G1749" s="7">
        <v>2.1</v>
      </c>
      <c r="H1749" s="12">
        <v>2705</v>
      </c>
      <c r="I1749" s="9">
        <f t="shared" si="54"/>
        <v>228.02218114602587</v>
      </c>
      <c r="J1749" s="3" t="str">
        <f t="shared" si="55"/>
        <v>Medium</v>
      </c>
    </row>
    <row r="1750" spans="1:10">
      <c r="A1750" s="4" t="s">
        <v>1811</v>
      </c>
      <c r="B1750" s="4" t="s">
        <v>888</v>
      </c>
      <c r="C1750" s="4" t="s">
        <v>12</v>
      </c>
      <c r="D1750" s="21">
        <v>617000</v>
      </c>
      <c r="E1750" s="4">
        <v>29</v>
      </c>
      <c r="F1750" s="4">
        <v>4</v>
      </c>
      <c r="G1750" s="4">
        <v>3.2</v>
      </c>
      <c r="H1750" s="10">
        <v>2892</v>
      </c>
      <c r="I1750" s="11">
        <f t="shared" si="54"/>
        <v>213.34716459197787</v>
      </c>
      <c r="J1750" s="3" t="str">
        <f t="shared" si="55"/>
        <v>Medium</v>
      </c>
    </row>
    <row r="1751" spans="1:10">
      <c r="A1751" s="7" t="s">
        <v>1812</v>
      </c>
      <c r="B1751" s="7" t="s">
        <v>363</v>
      </c>
      <c r="C1751" s="7" t="s">
        <v>12</v>
      </c>
      <c r="D1751" s="22">
        <v>617387</v>
      </c>
      <c r="E1751" s="7">
        <v>92</v>
      </c>
      <c r="F1751" s="7">
        <v>3</v>
      </c>
      <c r="G1751" s="7">
        <v>2.1</v>
      </c>
      <c r="H1751" s="12">
        <v>2308</v>
      </c>
      <c r="I1751" s="9">
        <f t="shared" si="54"/>
        <v>267.49870017331023</v>
      </c>
      <c r="J1751" s="3" t="str">
        <f t="shared" si="55"/>
        <v>Medium</v>
      </c>
    </row>
    <row r="1752" spans="1:10">
      <c r="A1752" s="4" t="s">
        <v>1813</v>
      </c>
      <c r="B1752" s="4" t="s">
        <v>56</v>
      </c>
      <c r="C1752" s="4" t="s">
        <v>12</v>
      </c>
      <c r="D1752" s="21">
        <v>620000</v>
      </c>
      <c r="E1752" s="4">
        <v>4</v>
      </c>
      <c r="F1752" s="4">
        <v>4</v>
      </c>
      <c r="G1752" s="4">
        <v>3.1</v>
      </c>
      <c r="H1752" s="10">
        <v>3147</v>
      </c>
      <c r="I1752" s="11">
        <f t="shared" si="54"/>
        <v>197.01302828090246</v>
      </c>
      <c r="J1752" s="3" t="str">
        <f t="shared" si="55"/>
        <v>Low</v>
      </c>
    </row>
    <row r="1753" spans="1:10">
      <c r="A1753" s="7" t="s">
        <v>1814</v>
      </c>
      <c r="B1753" s="7" t="s">
        <v>960</v>
      </c>
      <c r="C1753" s="7" t="s">
        <v>12</v>
      </c>
      <c r="D1753" s="22">
        <v>620000</v>
      </c>
      <c r="E1753" s="7">
        <v>13</v>
      </c>
      <c r="F1753" s="7">
        <v>4</v>
      </c>
      <c r="G1753" s="7">
        <v>3.1</v>
      </c>
      <c r="H1753" s="12">
        <v>2279</v>
      </c>
      <c r="I1753" s="9">
        <f t="shared" si="54"/>
        <v>272.04914436156207</v>
      </c>
      <c r="J1753" s="3" t="str">
        <f t="shared" si="55"/>
        <v>Medium</v>
      </c>
    </row>
    <row r="1754" spans="1:10">
      <c r="A1754" s="4" t="s">
        <v>1815</v>
      </c>
      <c r="B1754" s="4" t="s">
        <v>679</v>
      </c>
      <c r="C1754" s="4" t="s">
        <v>12</v>
      </c>
      <c r="D1754" s="21">
        <v>621000</v>
      </c>
      <c r="E1754" s="4">
        <v>2</v>
      </c>
      <c r="F1754" s="4">
        <v>3</v>
      </c>
      <c r="G1754" s="4">
        <v>1</v>
      </c>
      <c r="H1754" s="10">
        <v>1076</v>
      </c>
      <c r="I1754" s="11">
        <f t="shared" si="54"/>
        <v>577.13754646840152</v>
      </c>
      <c r="J1754" s="3" t="str">
        <f t="shared" si="55"/>
        <v>High</v>
      </c>
    </row>
    <row r="1755" spans="1:10">
      <c r="A1755" s="7" t="s">
        <v>1816</v>
      </c>
      <c r="B1755" s="7" t="s">
        <v>16</v>
      </c>
      <c r="C1755" s="7" t="s">
        <v>12</v>
      </c>
      <c r="D1755" s="22">
        <v>622500</v>
      </c>
      <c r="E1755" s="7">
        <v>8</v>
      </c>
      <c r="F1755" s="7">
        <v>4</v>
      </c>
      <c r="G1755" s="7">
        <v>2.1</v>
      </c>
      <c r="H1755" s="12">
        <v>2579</v>
      </c>
      <c r="I1755" s="9">
        <f t="shared" si="54"/>
        <v>241.37262504846839</v>
      </c>
      <c r="J1755" s="3" t="str">
        <f t="shared" si="55"/>
        <v>Medium</v>
      </c>
    </row>
    <row r="1756" spans="1:10">
      <c r="A1756" s="4" t="s">
        <v>1817</v>
      </c>
      <c r="B1756" s="4" t="s">
        <v>1818</v>
      </c>
      <c r="C1756" s="4" t="s">
        <v>12</v>
      </c>
      <c r="D1756" s="21">
        <v>623000</v>
      </c>
      <c r="E1756" s="4">
        <v>99</v>
      </c>
      <c r="F1756" s="4">
        <v>4</v>
      </c>
      <c r="G1756" s="4">
        <v>3.2</v>
      </c>
      <c r="H1756" s="10">
        <v>3110</v>
      </c>
      <c r="I1756" s="11">
        <f t="shared" si="54"/>
        <v>200.32154340836013</v>
      </c>
      <c r="J1756" s="3" t="str">
        <f t="shared" si="55"/>
        <v>Medium</v>
      </c>
    </row>
    <row r="1757" spans="1:10">
      <c r="A1757" s="7" t="s">
        <v>1819</v>
      </c>
      <c r="B1757" s="7" t="s">
        <v>960</v>
      </c>
      <c r="C1757" s="7" t="s">
        <v>12</v>
      </c>
      <c r="D1757" s="22">
        <v>624900</v>
      </c>
      <c r="E1757" s="7">
        <v>5</v>
      </c>
      <c r="F1757" s="7">
        <v>4</v>
      </c>
      <c r="G1757" s="7">
        <v>3.1</v>
      </c>
      <c r="H1757" s="12">
        <v>2365</v>
      </c>
      <c r="I1757" s="9">
        <f t="shared" si="54"/>
        <v>264.22832980972515</v>
      </c>
      <c r="J1757" s="3" t="str">
        <f t="shared" si="55"/>
        <v>Medium</v>
      </c>
    </row>
    <row r="1758" spans="1:10">
      <c r="A1758" s="4" t="s">
        <v>1820</v>
      </c>
      <c r="B1758" s="4" t="s">
        <v>131</v>
      </c>
      <c r="C1758" s="4" t="s">
        <v>12</v>
      </c>
      <c r="D1758" s="21">
        <v>625000</v>
      </c>
      <c r="E1758" s="4">
        <v>3</v>
      </c>
      <c r="F1758" s="4">
        <v>3</v>
      </c>
      <c r="G1758" s="4">
        <v>3</v>
      </c>
      <c r="H1758" s="10">
        <v>1610</v>
      </c>
      <c r="I1758" s="11">
        <f t="shared" si="54"/>
        <v>388.19875776397515</v>
      </c>
      <c r="J1758" s="3" t="str">
        <f t="shared" si="55"/>
        <v>High</v>
      </c>
    </row>
    <row r="1759" spans="1:10">
      <c r="A1759" s="7" t="s">
        <v>1821</v>
      </c>
      <c r="B1759" s="7" t="s">
        <v>212</v>
      </c>
      <c r="C1759" s="7" t="s">
        <v>12</v>
      </c>
      <c r="D1759" s="22">
        <v>625000</v>
      </c>
      <c r="E1759" s="7">
        <v>34</v>
      </c>
      <c r="F1759" s="7">
        <v>4</v>
      </c>
      <c r="G1759" s="7">
        <v>3.1</v>
      </c>
      <c r="H1759" s="12">
        <v>2706</v>
      </c>
      <c r="I1759" s="9">
        <f t="shared" si="54"/>
        <v>230.96821877309682</v>
      </c>
      <c r="J1759" s="3" t="str">
        <f t="shared" si="55"/>
        <v>Medium</v>
      </c>
    </row>
    <row r="1760" spans="1:10">
      <c r="A1760" s="4" t="s">
        <v>1822</v>
      </c>
      <c r="B1760" s="4" t="s">
        <v>212</v>
      </c>
      <c r="C1760" s="4" t="s">
        <v>12</v>
      </c>
      <c r="D1760" s="21">
        <v>625000</v>
      </c>
      <c r="E1760" s="4">
        <v>21</v>
      </c>
      <c r="F1760" s="4">
        <v>4</v>
      </c>
      <c r="G1760" s="4">
        <v>2.1</v>
      </c>
      <c r="H1760" s="10">
        <v>2677</v>
      </c>
      <c r="I1760" s="11">
        <f t="shared" si="54"/>
        <v>233.47030257751214</v>
      </c>
      <c r="J1760" s="3" t="str">
        <f t="shared" si="55"/>
        <v>Medium</v>
      </c>
    </row>
    <row r="1761" spans="1:10">
      <c r="A1761" s="7" t="s">
        <v>1823</v>
      </c>
      <c r="B1761" s="7" t="s">
        <v>960</v>
      </c>
      <c r="C1761" s="7" t="s">
        <v>12</v>
      </c>
      <c r="D1761" s="22">
        <v>625000</v>
      </c>
      <c r="E1761" s="7">
        <v>52</v>
      </c>
      <c r="F1761" s="7">
        <v>4</v>
      </c>
      <c r="G1761" s="7">
        <v>2.1</v>
      </c>
      <c r="H1761" s="12">
        <v>2585</v>
      </c>
      <c r="I1761" s="9">
        <f t="shared" si="54"/>
        <v>241.77949709864603</v>
      </c>
      <c r="J1761" s="3" t="str">
        <f t="shared" si="55"/>
        <v>Medium</v>
      </c>
    </row>
    <row r="1762" spans="1:10">
      <c r="A1762" s="4" t="s">
        <v>1824</v>
      </c>
      <c r="B1762" s="4" t="s">
        <v>56</v>
      </c>
      <c r="C1762" s="4" t="s">
        <v>12</v>
      </c>
      <c r="D1762" s="21">
        <v>625000</v>
      </c>
      <c r="E1762" s="4">
        <v>5</v>
      </c>
      <c r="F1762" s="4">
        <v>3</v>
      </c>
      <c r="G1762" s="4">
        <v>2.1</v>
      </c>
      <c r="H1762" s="10">
        <v>2249</v>
      </c>
      <c r="I1762" s="11">
        <f t="shared" si="54"/>
        <v>277.90128946198308</v>
      </c>
      <c r="J1762" s="3" t="str">
        <f t="shared" si="55"/>
        <v>Medium</v>
      </c>
    </row>
    <row r="1763" spans="1:10">
      <c r="A1763" s="7" t="s">
        <v>1825</v>
      </c>
      <c r="B1763" s="7" t="s">
        <v>70</v>
      </c>
      <c r="C1763" s="7" t="s">
        <v>12</v>
      </c>
      <c r="D1763" s="22">
        <v>625000</v>
      </c>
      <c r="E1763" s="7">
        <v>54</v>
      </c>
      <c r="F1763" s="7">
        <v>6</v>
      </c>
      <c r="G1763" s="7">
        <v>4</v>
      </c>
      <c r="H1763" s="12">
        <v>3827</v>
      </c>
      <c r="I1763" s="9">
        <f t="shared" si="54"/>
        <v>163.31330023517114</v>
      </c>
      <c r="J1763" s="3" t="str">
        <f t="shared" si="55"/>
        <v>Low</v>
      </c>
    </row>
    <row r="1764" spans="1:10">
      <c r="A1764" s="4" t="s">
        <v>1826</v>
      </c>
      <c r="B1764" s="4" t="s">
        <v>268</v>
      </c>
      <c r="C1764" s="4" t="s">
        <v>12</v>
      </c>
      <c r="D1764" s="21">
        <v>625995</v>
      </c>
      <c r="E1764" s="4">
        <v>270</v>
      </c>
      <c r="F1764" s="4">
        <v>2</v>
      </c>
      <c r="G1764" s="4">
        <v>2</v>
      </c>
      <c r="H1764" s="10">
        <v>1940</v>
      </c>
      <c r="I1764" s="11">
        <f t="shared" si="54"/>
        <v>322.67783505154637</v>
      </c>
      <c r="J1764" s="3" t="str">
        <f t="shared" si="55"/>
        <v>High</v>
      </c>
    </row>
    <row r="1765" spans="1:10">
      <c r="A1765" s="7" t="s">
        <v>1827</v>
      </c>
      <c r="B1765" s="7" t="s">
        <v>544</v>
      </c>
      <c r="C1765" s="7" t="s">
        <v>12</v>
      </c>
      <c r="D1765" s="22">
        <v>626000</v>
      </c>
      <c r="E1765" s="7">
        <v>18</v>
      </c>
      <c r="F1765" s="7">
        <v>4</v>
      </c>
      <c r="G1765" s="7">
        <v>3</v>
      </c>
      <c r="H1765" s="12">
        <v>3477</v>
      </c>
      <c r="I1765" s="9">
        <f t="shared" si="54"/>
        <v>180.04026459591603</v>
      </c>
      <c r="J1765" s="3" t="str">
        <f t="shared" si="55"/>
        <v>Low</v>
      </c>
    </row>
    <row r="1766" spans="1:10">
      <c r="A1766" s="4" t="s">
        <v>1828</v>
      </c>
      <c r="B1766" s="4" t="s">
        <v>18</v>
      </c>
      <c r="C1766" s="4" t="s">
        <v>12</v>
      </c>
      <c r="D1766" s="21">
        <v>626500</v>
      </c>
      <c r="E1766" s="4">
        <v>38</v>
      </c>
      <c r="F1766" s="4">
        <v>4</v>
      </c>
      <c r="G1766" s="4">
        <v>3.1</v>
      </c>
      <c r="H1766" s="10">
        <v>2380</v>
      </c>
      <c r="I1766" s="11">
        <f t="shared" si="54"/>
        <v>263.23529411764707</v>
      </c>
      <c r="J1766" s="3" t="str">
        <f t="shared" si="55"/>
        <v>Medium</v>
      </c>
    </row>
    <row r="1767" spans="1:10">
      <c r="A1767" s="7" t="s">
        <v>1829</v>
      </c>
      <c r="B1767" s="7" t="s">
        <v>1051</v>
      </c>
      <c r="C1767" s="7" t="s">
        <v>12</v>
      </c>
      <c r="D1767" s="22">
        <v>628195</v>
      </c>
      <c r="E1767" s="7">
        <v>14</v>
      </c>
      <c r="F1767" s="7">
        <v>4</v>
      </c>
      <c r="G1767" s="7">
        <v>3.1</v>
      </c>
      <c r="H1767" s="12">
        <v>3257</v>
      </c>
      <c r="I1767" s="9">
        <f t="shared" si="54"/>
        <v>192.87534540988639</v>
      </c>
      <c r="J1767" s="3" t="str">
        <f t="shared" si="55"/>
        <v>Low</v>
      </c>
    </row>
    <row r="1768" spans="1:10">
      <c r="A1768" s="4" t="s">
        <v>1830</v>
      </c>
      <c r="B1768" s="4" t="s">
        <v>56</v>
      </c>
      <c r="C1768" s="4" t="s">
        <v>12</v>
      </c>
      <c r="D1768" s="21">
        <v>629000</v>
      </c>
      <c r="E1768" s="4">
        <v>11</v>
      </c>
      <c r="F1768" s="4">
        <v>4</v>
      </c>
      <c r="G1768" s="4">
        <v>3.1</v>
      </c>
      <c r="H1768" s="10">
        <v>2844</v>
      </c>
      <c r="I1768" s="11">
        <f t="shared" si="54"/>
        <v>221.16736990154712</v>
      </c>
      <c r="J1768" s="3" t="str">
        <f t="shared" si="55"/>
        <v>Medium</v>
      </c>
    </row>
    <row r="1769" spans="1:10">
      <c r="A1769" s="7" t="s">
        <v>1831</v>
      </c>
      <c r="B1769" s="7" t="s">
        <v>679</v>
      </c>
      <c r="C1769" s="7" t="s">
        <v>12</v>
      </c>
      <c r="D1769" s="22">
        <v>629900</v>
      </c>
      <c r="E1769" s="7">
        <v>7</v>
      </c>
      <c r="F1769" s="7">
        <v>3</v>
      </c>
      <c r="G1769" s="7">
        <v>3.1</v>
      </c>
      <c r="H1769" s="12">
        <v>2076</v>
      </c>
      <c r="I1769" s="9">
        <f t="shared" si="54"/>
        <v>303.42003853564546</v>
      </c>
      <c r="J1769" s="3" t="str">
        <f t="shared" si="55"/>
        <v>High</v>
      </c>
    </row>
    <row r="1770" spans="1:10">
      <c r="A1770" s="4" t="s">
        <v>1832</v>
      </c>
      <c r="B1770" s="4" t="s">
        <v>960</v>
      </c>
      <c r="C1770" s="4" t="s">
        <v>12</v>
      </c>
      <c r="D1770" s="21">
        <v>630000</v>
      </c>
      <c r="E1770" s="4">
        <v>0</v>
      </c>
      <c r="F1770" s="4">
        <v>3</v>
      </c>
      <c r="G1770" s="4">
        <v>2.1</v>
      </c>
      <c r="H1770" s="10">
        <v>2494</v>
      </c>
      <c r="I1770" s="11">
        <f t="shared" si="54"/>
        <v>252.60625501202887</v>
      </c>
      <c r="J1770" s="3" t="str">
        <f t="shared" si="55"/>
        <v>Medium</v>
      </c>
    </row>
    <row r="1771" spans="1:10">
      <c r="A1771" s="7" t="s">
        <v>1833</v>
      </c>
      <c r="B1771" s="7" t="s">
        <v>888</v>
      </c>
      <c r="C1771" s="7" t="s">
        <v>12</v>
      </c>
      <c r="D1771" s="22">
        <v>630000</v>
      </c>
      <c r="E1771" s="7">
        <v>3</v>
      </c>
      <c r="F1771" s="7">
        <v>4</v>
      </c>
      <c r="G1771" s="7">
        <v>3.1</v>
      </c>
      <c r="H1771" s="12">
        <v>2592</v>
      </c>
      <c r="I1771" s="9">
        <f t="shared" si="54"/>
        <v>243.05555555555554</v>
      </c>
      <c r="J1771" s="3" t="str">
        <f t="shared" si="55"/>
        <v>Medium</v>
      </c>
    </row>
    <row r="1772" spans="1:10">
      <c r="A1772" s="4" t="s">
        <v>1834</v>
      </c>
      <c r="B1772" s="4" t="s">
        <v>212</v>
      </c>
      <c r="C1772" s="4" t="s">
        <v>12</v>
      </c>
      <c r="D1772" s="21">
        <v>630000</v>
      </c>
      <c r="E1772" s="4">
        <v>4</v>
      </c>
      <c r="F1772" s="4">
        <v>4</v>
      </c>
      <c r="G1772" s="4">
        <v>2.1</v>
      </c>
      <c r="H1772" s="10">
        <v>2605</v>
      </c>
      <c r="I1772" s="11">
        <f t="shared" si="54"/>
        <v>241.84261036468331</v>
      </c>
      <c r="J1772" s="3" t="str">
        <f t="shared" si="55"/>
        <v>Medium</v>
      </c>
    </row>
    <row r="1773" spans="1:10">
      <c r="A1773" s="7" t="s">
        <v>1835</v>
      </c>
      <c r="B1773" s="7" t="s">
        <v>331</v>
      </c>
      <c r="C1773" s="7" t="s">
        <v>12</v>
      </c>
      <c r="D1773" s="22">
        <v>630000</v>
      </c>
      <c r="E1773" s="7">
        <v>159</v>
      </c>
      <c r="F1773" s="7">
        <v>4</v>
      </c>
      <c r="G1773" s="7">
        <v>2.1</v>
      </c>
      <c r="H1773" s="12">
        <v>2426</v>
      </c>
      <c r="I1773" s="9">
        <f t="shared" si="54"/>
        <v>259.68672712283592</v>
      </c>
      <c r="J1773" s="3" t="str">
        <f t="shared" si="55"/>
        <v>Medium</v>
      </c>
    </row>
    <row r="1774" spans="1:10">
      <c r="A1774" s="4" t="s">
        <v>1836</v>
      </c>
      <c r="B1774" s="4" t="s">
        <v>212</v>
      </c>
      <c r="C1774" s="4" t="s">
        <v>12</v>
      </c>
      <c r="D1774" s="21">
        <v>630000</v>
      </c>
      <c r="E1774" s="4">
        <v>47</v>
      </c>
      <c r="F1774" s="4">
        <v>4</v>
      </c>
      <c r="G1774" s="4">
        <v>3.1</v>
      </c>
      <c r="H1774" s="10">
        <v>2784</v>
      </c>
      <c r="I1774" s="11">
        <f t="shared" si="54"/>
        <v>226.29310344827587</v>
      </c>
      <c r="J1774" s="3" t="str">
        <f t="shared" si="55"/>
        <v>Medium</v>
      </c>
    </row>
    <row r="1775" spans="1:10">
      <c r="A1775" s="7" t="s">
        <v>1837</v>
      </c>
      <c r="B1775" s="7" t="s">
        <v>268</v>
      </c>
      <c r="C1775" s="7" t="s">
        <v>12</v>
      </c>
      <c r="D1775" s="22">
        <v>630000</v>
      </c>
      <c r="E1775" s="7">
        <v>89</v>
      </c>
      <c r="F1775" s="7">
        <v>4</v>
      </c>
      <c r="G1775" s="7">
        <v>2.1</v>
      </c>
      <c r="H1775" s="12">
        <v>3025</v>
      </c>
      <c r="I1775" s="9">
        <f t="shared" si="54"/>
        <v>208.26446280991735</v>
      </c>
      <c r="J1775" s="3" t="str">
        <f t="shared" si="55"/>
        <v>Medium</v>
      </c>
    </row>
    <row r="1776" spans="1:10">
      <c r="A1776" s="4" t="s">
        <v>1838</v>
      </c>
      <c r="B1776" s="4" t="s">
        <v>11</v>
      </c>
      <c r="C1776" s="4" t="s">
        <v>12</v>
      </c>
      <c r="D1776" s="21">
        <v>630000</v>
      </c>
      <c r="E1776" s="4">
        <v>51</v>
      </c>
      <c r="F1776" s="4">
        <v>4</v>
      </c>
      <c r="G1776" s="4">
        <v>3.1</v>
      </c>
      <c r="H1776" s="10">
        <v>3180</v>
      </c>
      <c r="I1776" s="11">
        <f t="shared" si="54"/>
        <v>198.11320754716982</v>
      </c>
      <c r="J1776" s="3" t="str">
        <f t="shared" si="55"/>
        <v>Low</v>
      </c>
    </row>
    <row r="1777" spans="1:10">
      <c r="A1777" s="7" t="s">
        <v>1839</v>
      </c>
      <c r="B1777" s="7" t="s">
        <v>11</v>
      </c>
      <c r="C1777" s="7" t="s">
        <v>12</v>
      </c>
      <c r="D1777" s="22">
        <v>630000</v>
      </c>
      <c r="E1777" s="7">
        <v>200</v>
      </c>
      <c r="F1777" s="7">
        <v>3</v>
      </c>
      <c r="G1777" s="7">
        <v>3</v>
      </c>
      <c r="H1777" s="12">
        <v>2663</v>
      </c>
      <c r="I1777" s="9">
        <f t="shared" si="54"/>
        <v>236.5752910251596</v>
      </c>
      <c r="J1777" s="3" t="str">
        <f t="shared" si="55"/>
        <v>Medium</v>
      </c>
    </row>
    <row r="1778" spans="1:10">
      <c r="A1778" s="4" t="s">
        <v>1840</v>
      </c>
      <c r="B1778" s="4" t="s">
        <v>54</v>
      </c>
      <c r="C1778" s="4" t="s">
        <v>12</v>
      </c>
      <c r="D1778" s="21">
        <v>630000</v>
      </c>
      <c r="E1778" s="4">
        <v>229</v>
      </c>
      <c r="F1778" s="4">
        <v>7</v>
      </c>
      <c r="G1778" s="4">
        <v>3.1</v>
      </c>
      <c r="H1778" s="10">
        <v>7264</v>
      </c>
      <c r="I1778" s="11">
        <f t="shared" si="54"/>
        <v>86.729074889867846</v>
      </c>
      <c r="J1778" s="3" t="str">
        <f t="shared" si="55"/>
        <v>Low</v>
      </c>
    </row>
    <row r="1779" spans="1:10">
      <c r="A1779" s="7" t="s">
        <v>1841</v>
      </c>
      <c r="B1779" s="7" t="s">
        <v>212</v>
      </c>
      <c r="C1779" s="7" t="s">
        <v>12</v>
      </c>
      <c r="D1779" s="22">
        <v>630500</v>
      </c>
      <c r="E1779" s="7">
        <v>29</v>
      </c>
      <c r="F1779" s="7">
        <v>4</v>
      </c>
      <c r="G1779" s="7">
        <v>3.1</v>
      </c>
      <c r="H1779" s="12">
        <v>3391</v>
      </c>
      <c r="I1779" s="9">
        <f t="shared" si="54"/>
        <v>185.93335299321734</v>
      </c>
      <c r="J1779" s="3" t="str">
        <f t="shared" si="55"/>
        <v>Low</v>
      </c>
    </row>
    <row r="1780" spans="1:10">
      <c r="A1780" s="4" t="s">
        <v>1842</v>
      </c>
      <c r="B1780" s="4" t="s">
        <v>131</v>
      </c>
      <c r="C1780" s="4" t="s">
        <v>12</v>
      </c>
      <c r="D1780" s="21">
        <v>632000</v>
      </c>
      <c r="E1780" s="4">
        <v>7</v>
      </c>
      <c r="F1780" s="4">
        <v>3</v>
      </c>
      <c r="G1780" s="4">
        <v>3.1</v>
      </c>
      <c r="H1780" s="10">
        <v>2184</v>
      </c>
      <c r="I1780" s="11">
        <f t="shared" si="54"/>
        <v>289.3772893772894</v>
      </c>
      <c r="J1780" s="3" t="str">
        <f t="shared" si="55"/>
        <v>Medium</v>
      </c>
    </row>
    <row r="1781" spans="1:10">
      <c r="A1781" s="7" t="s">
        <v>1843</v>
      </c>
      <c r="B1781" s="7" t="s">
        <v>268</v>
      </c>
      <c r="C1781" s="7" t="s">
        <v>12</v>
      </c>
      <c r="D1781" s="22">
        <v>632000</v>
      </c>
      <c r="E1781" s="7">
        <v>86</v>
      </c>
      <c r="F1781" s="7">
        <v>3</v>
      </c>
      <c r="G1781" s="7">
        <v>3.1</v>
      </c>
      <c r="H1781" s="12">
        <v>3132</v>
      </c>
      <c r="I1781" s="9">
        <f t="shared" si="54"/>
        <v>201.78799489144316</v>
      </c>
      <c r="J1781" s="3" t="str">
        <f t="shared" si="55"/>
        <v>Medium</v>
      </c>
    </row>
    <row r="1782" spans="1:10">
      <c r="A1782" s="4" t="s">
        <v>1844</v>
      </c>
      <c r="B1782" s="4" t="s">
        <v>16</v>
      </c>
      <c r="C1782" s="4" t="s">
        <v>12</v>
      </c>
      <c r="D1782" s="21">
        <v>634900</v>
      </c>
      <c r="E1782" s="4">
        <v>75</v>
      </c>
      <c r="F1782" s="4">
        <v>5</v>
      </c>
      <c r="G1782" s="4">
        <v>3.1</v>
      </c>
      <c r="H1782" s="10">
        <v>2958</v>
      </c>
      <c r="I1782" s="11">
        <f t="shared" si="54"/>
        <v>214.63826910074374</v>
      </c>
      <c r="J1782" s="3" t="str">
        <f t="shared" si="55"/>
        <v>Medium</v>
      </c>
    </row>
    <row r="1783" spans="1:10">
      <c r="A1783" s="7" t="s">
        <v>1845</v>
      </c>
      <c r="B1783" s="7" t="s">
        <v>960</v>
      </c>
      <c r="C1783" s="7" t="s">
        <v>12</v>
      </c>
      <c r="D1783" s="22">
        <v>635000</v>
      </c>
      <c r="E1783" s="7">
        <v>8</v>
      </c>
      <c r="F1783" s="7">
        <v>4</v>
      </c>
      <c r="G1783" s="7">
        <v>2.1</v>
      </c>
      <c r="H1783" s="12">
        <v>1835</v>
      </c>
      <c r="I1783" s="9">
        <f t="shared" si="54"/>
        <v>346.04904632152591</v>
      </c>
      <c r="J1783" s="3" t="str">
        <f t="shared" si="55"/>
        <v>High</v>
      </c>
    </row>
    <row r="1784" spans="1:10">
      <c r="A1784" s="4" t="s">
        <v>1846</v>
      </c>
      <c r="B1784" s="4" t="s">
        <v>70</v>
      </c>
      <c r="C1784" s="4" t="s">
        <v>12</v>
      </c>
      <c r="D1784" s="21">
        <v>635000</v>
      </c>
      <c r="E1784" s="4">
        <v>5</v>
      </c>
      <c r="F1784" s="4">
        <v>5</v>
      </c>
      <c r="G1784" s="4">
        <v>3.1</v>
      </c>
      <c r="H1784" s="10">
        <v>3600</v>
      </c>
      <c r="I1784" s="11">
        <f t="shared" si="54"/>
        <v>176.38888888888889</v>
      </c>
      <c r="J1784" s="3" t="str">
        <f t="shared" si="55"/>
        <v>Low</v>
      </c>
    </row>
    <row r="1785" spans="1:10">
      <c r="A1785" s="7" t="s">
        <v>1847</v>
      </c>
      <c r="B1785" s="7" t="s">
        <v>212</v>
      </c>
      <c r="C1785" s="7" t="s">
        <v>12</v>
      </c>
      <c r="D1785" s="22">
        <v>635000</v>
      </c>
      <c r="E1785" s="7">
        <v>22</v>
      </c>
      <c r="F1785" s="7">
        <v>4</v>
      </c>
      <c r="G1785" s="7">
        <v>2.1</v>
      </c>
      <c r="H1785" s="12">
        <v>2584</v>
      </c>
      <c r="I1785" s="9">
        <f t="shared" si="54"/>
        <v>245.74303405572755</v>
      </c>
      <c r="J1785" s="3" t="str">
        <f t="shared" si="55"/>
        <v>Medium</v>
      </c>
    </row>
    <row r="1786" spans="1:10">
      <c r="A1786" s="4" t="s">
        <v>1848</v>
      </c>
      <c r="B1786" s="4" t="s">
        <v>282</v>
      </c>
      <c r="C1786" s="4" t="s">
        <v>12</v>
      </c>
      <c r="D1786" s="21">
        <v>635500</v>
      </c>
      <c r="E1786" s="4">
        <v>25</v>
      </c>
      <c r="F1786" s="4">
        <v>3</v>
      </c>
      <c r="G1786" s="4">
        <v>2.1</v>
      </c>
      <c r="H1786" s="10">
        <v>2445</v>
      </c>
      <c r="I1786" s="11">
        <f t="shared" si="54"/>
        <v>259.91820040899796</v>
      </c>
      <c r="J1786" s="3" t="str">
        <f t="shared" si="55"/>
        <v>Medium</v>
      </c>
    </row>
    <row r="1787" spans="1:10">
      <c r="A1787" s="7" t="s">
        <v>1849</v>
      </c>
      <c r="B1787" s="7" t="s">
        <v>318</v>
      </c>
      <c r="C1787" s="7" t="s">
        <v>12</v>
      </c>
      <c r="D1787" s="22">
        <v>635500</v>
      </c>
      <c r="E1787" s="7">
        <v>91</v>
      </c>
      <c r="F1787" s="7">
        <v>3</v>
      </c>
      <c r="G1787" s="7">
        <v>3</v>
      </c>
      <c r="H1787" s="12">
        <v>2052</v>
      </c>
      <c r="I1787" s="9">
        <f t="shared" si="54"/>
        <v>309.69785575048735</v>
      </c>
      <c r="J1787" s="3" t="str">
        <f t="shared" si="55"/>
        <v>High</v>
      </c>
    </row>
    <row r="1788" spans="1:10">
      <c r="A1788" s="4" t="s">
        <v>1850</v>
      </c>
      <c r="B1788" s="4" t="s">
        <v>544</v>
      </c>
      <c r="C1788" s="4" t="s">
        <v>12</v>
      </c>
      <c r="D1788" s="21">
        <v>636952</v>
      </c>
      <c r="E1788" s="4">
        <v>3</v>
      </c>
      <c r="F1788" s="4">
        <v>3</v>
      </c>
      <c r="G1788" s="4">
        <v>2.1</v>
      </c>
      <c r="H1788" s="10">
        <v>2391</v>
      </c>
      <c r="I1788" s="11">
        <f t="shared" si="54"/>
        <v>266.39565035549981</v>
      </c>
      <c r="J1788" s="3" t="str">
        <f t="shared" si="55"/>
        <v>Medium</v>
      </c>
    </row>
    <row r="1789" spans="1:10">
      <c r="A1789" s="7" t="s">
        <v>1851</v>
      </c>
      <c r="B1789" s="7" t="s">
        <v>212</v>
      </c>
      <c r="C1789" s="7" t="s">
        <v>12</v>
      </c>
      <c r="D1789" s="22">
        <v>637000</v>
      </c>
      <c r="E1789" s="7">
        <v>83</v>
      </c>
      <c r="F1789" s="7">
        <v>4</v>
      </c>
      <c r="G1789" s="7">
        <v>3.1</v>
      </c>
      <c r="H1789" s="12">
        <v>3300</v>
      </c>
      <c r="I1789" s="9">
        <f t="shared" si="54"/>
        <v>193.03030303030303</v>
      </c>
      <c r="J1789" s="3" t="str">
        <f t="shared" si="55"/>
        <v>Low</v>
      </c>
    </row>
    <row r="1790" spans="1:10">
      <c r="A1790" s="4" t="s">
        <v>1852</v>
      </c>
      <c r="B1790" s="4" t="s">
        <v>400</v>
      </c>
      <c r="C1790" s="4" t="s">
        <v>12</v>
      </c>
      <c r="D1790" s="21">
        <v>639000</v>
      </c>
      <c r="E1790" s="4">
        <v>14</v>
      </c>
      <c r="F1790" s="4">
        <v>2</v>
      </c>
      <c r="G1790" s="4">
        <v>2</v>
      </c>
      <c r="H1790" s="10">
        <v>1505</v>
      </c>
      <c r="I1790" s="11">
        <f t="shared" si="54"/>
        <v>424.5847176079734</v>
      </c>
      <c r="J1790" s="3" t="str">
        <f t="shared" si="55"/>
        <v>High</v>
      </c>
    </row>
    <row r="1791" spans="1:10">
      <c r="A1791" s="7" t="s">
        <v>1853</v>
      </c>
      <c r="B1791" s="7" t="s">
        <v>212</v>
      </c>
      <c r="C1791" s="7" t="s">
        <v>12</v>
      </c>
      <c r="D1791" s="22">
        <v>639900</v>
      </c>
      <c r="E1791" s="7">
        <v>21</v>
      </c>
      <c r="F1791" s="7">
        <v>4</v>
      </c>
      <c r="G1791" s="7">
        <v>2.1</v>
      </c>
      <c r="H1791" s="12">
        <v>2400</v>
      </c>
      <c r="I1791" s="9">
        <f t="shared" si="54"/>
        <v>266.625</v>
      </c>
      <c r="J1791" s="3" t="str">
        <f t="shared" si="55"/>
        <v>Medium</v>
      </c>
    </row>
    <row r="1792" spans="1:10">
      <c r="A1792" s="4" t="s">
        <v>1854</v>
      </c>
      <c r="B1792" s="4" t="s">
        <v>18</v>
      </c>
      <c r="C1792" s="4" t="s">
        <v>12</v>
      </c>
      <c r="D1792" s="21">
        <v>640000</v>
      </c>
      <c r="E1792" s="4">
        <v>14</v>
      </c>
      <c r="F1792" s="4">
        <v>4</v>
      </c>
      <c r="G1792" s="4">
        <v>2.1</v>
      </c>
      <c r="H1792" s="10">
        <v>2700</v>
      </c>
      <c r="I1792" s="11">
        <f t="shared" si="54"/>
        <v>237.03703703703704</v>
      </c>
      <c r="J1792" s="3" t="str">
        <f t="shared" si="55"/>
        <v>Medium</v>
      </c>
    </row>
    <row r="1793" spans="1:10">
      <c r="A1793" s="7" t="s">
        <v>1855</v>
      </c>
      <c r="B1793" s="7" t="s">
        <v>56</v>
      </c>
      <c r="C1793" s="7" t="s">
        <v>12</v>
      </c>
      <c r="D1793" s="22">
        <v>640000</v>
      </c>
      <c r="E1793" s="7">
        <v>101</v>
      </c>
      <c r="F1793" s="7">
        <v>3</v>
      </c>
      <c r="G1793" s="7">
        <v>2.2000000000000002</v>
      </c>
      <c r="H1793" s="12">
        <v>2168</v>
      </c>
      <c r="I1793" s="9">
        <f t="shared" si="54"/>
        <v>295.2029520295203</v>
      </c>
      <c r="J1793" s="3" t="str">
        <f t="shared" si="55"/>
        <v>Medium</v>
      </c>
    </row>
    <row r="1794" spans="1:10">
      <c r="A1794" s="4" t="s">
        <v>1856</v>
      </c>
      <c r="B1794" s="4" t="s">
        <v>960</v>
      </c>
      <c r="C1794" s="4" t="s">
        <v>12</v>
      </c>
      <c r="D1794" s="21">
        <v>640000</v>
      </c>
      <c r="E1794" s="4">
        <v>6</v>
      </c>
      <c r="F1794" s="4">
        <v>4</v>
      </c>
      <c r="G1794" s="4">
        <v>3</v>
      </c>
      <c r="H1794" s="10">
        <v>2274</v>
      </c>
      <c r="I1794" s="11">
        <f t="shared" ref="I1794:I1857" si="56">D1794/H1794</f>
        <v>281.4423922603342</v>
      </c>
      <c r="J1794" s="3" t="str">
        <f t="shared" ref="J1794:J1857" si="57">IF(I1794 &gt; 300, "High", IF(AND(I1794 &lt;= 300, I1794 &gt; 200), "Medium", "Low"))</f>
        <v>Medium</v>
      </c>
    </row>
    <row r="1795" spans="1:10">
      <c r="A1795" s="7" t="s">
        <v>1857</v>
      </c>
      <c r="B1795" s="7" t="s">
        <v>544</v>
      </c>
      <c r="C1795" s="7" t="s">
        <v>12</v>
      </c>
      <c r="D1795" s="22">
        <v>640893</v>
      </c>
      <c r="E1795" s="7">
        <v>267</v>
      </c>
      <c r="F1795" s="7">
        <v>4</v>
      </c>
      <c r="G1795" s="7">
        <v>2.1</v>
      </c>
      <c r="H1795" s="12">
        <v>2690</v>
      </c>
      <c r="I1795" s="9">
        <f t="shared" si="56"/>
        <v>238.25018587360594</v>
      </c>
      <c r="J1795" s="3" t="str">
        <f t="shared" si="57"/>
        <v>Medium</v>
      </c>
    </row>
    <row r="1796" spans="1:10">
      <c r="A1796" s="4" t="s">
        <v>1858</v>
      </c>
      <c r="B1796" s="4" t="s">
        <v>331</v>
      </c>
      <c r="C1796" s="4" t="s">
        <v>12</v>
      </c>
      <c r="D1796" s="21">
        <v>641000</v>
      </c>
      <c r="E1796" s="4">
        <v>8</v>
      </c>
      <c r="F1796" s="4">
        <v>5</v>
      </c>
      <c r="G1796" s="4">
        <v>4.0999999999999996</v>
      </c>
      <c r="H1796" s="10">
        <v>3107</v>
      </c>
      <c r="I1796" s="11">
        <f t="shared" si="56"/>
        <v>206.30833601544899</v>
      </c>
      <c r="J1796" s="3" t="str">
        <f t="shared" si="57"/>
        <v>Medium</v>
      </c>
    </row>
    <row r="1797" spans="1:10">
      <c r="A1797" s="7" t="s">
        <v>1859</v>
      </c>
      <c r="B1797" s="7" t="s">
        <v>131</v>
      </c>
      <c r="C1797" s="7" t="s">
        <v>12</v>
      </c>
      <c r="D1797" s="22">
        <v>643000</v>
      </c>
      <c r="E1797" s="7">
        <v>83</v>
      </c>
      <c r="F1797" s="7">
        <v>3</v>
      </c>
      <c r="G1797" s="7">
        <v>2.1</v>
      </c>
      <c r="H1797" s="12">
        <v>2116</v>
      </c>
      <c r="I1797" s="9">
        <f t="shared" si="56"/>
        <v>303.87523629489601</v>
      </c>
      <c r="J1797" s="3" t="str">
        <f t="shared" si="57"/>
        <v>High</v>
      </c>
    </row>
    <row r="1798" spans="1:10">
      <c r="A1798" s="4" t="s">
        <v>1860</v>
      </c>
      <c r="B1798" s="4" t="s">
        <v>1344</v>
      </c>
      <c r="C1798" s="4" t="s">
        <v>12</v>
      </c>
      <c r="D1798" s="21">
        <v>645000</v>
      </c>
      <c r="E1798" s="4">
        <v>66</v>
      </c>
      <c r="F1798" s="4">
        <v>3</v>
      </c>
      <c r="G1798" s="4">
        <v>3.2</v>
      </c>
      <c r="H1798" s="10">
        <v>3641</v>
      </c>
      <c r="I1798" s="11">
        <f t="shared" si="56"/>
        <v>177.14913485306235</v>
      </c>
      <c r="J1798" s="3" t="str">
        <f t="shared" si="57"/>
        <v>Low</v>
      </c>
    </row>
    <row r="1799" spans="1:10">
      <c r="A1799" s="7" t="s">
        <v>1861</v>
      </c>
      <c r="B1799" s="7" t="s">
        <v>823</v>
      </c>
      <c r="C1799" s="7" t="s">
        <v>12</v>
      </c>
      <c r="D1799" s="22">
        <v>645750</v>
      </c>
      <c r="E1799" s="7">
        <v>45</v>
      </c>
      <c r="F1799" s="7">
        <v>4</v>
      </c>
      <c r="G1799" s="7">
        <v>2.1</v>
      </c>
      <c r="H1799" s="12">
        <v>3000</v>
      </c>
      <c r="I1799" s="9">
        <f t="shared" si="56"/>
        <v>215.25</v>
      </c>
      <c r="J1799" s="3" t="str">
        <f t="shared" si="57"/>
        <v>Medium</v>
      </c>
    </row>
    <row r="1800" spans="1:10">
      <c r="A1800" s="4" t="s">
        <v>1862</v>
      </c>
      <c r="B1800" s="4" t="s">
        <v>331</v>
      </c>
      <c r="C1800" s="4" t="s">
        <v>12</v>
      </c>
      <c r="D1800" s="21">
        <v>649000</v>
      </c>
      <c r="E1800" s="4">
        <v>4</v>
      </c>
      <c r="F1800" s="4">
        <v>4</v>
      </c>
      <c r="G1800" s="4">
        <v>3</v>
      </c>
      <c r="H1800" s="10">
        <v>2741</v>
      </c>
      <c r="I1800" s="11">
        <f t="shared" si="56"/>
        <v>236.77489967165269</v>
      </c>
      <c r="J1800" s="3" t="str">
        <f t="shared" si="57"/>
        <v>Medium</v>
      </c>
    </row>
    <row r="1801" spans="1:10">
      <c r="A1801" s="7" t="s">
        <v>1863</v>
      </c>
      <c r="B1801" s="7" t="s">
        <v>544</v>
      </c>
      <c r="C1801" s="7" t="s">
        <v>12</v>
      </c>
      <c r="D1801" s="22">
        <v>649990</v>
      </c>
      <c r="E1801" s="7">
        <v>12</v>
      </c>
      <c r="F1801" s="7">
        <v>3</v>
      </c>
      <c r="G1801" s="7">
        <v>3</v>
      </c>
      <c r="H1801" s="12">
        <v>2491</v>
      </c>
      <c r="I1801" s="9">
        <f t="shared" si="56"/>
        <v>260.93536732236049</v>
      </c>
      <c r="J1801" s="3" t="str">
        <f t="shared" si="57"/>
        <v>Medium</v>
      </c>
    </row>
    <row r="1802" spans="1:10">
      <c r="A1802" s="4" t="s">
        <v>1864</v>
      </c>
      <c r="B1802" s="4" t="s">
        <v>77</v>
      </c>
      <c r="C1802" s="4" t="s">
        <v>12</v>
      </c>
      <c r="D1802" s="21">
        <v>650000</v>
      </c>
      <c r="E1802" s="4">
        <v>4</v>
      </c>
      <c r="F1802" s="4">
        <v>4</v>
      </c>
      <c r="G1802" s="4">
        <v>3.1</v>
      </c>
      <c r="H1802" s="10">
        <v>3308</v>
      </c>
      <c r="I1802" s="11">
        <f t="shared" si="56"/>
        <v>196.49334945586457</v>
      </c>
      <c r="J1802" s="3" t="str">
        <f t="shared" si="57"/>
        <v>Low</v>
      </c>
    </row>
    <row r="1803" spans="1:10">
      <c r="A1803" s="7" t="s">
        <v>1865</v>
      </c>
      <c r="B1803" s="7" t="s">
        <v>282</v>
      </c>
      <c r="C1803" s="7" t="s">
        <v>12</v>
      </c>
      <c r="D1803" s="22">
        <v>650000</v>
      </c>
      <c r="E1803" s="7">
        <v>128</v>
      </c>
      <c r="F1803" s="7">
        <v>4</v>
      </c>
      <c r="G1803" s="7">
        <v>2.1</v>
      </c>
      <c r="H1803" s="12">
        <v>2500</v>
      </c>
      <c r="I1803" s="9">
        <f t="shared" si="56"/>
        <v>260</v>
      </c>
      <c r="J1803" s="3" t="str">
        <f t="shared" si="57"/>
        <v>Medium</v>
      </c>
    </row>
    <row r="1804" spans="1:10">
      <c r="A1804" s="4" t="s">
        <v>1866</v>
      </c>
      <c r="B1804" s="4" t="s">
        <v>400</v>
      </c>
      <c r="C1804" s="4" t="s">
        <v>12</v>
      </c>
      <c r="D1804" s="21">
        <v>650000</v>
      </c>
      <c r="E1804" s="4">
        <v>72</v>
      </c>
      <c r="F1804" s="4">
        <v>4</v>
      </c>
      <c r="G1804" s="4">
        <v>3.2</v>
      </c>
      <c r="H1804" s="10">
        <v>3482</v>
      </c>
      <c r="I1804" s="11">
        <f t="shared" si="56"/>
        <v>186.67432510051694</v>
      </c>
      <c r="J1804" s="3" t="str">
        <f t="shared" si="57"/>
        <v>Low</v>
      </c>
    </row>
    <row r="1805" spans="1:10">
      <c r="A1805" s="7" t="s">
        <v>1867</v>
      </c>
      <c r="B1805" s="7" t="s">
        <v>212</v>
      </c>
      <c r="C1805" s="7" t="s">
        <v>12</v>
      </c>
      <c r="D1805" s="22">
        <v>650000</v>
      </c>
      <c r="E1805" s="7">
        <v>50</v>
      </c>
      <c r="F1805" s="7">
        <v>4</v>
      </c>
      <c r="G1805" s="7">
        <v>2.1</v>
      </c>
      <c r="H1805" s="12">
        <v>2959</v>
      </c>
      <c r="I1805" s="9">
        <f t="shared" si="56"/>
        <v>219.66880702940182</v>
      </c>
      <c r="J1805" s="3" t="str">
        <f t="shared" si="57"/>
        <v>Medium</v>
      </c>
    </row>
    <row r="1806" spans="1:10">
      <c r="A1806" s="4" t="s">
        <v>1868</v>
      </c>
      <c r="B1806" s="4" t="s">
        <v>70</v>
      </c>
      <c r="C1806" s="4" t="s">
        <v>12</v>
      </c>
      <c r="D1806" s="21">
        <v>650000</v>
      </c>
      <c r="E1806" s="4">
        <v>90</v>
      </c>
      <c r="F1806" s="4">
        <v>4</v>
      </c>
      <c r="G1806" s="4">
        <v>3.1</v>
      </c>
      <c r="H1806" s="10">
        <v>3709</v>
      </c>
      <c r="I1806" s="11">
        <f t="shared" si="56"/>
        <v>175.24939336748449</v>
      </c>
      <c r="J1806" s="3" t="str">
        <f t="shared" si="57"/>
        <v>Low</v>
      </c>
    </row>
    <row r="1807" spans="1:10">
      <c r="A1807" s="7" t="s">
        <v>1869</v>
      </c>
      <c r="B1807" s="7" t="s">
        <v>823</v>
      </c>
      <c r="C1807" s="7" t="s">
        <v>12</v>
      </c>
      <c r="D1807" s="22">
        <v>650000</v>
      </c>
      <c r="E1807" s="7">
        <v>119</v>
      </c>
      <c r="F1807" s="7">
        <v>4</v>
      </c>
      <c r="G1807" s="7">
        <v>4.0999999999999996</v>
      </c>
      <c r="H1807" s="12">
        <v>3027</v>
      </c>
      <c r="I1807" s="9">
        <f t="shared" si="56"/>
        <v>214.73406012553684</v>
      </c>
      <c r="J1807" s="3" t="str">
        <f t="shared" si="57"/>
        <v>Medium</v>
      </c>
    </row>
    <row r="1808" spans="1:10">
      <c r="A1808" s="4" t="s">
        <v>1870</v>
      </c>
      <c r="B1808" s="4" t="s">
        <v>14</v>
      </c>
      <c r="C1808" s="4" t="s">
        <v>12</v>
      </c>
      <c r="D1808" s="21">
        <v>650500</v>
      </c>
      <c r="E1808" s="4">
        <v>80</v>
      </c>
      <c r="F1808" s="4">
        <v>5</v>
      </c>
      <c r="G1808" s="4">
        <v>3.1</v>
      </c>
      <c r="H1808" s="10">
        <v>1952</v>
      </c>
      <c r="I1808" s="11">
        <f t="shared" si="56"/>
        <v>333.24795081967216</v>
      </c>
      <c r="J1808" s="3" t="str">
        <f t="shared" si="57"/>
        <v>High</v>
      </c>
    </row>
    <row r="1809" spans="1:10">
      <c r="A1809" s="7" t="s">
        <v>1871</v>
      </c>
      <c r="B1809" s="7" t="s">
        <v>331</v>
      </c>
      <c r="C1809" s="7" t="s">
        <v>12</v>
      </c>
      <c r="D1809" s="22">
        <v>653990</v>
      </c>
      <c r="E1809" s="7">
        <v>137</v>
      </c>
      <c r="F1809" s="7">
        <v>5</v>
      </c>
      <c r="G1809" s="7">
        <v>3</v>
      </c>
      <c r="H1809" s="12">
        <v>3175</v>
      </c>
      <c r="I1809" s="9">
        <f t="shared" si="56"/>
        <v>205.98110236220472</v>
      </c>
      <c r="J1809" s="3" t="str">
        <f t="shared" si="57"/>
        <v>Medium</v>
      </c>
    </row>
    <row r="1810" spans="1:10">
      <c r="A1810" s="4" t="s">
        <v>1872</v>
      </c>
      <c r="B1810" s="4" t="s">
        <v>400</v>
      </c>
      <c r="C1810" s="4" t="s">
        <v>12</v>
      </c>
      <c r="D1810" s="21">
        <v>654500</v>
      </c>
      <c r="E1810" s="4">
        <v>3</v>
      </c>
      <c r="F1810" s="4">
        <v>4</v>
      </c>
      <c r="G1810" s="4">
        <v>2.1</v>
      </c>
      <c r="H1810" s="10">
        <v>2614</v>
      </c>
      <c r="I1810" s="11">
        <f t="shared" si="56"/>
        <v>250.38255547054322</v>
      </c>
      <c r="J1810" s="3" t="str">
        <f t="shared" si="57"/>
        <v>Medium</v>
      </c>
    </row>
    <row r="1811" spans="1:10">
      <c r="A1811" s="7" t="s">
        <v>1873</v>
      </c>
      <c r="B1811" s="7" t="s">
        <v>728</v>
      </c>
      <c r="C1811" s="7" t="s">
        <v>12</v>
      </c>
      <c r="D1811" s="22">
        <v>655000</v>
      </c>
      <c r="E1811" s="7">
        <v>21</v>
      </c>
      <c r="F1811" s="7">
        <v>4</v>
      </c>
      <c r="G1811" s="7">
        <v>2.1</v>
      </c>
      <c r="H1811" s="12">
        <v>2410</v>
      </c>
      <c r="I1811" s="9">
        <f t="shared" si="56"/>
        <v>271.78423236514521</v>
      </c>
      <c r="J1811" s="3" t="str">
        <f t="shared" si="57"/>
        <v>Medium</v>
      </c>
    </row>
    <row r="1812" spans="1:10">
      <c r="A1812" s="4" t="s">
        <v>1874</v>
      </c>
      <c r="B1812" s="4" t="s">
        <v>960</v>
      </c>
      <c r="C1812" s="4" t="s">
        <v>12</v>
      </c>
      <c r="D1812" s="21">
        <v>655000</v>
      </c>
      <c r="E1812" s="4">
        <v>6</v>
      </c>
      <c r="F1812" s="4">
        <v>4</v>
      </c>
      <c r="G1812" s="4">
        <v>2.2000000000000002</v>
      </c>
      <c r="H1812" s="10">
        <v>2456</v>
      </c>
      <c r="I1812" s="11">
        <f t="shared" si="56"/>
        <v>266.69381107491859</v>
      </c>
      <c r="J1812" s="3" t="str">
        <f t="shared" si="57"/>
        <v>Medium</v>
      </c>
    </row>
    <row r="1813" spans="1:10">
      <c r="A1813" s="7" t="s">
        <v>1875</v>
      </c>
      <c r="B1813" s="7" t="s">
        <v>16</v>
      </c>
      <c r="C1813" s="7" t="s">
        <v>12</v>
      </c>
      <c r="D1813" s="22">
        <v>655000</v>
      </c>
      <c r="E1813" s="7">
        <v>8</v>
      </c>
      <c r="F1813" s="7">
        <v>4</v>
      </c>
      <c r="G1813" s="7">
        <v>2.1</v>
      </c>
      <c r="H1813" s="12">
        <v>2989</v>
      </c>
      <c r="I1813" s="9">
        <f t="shared" si="56"/>
        <v>219.13683506189361</v>
      </c>
      <c r="J1813" s="3" t="str">
        <f t="shared" si="57"/>
        <v>Medium</v>
      </c>
    </row>
    <row r="1814" spans="1:10">
      <c r="A1814" s="4" t="s">
        <v>1876</v>
      </c>
      <c r="B1814" s="4" t="s">
        <v>823</v>
      </c>
      <c r="C1814" s="4" t="s">
        <v>12</v>
      </c>
      <c r="D1814" s="21">
        <v>655000</v>
      </c>
      <c r="E1814" s="4">
        <v>52</v>
      </c>
      <c r="F1814" s="4">
        <v>4</v>
      </c>
      <c r="G1814" s="4">
        <v>3.1</v>
      </c>
      <c r="H1814" s="10">
        <v>3109</v>
      </c>
      <c r="I1814" s="11">
        <f t="shared" si="56"/>
        <v>210.67867481505309</v>
      </c>
      <c r="J1814" s="3" t="str">
        <f t="shared" si="57"/>
        <v>Medium</v>
      </c>
    </row>
    <row r="1815" spans="1:10">
      <c r="A1815" s="7" t="s">
        <v>1877</v>
      </c>
      <c r="B1815" s="7" t="s">
        <v>131</v>
      </c>
      <c r="C1815" s="7" t="s">
        <v>12</v>
      </c>
      <c r="D1815" s="22">
        <v>656000</v>
      </c>
      <c r="E1815" s="7">
        <v>53</v>
      </c>
      <c r="F1815" s="7">
        <v>4</v>
      </c>
      <c r="G1815" s="7">
        <v>2.1</v>
      </c>
      <c r="H1815" s="12">
        <v>2328</v>
      </c>
      <c r="I1815" s="9">
        <f t="shared" si="56"/>
        <v>281.78694158075604</v>
      </c>
      <c r="J1815" s="3" t="str">
        <f t="shared" si="57"/>
        <v>Medium</v>
      </c>
    </row>
    <row r="1816" spans="1:10">
      <c r="A1816" s="4" t="s">
        <v>1878</v>
      </c>
      <c r="B1816" s="4" t="s">
        <v>553</v>
      </c>
      <c r="C1816" s="4" t="s">
        <v>12</v>
      </c>
      <c r="D1816" s="21">
        <v>658790</v>
      </c>
      <c r="E1816" s="4">
        <v>1</v>
      </c>
      <c r="F1816" s="4">
        <v>5</v>
      </c>
      <c r="G1816" s="4">
        <v>3</v>
      </c>
      <c r="H1816" s="10">
        <v>2022</v>
      </c>
      <c r="I1816" s="11">
        <f t="shared" si="56"/>
        <v>325.81107814045498</v>
      </c>
      <c r="J1816" s="3" t="str">
        <f t="shared" si="57"/>
        <v>High</v>
      </c>
    </row>
    <row r="1817" spans="1:10">
      <c r="A1817" s="7" t="s">
        <v>1879</v>
      </c>
      <c r="B1817" s="7" t="s">
        <v>18</v>
      </c>
      <c r="C1817" s="7" t="s">
        <v>12</v>
      </c>
      <c r="D1817" s="22">
        <v>659000</v>
      </c>
      <c r="E1817" s="7">
        <v>41</v>
      </c>
      <c r="F1817" s="7">
        <v>5</v>
      </c>
      <c r="G1817" s="7">
        <v>3.1</v>
      </c>
      <c r="H1817" s="12">
        <v>4141</v>
      </c>
      <c r="I1817" s="9">
        <f t="shared" si="56"/>
        <v>159.14030427432988</v>
      </c>
      <c r="J1817" s="3" t="str">
        <f t="shared" si="57"/>
        <v>Low</v>
      </c>
    </row>
    <row r="1818" spans="1:10">
      <c r="A1818" s="4" t="s">
        <v>1880</v>
      </c>
      <c r="B1818" s="4" t="s">
        <v>1051</v>
      </c>
      <c r="C1818" s="4" t="s">
        <v>12</v>
      </c>
      <c r="D1818" s="21">
        <v>660000</v>
      </c>
      <c r="E1818" s="4">
        <v>8</v>
      </c>
      <c r="F1818" s="4">
        <v>3</v>
      </c>
      <c r="G1818" s="4">
        <v>3.1</v>
      </c>
      <c r="H1818" s="10">
        <v>2521</v>
      </c>
      <c r="I1818" s="11">
        <f t="shared" si="56"/>
        <v>261.80087266957554</v>
      </c>
      <c r="J1818" s="3" t="str">
        <f t="shared" si="57"/>
        <v>Medium</v>
      </c>
    </row>
    <row r="1819" spans="1:10">
      <c r="A1819" s="7" t="s">
        <v>1881</v>
      </c>
      <c r="B1819" s="7" t="s">
        <v>1366</v>
      </c>
      <c r="C1819" s="7" t="s">
        <v>12</v>
      </c>
      <c r="D1819" s="22">
        <v>660000</v>
      </c>
      <c r="E1819" s="7">
        <v>49</v>
      </c>
      <c r="F1819" s="7">
        <v>5</v>
      </c>
      <c r="G1819" s="7">
        <v>3.1</v>
      </c>
      <c r="H1819" s="12">
        <v>3100</v>
      </c>
      <c r="I1819" s="9">
        <f t="shared" si="56"/>
        <v>212.90322580645162</v>
      </c>
      <c r="J1819" s="3" t="str">
        <f t="shared" si="57"/>
        <v>Medium</v>
      </c>
    </row>
    <row r="1820" spans="1:10">
      <c r="A1820" s="4" t="s">
        <v>1882</v>
      </c>
      <c r="B1820" s="4" t="s">
        <v>948</v>
      </c>
      <c r="C1820" s="4" t="s">
        <v>12</v>
      </c>
      <c r="D1820" s="21">
        <v>661000</v>
      </c>
      <c r="E1820" s="4">
        <v>9</v>
      </c>
      <c r="F1820" s="4">
        <v>4</v>
      </c>
      <c r="G1820" s="4">
        <v>4.0999999999999996</v>
      </c>
      <c r="H1820" s="10">
        <v>3378</v>
      </c>
      <c r="I1820" s="11">
        <f t="shared" si="56"/>
        <v>195.67791592658378</v>
      </c>
      <c r="J1820" s="3" t="str">
        <f t="shared" si="57"/>
        <v>Low</v>
      </c>
    </row>
    <row r="1821" spans="1:10">
      <c r="A1821" s="7" t="s">
        <v>1883</v>
      </c>
      <c r="B1821" s="7" t="s">
        <v>16</v>
      </c>
      <c r="C1821" s="7" t="s">
        <v>12</v>
      </c>
      <c r="D1821" s="22">
        <v>661100</v>
      </c>
      <c r="E1821" s="7">
        <v>6</v>
      </c>
      <c r="F1821" s="7">
        <v>4</v>
      </c>
      <c r="G1821" s="7">
        <v>2.1</v>
      </c>
      <c r="H1821" s="12">
        <v>2657</v>
      </c>
      <c r="I1821" s="9">
        <f t="shared" si="56"/>
        <v>248.81445238991344</v>
      </c>
      <c r="J1821" s="3" t="str">
        <f t="shared" si="57"/>
        <v>Medium</v>
      </c>
    </row>
    <row r="1822" spans="1:10">
      <c r="A1822" s="4" t="s">
        <v>1884</v>
      </c>
      <c r="B1822" s="4" t="s">
        <v>823</v>
      </c>
      <c r="C1822" s="4" t="s">
        <v>12</v>
      </c>
      <c r="D1822" s="21">
        <v>663000</v>
      </c>
      <c r="E1822" s="4">
        <v>80</v>
      </c>
      <c r="F1822" s="4">
        <v>4</v>
      </c>
      <c r="G1822" s="4">
        <v>3.1</v>
      </c>
      <c r="H1822" s="10">
        <v>3003</v>
      </c>
      <c r="I1822" s="11">
        <f t="shared" si="56"/>
        <v>220.77922077922079</v>
      </c>
      <c r="J1822" s="3" t="str">
        <f t="shared" si="57"/>
        <v>Medium</v>
      </c>
    </row>
    <row r="1823" spans="1:10">
      <c r="A1823" s="7" t="s">
        <v>1885</v>
      </c>
      <c r="B1823" s="7" t="s">
        <v>131</v>
      </c>
      <c r="C1823" s="7" t="s">
        <v>12</v>
      </c>
      <c r="D1823" s="22">
        <v>665000</v>
      </c>
      <c r="E1823" s="7">
        <v>225</v>
      </c>
      <c r="F1823" s="7">
        <v>4</v>
      </c>
      <c r="G1823" s="7">
        <v>2.1</v>
      </c>
      <c r="H1823" s="12">
        <v>2500</v>
      </c>
      <c r="I1823" s="9">
        <f t="shared" si="56"/>
        <v>266</v>
      </c>
      <c r="J1823" s="3" t="str">
        <f t="shared" si="57"/>
        <v>Medium</v>
      </c>
    </row>
    <row r="1824" spans="1:10">
      <c r="A1824" s="4" t="s">
        <v>1886</v>
      </c>
      <c r="B1824" s="4" t="s">
        <v>18</v>
      </c>
      <c r="C1824" s="4" t="s">
        <v>12</v>
      </c>
      <c r="D1824" s="21">
        <v>665000</v>
      </c>
      <c r="E1824" s="4">
        <v>5</v>
      </c>
      <c r="F1824" s="4">
        <v>4</v>
      </c>
      <c r="G1824" s="4">
        <v>3.1</v>
      </c>
      <c r="H1824" s="10">
        <v>1906</v>
      </c>
      <c r="I1824" s="11">
        <f t="shared" si="56"/>
        <v>348.89821615949631</v>
      </c>
      <c r="J1824" s="3" t="str">
        <f t="shared" si="57"/>
        <v>High</v>
      </c>
    </row>
    <row r="1825" spans="1:10">
      <c r="A1825" s="7" t="s">
        <v>1887</v>
      </c>
      <c r="B1825" s="7" t="s">
        <v>282</v>
      </c>
      <c r="C1825" s="7" t="s">
        <v>12</v>
      </c>
      <c r="D1825" s="22">
        <v>665000</v>
      </c>
      <c r="E1825" s="7">
        <v>160</v>
      </c>
      <c r="F1825" s="7">
        <v>4</v>
      </c>
      <c r="G1825" s="7">
        <v>3.1</v>
      </c>
      <c r="H1825" s="12">
        <v>2653</v>
      </c>
      <c r="I1825" s="9">
        <f t="shared" si="56"/>
        <v>250.65963060686016</v>
      </c>
      <c r="J1825" s="3" t="str">
        <f t="shared" si="57"/>
        <v>Medium</v>
      </c>
    </row>
    <row r="1826" spans="1:10">
      <c r="A1826" s="4" t="s">
        <v>1888</v>
      </c>
      <c r="B1826" s="4" t="s">
        <v>268</v>
      </c>
      <c r="C1826" s="4" t="s">
        <v>12</v>
      </c>
      <c r="D1826" s="21">
        <v>665000</v>
      </c>
      <c r="E1826" s="4">
        <v>25</v>
      </c>
      <c r="F1826" s="4">
        <v>4</v>
      </c>
      <c r="G1826" s="4">
        <v>3.1</v>
      </c>
      <c r="H1826" s="10">
        <v>3014</v>
      </c>
      <c r="I1826" s="11">
        <f t="shared" si="56"/>
        <v>220.63702720637028</v>
      </c>
      <c r="J1826" s="3" t="str">
        <f t="shared" si="57"/>
        <v>Medium</v>
      </c>
    </row>
    <row r="1827" spans="1:10">
      <c r="A1827" s="7" t="s">
        <v>1889</v>
      </c>
      <c r="B1827" s="7" t="s">
        <v>544</v>
      </c>
      <c r="C1827" s="7" t="s">
        <v>12</v>
      </c>
      <c r="D1827" s="22">
        <v>665755</v>
      </c>
      <c r="E1827" s="7">
        <v>0</v>
      </c>
      <c r="F1827" s="7">
        <v>3</v>
      </c>
      <c r="G1827" s="7">
        <v>2.1</v>
      </c>
      <c r="H1827" s="12">
        <v>2212</v>
      </c>
      <c r="I1827" s="9">
        <f t="shared" si="56"/>
        <v>300.97423146473778</v>
      </c>
      <c r="J1827" s="3" t="str">
        <f t="shared" si="57"/>
        <v>High</v>
      </c>
    </row>
    <row r="1828" spans="1:10">
      <c r="A1828" s="4" t="s">
        <v>1890</v>
      </c>
      <c r="B1828" s="4" t="s">
        <v>728</v>
      </c>
      <c r="C1828" s="4" t="s">
        <v>12</v>
      </c>
      <c r="D1828" s="21">
        <v>668000</v>
      </c>
      <c r="E1828" s="4">
        <v>3</v>
      </c>
      <c r="F1828" s="4">
        <v>4</v>
      </c>
      <c r="G1828" s="4">
        <v>2.1</v>
      </c>
      <c r="H1828" s="10">
        <v>2446</v>
      </c>
      <c r="I1828" s="11">
        <f t="shared" si="56"/>
        <v>273.09893704006544</v>
      </c>
      <c r="J1828" s="3" t="str">
        <f t="shared" si="57"/>
        <v>Medium</v>
      </c>
    </row>
    <row r="1829" spans="1:10">
      <c r="A1829" s="7" t="s">
        <v>1891</v>
      </c>
      <c r="B1829" s="7" t="s">
        <v>77</v>
      </c>
      <c r="C1829" s="7" t="s">
        <v>12</v>
      </c>
      <c r="D1829" s="22">
        <v>670000</v>
      </c>
      <c r="E1829" s="7">
        <v>4</v>
      </c>
      <c r="F1829" s="7">
        <v>4</v>
      </c>
      <c r="G1829" s="7">
        <v>3.1</v>
      </c>
      <c r="H1829" s="12">
        <v>3384</v>
      </c>
      <c r="I1829" s="9">
        <f t="shared" si="56"/>
        <v>197.99054373522458</v>
      </c>
      <c r="J1829" s="3" t="str">
        <f t="shared" si="57"/>
        <v>Low</v>
      </c>
    </row>
    <row r="1830" spans="1:10">
      <c r="A1830" s="4" t="s">
        <v>1892</v>
      </c>
      <c r="B1830" s="4" t="s">
        <v>544</v>
      </c>
      <c r="C1830" s="4" t="s">
        <v>12</v>
      </c>
      <c r="D1830" s="21">
        <v>670000</v>
      </c>
      <c r="E1830" s="4">
        <v>9</v>
      </c>
      <c r="F1830" s="4">
        <v>3</v>
      </c>
      <c r="G1830" s="4">
        <v>2.1</v>
      </c>
      <c r="H1830" s="10">
        <v>2918</v>
      </c>
      <c r="I1830" s="11">
        <f t="shared" si="56"/>
        <v>229.60932145305003</v>
      </c>
      <c r="J1830" s="3" t="str">
        <f t="shared" si="57"/>
        <v>Medium</v>
      </c>
    </row>
    <row r="1831" spans="1:10">
      <c r="A1831" s="7" t="s">
        <v>1893</v>
      </c>
      <c r="B1831" s="7" t="s">
        <v>474</v>
      </c>
      <c r="C1831" s="7" t="s">
        <v>12</v>
      </c>
      <c r="D1831" s="22">
        <v>670000</v>
      </c>
      <c r="E1831" s="7">
        <v>56</v>
      </c>
      <c r="F1831" s="7">
        <v>3</v>
      </c>
      <c r="G1831" s="7">
        <v>2.1</v>
      </c>
      <c r="H1831" s="12">
        <v>1466</v>
      </c>
      <c r="I1831" s="9">
        <f t="shared" si="56"/>
        <v>457.02592087312416</v>
      </c>
      <c r="J1831" s="3" t="str">
        <f t="shared" si="57"/>
        <v>High</v>
      </c>
    </row>
    <row r="1832" spans="1:10">
      <c r="A1832" s="4" t="s">
        <v>1894</v>
      </c>
      <c r="B1832" s="4" t="s">
        <v>77</v>
      </c>
      <c r="C1832" s="4" t="s">
        <v>12</v>
      </c>
      <c r="D1832" s="21">
        <v>670000</v>
      </c>
      <c r="E1832" s="4">
        <v>203</v>
      </c>
      <c r="F1832" s="4">
        <v>5</v>
      </c>
      <c r="G1832" s="4">
        <v>3</v>
      </c>
      <c r="H1832" s="10">
        <v>3355</v>
      </c>
      <c r="I1832" s="11">
        <f t="shared" si="56"/>
        <v>199.70193740685545</v>
      </c>
      <c r="J1832" s="3" t="str">
        <f t="shared" si="57"/>
        <v>Low</v>
      </c>
    </row>
    <row r="1833" spans="1:10">
      <c r="A1833" s="7" t="s">
        <v>1895</v>
      </c>
      <c r="B1833" s="7" t="s">
        <v>212</v>
      </c>
      <c r="C1833" s="7" t="s">
        <v>12</v>
      </c>
      <c r="D1833" s="22">
        <v>672000</v>
      </c>
      <c r="E1833" s="7">
        <v>7</v>
      </c>
      <c r="F1833" s="7">
        <v>4</v>
      </c>
      <c r="G1833" s="7">
        <v>2.1</v>
      </c>
      <c r="H1833" s="12">
        <v>2540</v>
      </c>
      <c r="I1833" s="9">
        <f t="shared" si="56"/>
        <v>264.56692913385825</v>
      </c>
      <c r="J1833" s="3" t="str">
        <f t="shared" si="57"/>
        <v>Medium</v>
      </c>
    </row>
    <row r="1834" spans="1:10">
      <c r="A1834" s="4" t="s">
        <v>1896</v>
      </c>
      <c r="B1834" s="4" t="s">
        <v>93</v>
      </c>
      <c r="C1834" s="4" t="s">
        <v>12</v>
      </c>
      <c r="D1834" s="21">
        <v>673000</v>
      </c>
      <c r="E1834" s="4">
        <v>6</v>
      </c>
      <c r="F1834" s="4">
        <v>5</v>
      </c>
      <c r="G1834" s="4">
        <v>3</v>
      </c>
      <c r="H1834" s="10">
        <v>2988</v>
      </c>
      <c r="I1834" s="11">
        <f t="shared" si="56"/>
        <v>225.23427041499332</v>
      </c>
      <c r="J1834" s="3" t="str">
        <f t="shared" si="57"/>
        <v>Medium</v>
      </c>
    </row>
    <row r="1835" spans="1:10">
      <c r="A1835" s="7" t="s">
        <v>1897</v>
      </c>
      <c r="B1835" s="7" t="s">
        <v>70</v>
      </c>
      <c r="C1835" s="7" t="s">
        <v>12</v>
      </c>
      <c r="D1835" s="22">
        <v>675000</v>
      </c>
      <c r="E1835" s="7">
        <v>123</v>
      </c>
      <c r="F1835" s="7">
        <v>4</v>
      </c>
      <c r="G1835" s="7">
        <v>3.1</v>
      </c>
      <c r="H1835" s="12">
        <v>3505</v>
      </c>
      <c r="I1835" s="9">
        <f t="shared" si="56"/>
        <v>192.58202567760341</v>
      </c>
      <c r="J1835" s="3" t="str">
        <f t="shared" si="57"/>
        <v>Low</v>
      </c>
    </row>
    <row r="1836" spans="1:10">
      <c r="A1836" s="4" t="s">
        <v>1898</v>
      </c>
      <c r="B1836" s="4" t="s">
        <v>960</v>
      </c>
      <c r="C1836" s="4" t="s">
        <v>12</v>
      </c>
      <c r="D1836" s="21">
        <v>679000</v>
      </c>
      <c r="E1836" s="4">
        <v>6</v>
      </c>
      <c r="F1836" s="4">
        <v>3</v>
      </c>
      <c r="G1836" s="4">
        <v>2.2000000000000002</v>
      </c>
      <c r="H1836" s="10">
        <v>2653</v>
      </c>
      <c r="I1836" s="11">
        <f t="shared" si="56"/>
        <v>255.93667546174143</v>
      </c>
      <c r="J1836" s="3" t="str">
        <f t="shared" si="57"/>
        <v>Medium</v>
      </c>
    </row>
    <row r="1837" spans="1:10">
      <c r="A1837" s="7" t="s">
        <v>1899</v>
      </c>
      <c r="B1837" s="7" t="s">
        <v>888</v>
      </c>
      <c r="C1837" s="7" t="s">
        <v>12</v>
      </c>
      <c r="D1837" s="22">
        <v>679900</v>
      </c>
      <c r="E1837" s="7">
        <v>61</v>
      </c>
      <c r="F1837" s="7">
        <v>4</v>
      </c>
      <c r="G1837" s="7">
        <v>2.2000000000000002</v>
      </c>
      <c r="H1837" s="12">
        <v>2309</v>
      </c>
      <c r="I1837" s="9">
        <f t="shared" si="56"/>
        <v>294.45647466435685</v>
      </c>
      <c r="J1837" s="3" t="str">
        <f t="shared" si="57"/>
        <v>Medium</v>
      </c>
    </row>
    <row r="1838" spans="1:10">
      <c r="A1838" s="4" t="s">
        <v>1900</v>
      </c>
      <c r="B1838" s="4" t="s">
        <v>212</v>
      </c>
      <c r="C1838" s="4" t="s">
        <v>12</v>
      </c>
      <c r="D1838" s="21">
        <v>680000</v>
      </c>
      <c r="E1838" s="4">
        <v>6</v>
      </c>
      <c r="F1838" s="4">
        <v>4</v>
      </c>
      <c r="G1838" s="4">
        <v>3.1</v>
      </c>
      <c r="H1838" s="10">
        <v>2917</v>
      </c>
      <c r="I1838" s="11">
        <f t="shared" si="56"/>
        <v>233.11621528968118</v>
      </c>
      <c r="J1838" s="3" t="str">
        <f t="shared" si="57"/>
        <v>Medium</v>
      </c>
    </row>
    <row r="1839" spans="1:10">
      <c r="A1839" s="7" t="s">
        <v>1901</v>
      </c>
      <c r="B1839" s="7" t="s">
        <v>18</v>
      </c>
      <c r="C1839" s="7" t="s">
        <v>12</v>
      </c>
      <c r="D1839" s="22">
        <v>680000</v>
      </c>
      <c r="E1839" s="7">
        <v>120</v>
      </c>
      <c r="F1839" s="7">
        <v>4</v>
      </c>
      <c r="G1839" s="7">
        <v>2.1</v>
      </c>
      <c r="H1839" s="12">
        <v>2760</v>
      </c>
      <c r="I1839" s="9">
        <f t="shared" si="56"/>
        <v>246.37681159420291</v>
      </c>
      <c r="J1839" s="3" t="str">
        <f t="shared" si="57"/>
        <v>Medium</v>
      </c>
    </row>
    <row r="1840" spans="1:10">
      <c r="A1840" s="4" t="s">
        <v>1902</v>
      </c>
      <c r="B1840" s="4" t="s">
        <v>212</v>
      </c>
      <c r="C1840" s="4" t="s">
        <v>12</v>
      </c>
      <c r="D1840" s="21">
        <v>680000</v>
      </c>
      <c r="E1840" s="4">
        <v>4</v>
      </c>
      <c r="F1840" s="4">
        <v>4</v>
      </c>
      <c r="G1840" s="4">
        <v>3.1</v>
      </c>
      <c r="H1840" s="10">
        <v>2917</v>
      </c>
      <c r="I1840" s="11">
        <f t="shared" si="56"/>
        <v>233.11621528968118</v>
      </c>
      <c r="J1840" s="3" t="str">
        <f t="shared" si="57"/>
        <v>Medium</v>
      </c>
    </row>
    <row r="1841" spans="1:10">
      <c r="A1841" s="7" t="s">
        <v>1903</v>
      </c>
      <c r="B1841" s="7" t="s">
        <v>212</v>
      </c>
      <c r="C1841" s="7" t="s">
        <v>12</v>
      </c>
      <c r="D1841" s="22">
        <v>680000</v>
      </c>
      <c r="E1841" s="7">
        <v>316</v>
      </c>
      <c r="F1841" s="7">
        <v>4</v>
      </c>
      <c r="G1841" s="7">
        <v>3.1</v>
      </c>
      <c r="H1841" s="12">
        <v>3000</v>
      </c>
      <c r="I1841" s="9">
        <f t="shared" si="56"/>
        <v>226.66666666666666</v>
      </c>
      <c r="J1841" s="3" t="str">
        <f t="shared" si="57"/>
        <v>Medium</v>
      </c>
    </row>
    <row r="1842" spans="1:10">
      <c r="A1842" s="4" t="s">
        <v>1904</v>
      </c>
      <c r="B1842" s="4" t="s">
        <v>80</v>
      </c>
      <c r="C1842" s="4" t="s">
        <v>12</v>
      </c>
      <c r="D1842" s="21">
        <v>685000</v>
      </c>
      <c r="E1842" s="4">
        <v>2</v>
      </c>
      <c r="F1842" s="4">
        <v>4</v>
      </c>
      <c r="G1842" s="4">
        <v>3.1</v>
      </c>
      <c r="H1842" s="10">
        <v>2725</v>
      </c>
      <c r="I1842" s="11">
        <f t="shared" si="56"/>
        <v>251.37614678899084</v>
      </c>
      <c r="J1842" s="3" t="str">
        <f t="shared" si="57"/>
        <v>Medium</v>
      </c>
    </row>
    <row r="1843" spans="1:10">
      <c r="A1843" s="7" t="s">
        <v>1905</v>
      </c>
      <c r="B1843" s="7" t="s">
        <v>212</v>
      </c>
      <c r="C1843" s="7" t="s">
        <v>12</v>
      </c>
      <c r="D1843" s="22">
        <v>685000</v>
      </c>
      <c r="E1843" s="7">
        <v>19</v>
      </c>
      <c r="F1843" s="7">
        <v>5</v>
      </c>
      <c r="G1843" s="7">
        <v>4.0999999999999996</v>
      </c>
      <c r="H1843" s="12">
        <v>2910</v>
      </c>
      <c r="I1843" s="9">
        <f t="shared" si="56"/>
        <v>235.39518900343643</v>
      </c>
      <c r="J1843" s="3" t="str">
        <f t="shared" si="57"/>
        <v>Medium</v>
      </c>
    </row>
    <row r="1844" spans="1:10">
      <c r="A1844" s="4" t="s">
        <v>1906</v>
      </c>
      <c r="B1844" s="4" t="s">
        <v>679</v>
      </c>
      <c r="C1844" s="4" t="s">
        <v>12</v>
      </c>
      <c r="D1844" s="21">
        <v>690000</v>
      </c>
      <c r="E1844" s="4">
        <v>0</v>
      </c>
      <c r="F1844" s="4">
        <v>4</v>
      </c>
      <c r="G1844" s="4">
        <v>3.1</v>
      </c>
      <c r="H1844" s="10">
        <v>2390</v>
      </c>
      <c r="I1844" s="11">
        <f t="shared" si="56"/>
        <v>288.70292887029291</v>
      </c>
      <c r="J1844" s="3" t="str">
        <f t="shared" si="57"/>
        <v>Medium</v>
      </c>
    </row>
    <row r="1845" spans="1:10">
      <c r="A1845" s="7" t="s">
        <v>1907</v>
      </c>
      <c r="B1845" s="7" t="s">
        <v>131</v>
      </c>
      <c r="C1845" s="7" t="s">
        <v>12</v>
      </c>
      <c r="D1845" s="22">
        <v>690000</v>
      </c>
      <c r="E1845" s="7">
        <v>147</v>
      </c>
      <c r="F1845" s="7">
        <v>5</v>
      </c>
      <c r="G1845" s="7">
        <v>3.1</v>
      </c>
      <c r="H1845" s="12">
        <v>2757</v>
      </c>
      <c r="I1845" s="9">
        <f t="shared" si="56"/>
        <v>250.27203482045701</v>
      </c>
      <c r="J1845" s="3" t="str">
        <f t="shared" si="57"/>
        <v>Medium</v>
      </c>
    </row>
    <row r="1846" spans="1:10">
      <c r="A1846" s="4" t="s">
        <v>1908</v>
      </c>
      <c r="B1846" s="4" t="s">
        <v>212</v>
      </c>
      <c r="C1846" s="4" t="s">
        <v>12</v>
      </c>
      <c r="D1846" s="21">
        <v>690000</v>
      </c>
      <c r="E1846" s="4">
        <v>183</v>
      </c>
      <c r="F1846" s="4">
        <v>4</v>
      </c>
      <c r="G1846" s="4">
        <v>3</v>
      </c>
      <c r="H1846" s="10">
        <v>2411</v>
      </c>
      <c r="I1846" s="11">
        <f t="shared" si="56"/>
        <v>286.18830360846124</v>
      </c>
      <c r="J1846" s="3" t="str">
        <f t="shared" si="57"/>
        <v>Medium</v>
      </c>
    </row>
    <row r="1847" spans="1:10">
      <c r="A1847" s="7" t="s">
        <v>1909</v>
      </c>
      <c r="B1847" s="7" t="s">
        <v>80</v>
      </c>
      <c r="C1847" s="7" t="s">
        <v>12</v>
      </c>
      <c r="D1847" s="22">
        <v>690000</v>
      </c>
      <c r="E1847" s="7">
        <v>230</v>
      </c>
      <c r="F1847" s="7">
        <v>5</v>
      </c>
      <c r="G1847" s="7">
        <v>3</v>
      </c>
      <c r="H1847" s="12">
        <v>3175</v>
      </c>
      <c r="I1847" s="9">
        <f t="shared" si="56"/>
        <v>217.3228346456693</v>
      </c>
      <c r="J1847" s="3" t="str">
        <f t="shared" si="57"/>
        <v>Medium</v>
      </c>
    </row>
    <row r="1848" spans="1:10">
      <c r="A1848" s="4" t="s">
        <v>1910</v>
      </c>
      <c r="B1848" s="4" t="s">
        <v>1802</v>
      </c>
      <c r="C1848" s="4" t="s">
        <v>12</v>
      </c>
      <c r="D1848" s="21">
        <v>691500</v>
      </c>
      <c r="E1848" s="4">
        <v>27</v>
      </c>
      <c r="F1848" s="4">
        <v>4</v>
      </c>
      <c r="G1848" s="4">
        <v>2.1</v>
      </c>
      <c r="H1848" s="10">
        <v>2863</v>
      </c>
      <c r="I1848" s="11">
        <f t="shared" si="56"/>
        <v>241.52986377925254</v>
      </c>
      <c r="J1848" s="3" t="str">
        <f t="shared" si="57"/>
        <v>Medium</v>
      </c>
    </row>
    <row r="1849" spans="1:10">
      <c r="A1849" s="7" t="s">
        <v>1911</v>
      </c>
      <c r="B1849" s="7" t="s">
        <v>679</v>
      </c>
      <c r="C1849" s="7" t="s">
        <v>12</v>
      </c>
      <c r="D1849" s="22">
        <v>695000</v>
      </c>
      <c r="E1849" s="7">
        <v>7</v>
      </c>
      <c r="F1849" s="7">
        <v>4</v>
      </c>
      <c r="G1849" s="7">
        <v>3.1</v>
      </c>
      <c r="H1849" s="12">
        <v>2311</v>
      </c>
      <c r="I1849" s="9">
        <f t="shared" si="56"/>
        <v>300.73561228905237</v>
      </c>
      <c r="J1849" s="3" t="str">
        <f t="shared" si="57"/>
        <v>High</v>
      </c>
    </row>
    <row r="1850" spans="1:10">
      <c r="A1850" s="4" t="s">
        <v>1912</v>
      </c>
      <c r="B1850" s="4" t="s">
        <v>131</v>
      </c>
      <c r="C1850" s="4" t="s">
        <v>12</v>
      </c>
      <c r="D1850" s="21">
        <v>695000</v>
      </c>
      <c r="E1850" s="4">
        <v>14</v>
      </c>
      <c r="F1850" s="4">
        <v>3</v>
      </c>
      <c r="G1850" s="4">
        <v>3.1</v>
      </c>
      <c r="H1850" s="10">
        <v>2350</v>
      </c>
      <c r="I1850" s="11">
        <f t="shared" si="56"/>
        <v>295.74468085106383</v>
      </c>
      <c r="J1850" s="3" t="str">
        <f t="shared" si="57"/>
        <v>Medium</v>
      </c>
    </row>
    <row r="1851" spans="1:10">
      <c r="A1851" s="7" t="s">
        <v>1913</v>
      </c>
      <c r="B1851" s="7" t="s">
        <v>80</v>
      </c>
      <c r="C1851" s="7" t="s">
        <v>12</v>
      </c>
      <c r="D1851" s="22">
        <v>695000</v>
      </c>
      <c r="E1851" s="7">
        <v>185</v>
      </c>
      <c r="F1851" s="7">
        <v>4</v>
      </c>
      <c r="G1851" s="7">
        <v>3.1</v>
      </c>
      <c r="H1851" s="12">
        <v>3233</v>
      </c>
      <c r="I1851" s="9">
        <f t="shared" si="56"/>
        <v>214.97061552737395</v>
      </c>
      <c r="J1851" s="3" t="str">
        <f t="shared" si="57"/>
        <v>Medium</v>
      </c>
    </row>
    <row r="1852" spans="1:10">
      <c r="A1852" s="4" t="s">
        <v>1914</v>
      </c>
      <c r="B1852" s="4" t="s">
        <v>960</v>
      </c>
      <c r="C1852" s="4" t="s">
        <v>12</v>
      </c>
      <c r="D1852" s="21">
        <v>700000</v>
      </c>
      <c r="E1852" s="4">
        <v>1</v>
      </c>
      <c r="F1852" s="4">
        <v>4</v>
      </c>
      <c r="G1852" s="4">
        <v>2.1</v>
      </c>
      <c r="H1852" s="10">
        <v>2980</v>
      </c>
      <c r="I1852" s="11">
        <f t="shared" si="56"/>
        <v>234.8993288590604</v>
      </c>
      <c r="J1852" s="3" t="str">
        <f t="shared" si="57"/>
        <v>Medium</v>
      </c>
    </row>
    <row r="1853" spans="1:10">
      <c r="A1853" s="7" t="s">
        <v>1915</v>
      </c>
      <c r="B1853" s="7" t="s">
        <v>960</v>
      </c>
      <c r="C1853" s="7" t="s">
        <v>12</v>
      </c>
      <c r="D1853" s="22">
        <v>700000</v>
      </c>
      <c r="E1853" s="7">
        <v>0</v>
      </c>
      <c r="F1853" s="7">
        <v>4</v>
      </c>
      <c r="G1853" s="7">
        <v>3.2</v>
      </c>
      <c r="H1853" s="12">
        <v>3257</v>
      </c>
      <c r="I1853" s="9">
        <f t="shared" si="56"/>
        <v>214.92170709241634</v>
      </c>
      <c r="J1853" s="3" t="str">
        <f t="shared" si="57"/>
        <v>Medium</v>
      </c>
    </row>
    <row r="1854" spans="1:10">
      <c r="A1854" s="4" t="s">
        <v>1916</v>
      </c>
      <c r="B1854" s="4" t="s">
        <v>16</v>
      </c>
      <c r="C1854" s="4" t="s">
        <v>12</v>
      </c>
      <c r="D1854" s="21">
        <v>700000</v>
      </c>
      <c r="E1854" s="4">
        <v>7</v>
      </c>
      <c r="F1854" s="4">
        <v>5</v>
      </c>
      <c r="G1854" s="4">
        <v>3.1</v>
      </c>
      <c r="H1854" s="10">
        <v>3479</v>
      </c>
      <c r="I1854" s="11">
        <f t="shared" si="56"/>
        <v>201.2072434607646</v>
      </c>
      <c r="J1854" s="3" t="str">
        <f t="shared" si="57"/>
        <v>Medium</v>
      </c>
    </row>
    <row r="1855" spans="1:10">
      <c r="A1855" s="7" t="s">
        <v>1917</v>
      </c>
      <c r="B1855" s="7" t="s">
        <v>131</v>
      </c>
      <c r="C1855" s="7" t="s">
        <v>12</v>
      </c>
      <c r="D1855" s="22">
        <v>700000</v>
      </c>
      <c r="E1855" s="7">
        <v>10</v>
      </c>
      <c r="F1855" s="7">
        <v>4</v>
      </c>
      <c r="G1855" s="7">
        <v>2.1</v>
      </c>
      <c r="H1855" s="12">
        <v>2497</v>
      </c>
      <c r="I1855" s="9">
        <f t="shared" si="56"/>
        <v>280.33640368442133</v>
      </c>
      <c r="J1855" s="3" t="str">
        <f t="shared" si="57"/>
        <v>Medium</v>
      </c>
    </row>
    <row r="1856" spans="1:10">
      <c r="A1856" s="4" t="s">
        <v>1918</v>
      </c>
      <c r="B1856" s="4" t="s">
        <v>960</v>
      </c>
      <c r="C1856" s="4" t="s">
        <v>12</v>
      </c>
      <c r="D1856" s="21">
        <v>702500</v>
      </c>
      <c r="E1856" s="4">
        <v>5</v>
      </c>
      <c r="F1856" s="4">
        <v>4</v>
      </c>
      <c r="G1856" s="4">
        <v>2.1</v>
      </c>
      <c r="H1856" s="10">
        <v>2677</v>
      </c>
      <c r="I1856" s="11">
        <f t="shared" si="56"/>
        <v>262.42062009712367</v>
      </c>
      <c r="J1856" s="3" t="str">
        <f t="shared" si="57"/>
        <v>Medium</v>
      </c>
    </row>
    <row r="1857" spans="1:10">
      <c r="A1857" s="7" t="s">
        <v>1919</v>
      </c>
      <c r="B1857" s="7" t="s">
        <v>1344</v>
      </c>
      <c r="C1857" s="7" t="s">
        <v>12</v>
      </c>
      <c r="D1857" s="22">
        <v>705000</v>
      </c>
      <c r="E1857" s="7">
        <v>12</v>
      </c>
      <c r="F1857" s="7">
        <v>4</v>
      </c>
      <c r="G1857" s="7">
        <v>2.1</v>
      </c>
      <c r="H1857" s="12">
        <v>2726</v>
      </c>
      <c r="I1857" s="9">
        <f t="shared" si="56"/>
        <v>258.62068965517244</v>
      </c>
      <c r="J1857" s="3" t="str">
        <f t="shared" si="57"/>
        <v>Medium</v>
      </c>
    </row>
    <row r="1858" spans="1:10">
      <c r="A1858" s="4" t="s">
        <v>1920</v>
      </c>
      <c r="B1858" s="4" t="s">
        <v>77</v>
      </c>
      <c r="C1858" s="4" t="s">
        <v>12</v>
      </c>
      <c r="D1858" s="21">
        <v>705000</v>
      </c>
      <c r="E1858" s="4">
        <v>6</v>
      </c>
      <c r="F1858" s="4">
        <v>5</v>
      </c>
      <c r="G1858" s="4">
        <v>3.1</v>
      </c>
      <c r="H1858" s="10">
        <v>2866</v>
      </c>
      <c r="I1858" s="11">
        <f t="shared" ref="I1858:I1921" si="58">D1858/H1858</f>
        <v>245.98743893928821</v>
      </c>
      <c r="J1858" s="3" t="str">
        <f t="shared" ref="J1858:J1921" si="59">IF(I1858 &gt; 300, "High", IF(AND(I1858 &lt;= 300, I1858 &gt; 200), "Medium", "Low"))</f>
        <v>Medium</v>
      </c>
    </row>
    <row r="1859" spans="1:10">
      <c r="A1859" s="7" t="s">
        <v>1921</v>
      </c>
      <c r="B1859" s="7" t="s">
        <v>80</v>
      </c>
      <c r="C1859" s="7" t="s">
        <v>12</v>
      </c>
      <c r="D1859" s="22">
        <v>709990</v>
      </c>
      <c r="E1859" s="7">
        <v>381</v>
      </c>
      <c r="F1859" s="7">
        <v>5</v>
      </c>
      <c r="G1859" s="7">
        <v>3</v>
      </c>
      <c r="H1859" s="12">
        <v>3175</v>
      </c>
      <c r="I1859" s="9">
        <f t="shared" si="58"/>
        <v>223.61889763779527</v>
      </c>
      <c r="J1859" s="3" t="str">
        <f t="shared" si="59"/>
        <v>Medium</v>
      </c>
    </row>
    <row r="1860" spans="1:10">
      <c r="A1860" s="4" t="s">
        <v>1922</v>
      </c>
      <c r="B1860" s="4" t="s">
        <v>16</v>
      </c>
      <c r="C1860" s="4" t="s">
        <v>12</v>
      </c>
      <c r="D1860" s="21">
        <v>710000</v>
      </c>
      <c r="E1860" s="4">
        <v>3</v>
      </c>
      <c r="F1860" s="4">
        <v>4</v>
      </c>
      <c r="G1860" s="4">
        <v>3.1</v>
      </c>
      <c r="H1860" s="10">
        <v>3234</v>
      </c>
      <c r="I1860" s="11">
        <f t="shared" si="58"/>
        <v>219.54236239950527</v>
      </c>
      <c r="J1860" s="3" t="str">
        <f t="shared" si="59"/>
        <v>Medium</v>
      </c>
    </row>
    <row r="1861" spans="1:10">
      <c r="A1861" s="7" t="s">
        <v>1923</v>
      </c>
      <c r="B1861" s="7" t="s">
        <v>18</v>
      </c>
      <c r="C1861" s="7" t="s">
        <v>12</v>
      </c>
      <c r="D1861" s="22">
        <v>710000</v>
      </c>
      <c r="E1861" s="7">
        <v>10</v>
      </c>
      <c r="F1861" s="7">
        <v>4</v>
      </c>
      <c r="G1861" s="7">
        <v>3.2</v>
      </c>
      <c r="H1861" s="12">
        <v>3648</v>
      </c>
      <c r="I1861" s="9">
        <f t="shared" si="58"/>
        <v>194.62719298245614</v>
      </c>
      <c r="J1861" s="3" t="str">
        <f t="shared" si="59"/>
        <v>Low</v>
      </c>
    </row>
    <row r="1862" spans="1:10">
      <c r="A1862" s="4" t="s">
        <v>1924</v>
      </c>
      <c r="B1862" s="4" t="s">
        <v>268</v>
      </c>
      <c r="C1862" s="4" t="s">
        <v>12</v>
      </c>
      <c r="D1862" s="21">
        <v>710000</v>
      </c>
      <c r="E1862" s="4">
        <v>3</v>
      </c>
      <c r="F1862" s="4">
        <v>4</v>
      </c>
      <c r="G1862" s="4">
        <v>3.1</v>
      </c>
      <c r="H1862" s="10">
        <v>3710</v>
      </c>
      <c r="I1862" s="11">
        <f t="shared" si="58"/>
        <v>191.37466307277629</v>
      </c>
      <c r="J1862" s="3" t="str">
        <f t="shared" si="59"/>
        <v>Low</v>
      </c>
    </row>
    <row r="1863" spans="1:10">
      <c r="A1863" s="7" t="s">
        <v>1925</v>
      </c>
      <c r="B1863" s="7" t="s">
        <v>318</v>
      </c>
      <c r="C1863" s="7" t="s">
        <v>12</v>
      </c>
      <c r="D1863" s="22">
        <v>710000</v>
      </c>
      <c r="E1863" s="7">
        <v>59</v>
      </c>
      <c r="F1863" s="7">
        <v>4</v>
      </c>
      <c r="G1863" s="7">
        <v>3.1</v>
      </c>
      <c r="H1863" s="12">
        <v>2986</v>
      </c>
      <c r="I1863" s="9">
        <f t="shared" si="58"/>
        <v>237.7762893503014</v>
      </c>
      <c r="J1863" s="3" t="str">
        <f t="shared" si="59"/>
        <v>Medium</v>
      </c>
    </row>
    <row r="1864" spans="1:10">
      <c r="A1864" s="4" t="s">
        <v>1926</v>
      </c>
      <c r="B1864" s="4" t="s">
        <v>1425</v>
      </c>
      <c r="C1864" s="4" t="s">
        <v>12</v>
      </c>
      <c r="D1864" s="21">
        <v>712000</v>
      </c>
      <c r="E1864" s="4">
        <v>191</v>
      </c>
      <c r="F1864" s="4">
        <v>4</v>
      </c>
      <c r="G1864" s="4">
        <v>3.1</v>
      </c>
      <c r="H1864" s="10">
        <v>3850</v>
      </c>
      <c r="I1864" s="11">
        <f t="shared" si="58"/>
        <v>184.93506493506493</v>
      </c>
      <c r="J1864" s="3" t="str">
        <f t="shared" si="59"/>
        <v>Low</v>
      </c>
    </row>
    <row r="1865" spans="1:10">
      <c r="A1865" s="7" t="s">
        <v>1927</v>
      </c>
      <c r="B1865" s="7" t="s">
        <v>1139</v>
      </c>
      <c r="C1865" s="7" t="s">
        <v>12</v>
      </c>
      <c r="D1865" s="22">
        <v>713000</v>
      </c>
      <c r="E1865" s="7">
        <v>2</v>
      </c>
      <c r="F1865" s="7">
        <v>3</v>
      </c>
      <c r="G1865" s="7">
        <v>3.1</v>
      </c>
      <c r="H1865" s="12">
        <v>2100</v>
      </c>
      <c r="I1865" s="9">
        <f t="shared" si="58"/>
        <v>339.52380952380952</v>
      </c>
      <c r="J1865" s="3" t="str">
        <f t="shared" si="59"/>
        <v>High</v>
      </c>
    </row>
    <row r="1866" spans="1:10">
      <c r="A1866" s="4" t="s">
        <v>1928</v>
      </c>
      <c r="B1866" s="4" t="s">
        <v>18</v>
      </c>
      <c r="C1866" s="4" t="s">
        <v>12</v>
      </c>
      <c r="D1866" s="21">
        <v>715000</v>
      </c>
      <c r="E1866" s="4">
        <v>11</v>
      </c>
      <c r="F1866" s="4">
        <v>4</v>
      </c>
      <c r="G1866" s="4">
        <v>3.1</v>
      </c>
      <c r="H1866" s="10">
        <v>2673</v>
      </c>
      <c r="I1866" s="11">
        <f t="shared" si="58"/>
        <v>267.48971193415639</v>
      </c>
      <c r="J1866" s="3" t="str">
        <f t="shared" si="59"/>
        <v>Medium</v>
      </c>
    </row>
    <row r="1867" spans="1:10">
      <c r="A1867" s="7" t="s">
        <v>1929</v>
      </c>
      <c r="B1867" s="7" t="s">
        <v>318</v>
      </c>
      <c r="C1867" s="7" t="s">
        <v>12</v>
      </c>
      <c r="D1867" s="22">
        <v>715000</v>
      </c>
      <c r="E1867" s="7">
        <v>8</v>
      </c>
      <c r="F1867" s="7">
        <v>4</v>
      </c>
      <c r="G1867" s="7">
        <v>3.1</v>
      </c>
      <c r="H1867" s="12">
        <v>3362</v>
      </c>
      <c r="I1867" s="9">
        <f t="shared" si="58"/>
        <v>212.67102914931587</v>
      </c>
      <c r="J1867" s="3" t="str">
        <f t="shared" si="59"/>
        <v>Medium</v>
      </c>
    </row>
    <row r="1868" spans="1:10">
      <c r="A1868" s="4" t="s">
        <v>1930</v>
      </c>
      <c r="B1868" s="4" t="s">
        <v>960</v>
      </c>
      <c r="C1868" s="4" t="s">
        <v>12</v>
      </c>
      <c r="D1868" s="21">
        <v>715000</v>
      </c>
      <c r="E1868" s="4">
        <v>9</v>
      </c>
      <c r="F1868" s="4">
        <v>2</v>
      </c>
      <c r="G1868" s="4">
        <v>2.1</v>
      </c>
      <c r="H1868" s="10">
        <v>2284</v>
      </c>
      <c r="I1868" s="11">
        <f t="shared" si="58"/>
        <v>313.04728546409808</v>
      </c>
      <c r="J1868" s="3" t="str">
        <f t="shared" si="59"/>
        <v>High</v>
      </c>
    </row>
    <row r="1869" spans="1:10">
      <c r="A1869" s="7" t="s">
        <v>1931</v>
      </c>
      <c r="B1869" s="7" t="s">
        <v>318</v>
      </c>
      <c r="C1869" s="7" t="s">
        <v>12</v>
      </c>
      <c r="D1869" s="22">
        <v>715000</v>
      </c>
      <c r="E1869" s="7">
        <v>71</v>
      </c>
      <c r="F1869" s="7">
        <v>4</v>
      </c>
      <c r="G1869" s="7">
        <v>2.2000000000000002</v>
      </c>
      <c r="H1869" s="12">
        <v>3644</v>
      </c>
      <c r="I1869" s="9">
        <f t="shared" si="58"/>
        <v>196.21295279912184</v>
      </c>
      <c r="J1869" s="3" t="str">
        <f t="shared" si="59"/>
        <v>Low</v>
      </c>
    </row>
    <row r="1870" spans="1:10">
      <c r="A1870" s="4" t="s">
        <v>1932</v>
      </c>
      <c r="B1870" s="4" t="s">
        <v>381</v>
      </c>
      <c r="C1870" s="4" t="s">
        <v>12</v>
      </c>
      <c r="D1870" s="21">
        <v>718000</v>
      </c>
      <c r="E1870" s="4">
        <v>222</v>
      </c>
      <c r="F1870" s="4">
        <v>5</v>
      </c>
      <c r="G1870" s="4">
        <v>4</v>
      </c>
      <c r="H1870" s="10">
        <v>3572</v>
      </c>
      <c r="I1870" s="11">
        <f t="shared" si="58"/>
        <v>201.00783874580068</v>
      </c>
      <c r="J1870" s="3" t="str">
        <f t="shared" si="59"/>
        <v>Medium</v>
      </c>
    </row>
    <row r="1871" spans="1:10">
      <c r="A1871" s="7" t="s">
        <v>1933</v>
      </c>
      <c r="B1871" s="7" t="s">
        <v>80</v>
      </c>
      <c r="C1871" s="7" t="s">
        <v>12</v>
      </c>
      <c r="D1871" s="22">
        <v>721000</v>
      </c>
      <c r="E1871" s="7">
        <v>21</v>
      </c>
      <c r="F1871" s="7">
        <v>3</v>
      </c>
      <c r="G1871" s="7">
        <v>2.1</v>
      </c>
      <c r="H1871" s="12">
        <v>3100</v>
      </c>
      <c r="I1871" s="9">
        <f t="shared" si="58"/>
        <v>232.58064516129033</v>
      </c>
      <c r="J1871" s="3" t="str">
        <f t="shared" si="59"/>
        <v>Medium</v>
      </c>
    </row>
    <row r="1872" spans="1:10">
      <c r="A1872" s="4" t="s">
        <v>1934</v>
      </c>
      <c r="B1872" s="4" t="s">
        <v>268</v>
      </c>
      <c r="C1872" s="4" t="s">
        <v>12</v>
      </c>
      <c r="D1872" s="21">
        <v>722000</v>
      </c>
      <c r="E1872" s="4">
        <v>9</v>
      </c>
      <c r="F1872" s="4">
        <v>4</v>
      </c>
      <c r="G1872" s="4">
        <v>2.2000000000000002</v>
      </c>
      <c r="H1872" s="10">
        <v>3364</v>
      </c>
      <c r="I1872" s="11">
        <f t="shared" si="58"/>
        <v>214.62544589774078</v>
      </c>
      <c r="J1872" s="3" t="str">
        <f t="shared" si="59"/>
        <v>Medium</v>
      </c>
    </row>
    <row r="1873" spans="1:10">
      <c r="A1873" s="7" t="s">
        <v>1935</v>
      </c>
      <c r="B1873" s="7" t="s">
        <v>131</v>
      </c>
      <c r="C1873" s="7" t="s">
        <v>12</v>
      </c>
      <c r="D1873" s="22">
        <v>724900</v>
      </c>
      <c r="E1873" s="7">
        <v>78</v>
      </c>
      <c r="F1873" s="7">
        <v>4</v>
      </c>
      <c r="G1873" s="7">
        <v>2.2000000000000002</v>
      </c>
      <c r="H1873" s="12">
        <v>2500</v>
      </c>
      <c r="I1873" s="9">
        <f t="shared" si="58"/>
        <v>289.95999999999998</v>
      </c>
      <c r="J1873" s="3" t="str">
        <f t="shared" si="59"/>
        <v>Medium</v>
      </c>
    </row>
    <row r="1874" spans="1:10">
      <c r="A1874" s="4" t="s">
        <v>1936</v>
      </c>
      <c r="B1874" s="4" t="s">
        <v>544</v>
      </c>
      <c r="C1874" s="4" t="s">
        <v>12</v>
      </c>
      <c r="D1874" s="21">
        <v>725000</v>
      </c>
      <c r="E1874" s="4">
        <v>5</v>
      </c>
      <c r="F1874" s="4">
        <v>5</v>
      </c>
      <c r="G1874" s="4">
        <v>3</v>
      </c>
      <c r="H1874" s="10">
        <v>3641</v>
      </c>
      <c r="I1874" s="11">
        <f t="shared" si="58"/>
        <v>199.12112057127163</v>
      </c>
      <c r="J1874" s="3" t="str">
        <f t="shared" si="59"/>
        <v>Low</v>
      </c>
    </row>
    <row r="1875" spans="1:10">
      <c r="A1875" s="7" t="s">
        <v>1937</v>
      </c>
      <c r="B1875" s="7" t="s">
        <v>400</v>
      </c>
      <c r="C1875" s="7" t="s">
        <v>12</v>
      </c>
      <c r="D1875" s="22">
        <v>725000</v>
      </c>
      <c r="E1875" s="7">
        <v>18</v>
      </c>
      <c r="F1875" s="7">
        <v>4</v>
      </c>
      <c r="G1875" s="7">
        <v>3.2</v>
      </c>
      <c r="H1875" s="12">
        <v>3350</v>
      </c>
      <c r="I1875" s="9">
        <f t="shared" si="58"/>
        <v>216.41791044776119</v>
      </c>
      <c r="J1875" s="3" t="str">
        <f t="shared" si="59"/>
        <v>Medium</v>
      </c>
    </row>
    <row r="1876" spans="1:10">
      <c r="A1876" s="4" t="s">
        <v>1938</v>
      </c>
      <c r="B1876" s="4" t="s">
        <v>679</v>
      </c>
      <c r="C1876" s="4" t="s">
        <v>12</v>
      </c>
      <c r="D1876" s="21">
        <v>725000</v>
      </c>
      <c r="E1876" s="4">
        <v>5</v>
      </c>
      <c r="F1876" s="4">
        <v>4</v>
      </c>
      <c r="G1876" s="4">
        <v>2.1</v>
      </c>
      <c r="H1876" s="10">
        <v>2393</v>
      </c>
      <c r="I1876" s="11">
        <f t="shared" si="58"/>
        <v>302.9669870455495</v>
      </c>
      <c r="J1876" s="3" t="str">
        <f t="shared" si="59"/>
        <v>High</v>
      </c>
    </row>
    <row r="1877" spans="1:10">
      <c r="A1877" s="7" t="s">
        <v>1939</v>
      </c>
      <c r="B1877" s="7" t="s">
        <v>960</v>
      </c>
      <c r="C1877" s="7" t="s">
        <v>12</v>
      </c>
      <c r="D1877" s="22">
        <v>725000</v>
      </c>
      <c r="E1877" s="7">
        <v>4</v>
      </c>
      <c r="F1877" s="7">
        <v>4</v>
      </c>
      <c r="G1877" s="7">
        <v>3.1</v>
      </c>
      <c r="H1877" s="12">
        <v>2045</v>
      </c>
      <c r="I1877" s="9">
        <f t="shared" si="58"/>
        <v>354.52322738386306</v>
      </c>
      <c r="J1877" s="3" t="str">
        <f t="shared" si="59"/>
        <v>High</v>
      </c>
    </row>
    <row r="1878" spans="1:10">
      <c r="A1878" s="4" t="s">
        <v>1940</v>
      </c>
      <c r="B1878" s="4" t="s">
        <v>212</v>
      </c>
      <c r="C1878" s="4" t="s">
        <v>12</v>
      </c>
      <c r="D1878" s="21">
        <v>725000</v>
      </c>
      <c r="E1878" s="4">
        <v>19</v>
      </c>
      <c r="F1878" s="4">
        <v>4</v>
      </c>
      <c r="G1878" s="4">
        <v>3.1</v>
      </c>
      <c r="H1878" s="10">
        <v>2994</v>
      </c>
      <c r="I1878" s="11">
        <f t="shared" si="58"/>
        <v>242.15096860387442</v>
      </c>
      <c r="J1878" s="3" t="str">
        <f t="shared" si="59"/>
        <v>Medium</v>
      </c>
    </row>
    <row r="1879" spans="1:10">
      <c r="A1879" s="7" t="s">
        <v>1941</v>
      </c>
      <c r="B1879" s="7" t="s">
        <v>400</v>
      </c>
      <c r="C1879" s="7" t="s">
        <v>12</v>
      </c>
      <c r="D1879" s="22">
        <v>725000</v>
      </c>
      <c r="E1879" s="7">
        <v>20</v>
      </c>
      <c r="F1879" s="7">
        <v>4</v>
      </c>
      <c r="G1879" s="7">
        <v>2.1</v>
      </c>
      <c r="H1879" s="12">
        <v>3741</v>
      </c>
      <c r="I1879" s="9">
        <f t="shared" si="58"/>
        <v>193.79844961240309</v>
      </c>
      <c r="J1879" s="3" t="str">
        <f t="shared" si="59"/>
        <v>Low</v>
      </c>
    </row>
    <row r="1880" spans="1:10">
      <c r="A1880" s="4" t="s">
        <v>1942</v>
      </c>
      <c r="B1880" s="4" t="s">
        <v>960</v>
      </c>
      <c r="C1880" s="4" t="s">
        <v>12</v>
      </c>
      <c r="D1880" s="21">
        <v>725000</v>
      </c>
      <c r="E1880" s="4">
        <v>18</v>
      </c>
      <c r="F1880" s="4">
        <v>4</v>
      </c>
      <c r="G1880" s="4">
        <v>2.1</v>
      </c>
      <c r="H1880" s="10">
        <v>2756</v>
      </c>
      <c r="I1880" s="11">
        <f t="shared" si="58"/>
        <v>263.06240928882437</v>
      </c>
      <c r="J1880" s="3" t="str">
        <f t="shared" si="59"/>
        <v>Medium</v>
      </c>
    </row>
    <row r="1881" spans="1:10">
      <c r="A1881" s="7" t="s">
        <v>1943</v>
      </c>
      <c r="B1881" s="7" t="s">
        <v>268</v>
      </c>
      <c r="C1881" s="7" t="s">
        <v>12</v>
      </c>
      <c r="D1881" s="22">
        <v>725000</v>
      </c>
      <c r="E1881" s="7">
        <v>110</v>
      </c>
      <c r="F1881" s="7">
        <v>5</v>
      </c>
      <c r="G1881" s="7">
        <v>3.3</v>
      </c>
      <c r="H1881" s="12">
        <v>3739</v>
      </c>
      <c r="I1881" s="9">
        <f t="shared" si="58"/>
        <v>193.90211286440226</v>
      </c>
      <c r="J1881" s="3" t="str">
        <f t="shared" si="59"/>
        <v>Low</v>
      </c>
    </row>
    <row r="1882" spans="1:10">
      <c r="A1882" s="4" t="s">
        <v>1944</v>
      </c>
      <c r="B1882" s="4" t="s">
        <v>80</v>
      </c>
      <c r="C1882" s="4" t="s">
        <v>12</v>
      </c>
      <c r="D1882" s="21">
        <v>730000</v>
      </c>
      <c r="E1882" s="4">
        <v>3</v>
      </c>
      <c r="F1882" s="4">
        <v>4</v>
      </c>
      <c r="G1882" s="4">
        <v>2.1</v>
      </c>
      <c r="H1882" s="10">
        <v>3278</v>
      </c>
      <c r="I1882" s="11">
        <f t="shared" si="58"/>
        <v>222.6967663209274</v>
      </c>
      <c r="J1882" s="3" t="str">
        <f t="shared" si="59"/>
        <v>Medium</v>
      </c>
    </row>
    <row r="1883" spans="1:10">
      <c r="A1883" s="7" t="s">
        <v>1945</v>
      </c>
      <c r="B1883" s="7" t="s">
        <v>1366</v>
      </c>
      <c r="C1883" s="7" t="s">
        <v>12</v>
      </c>
      <c r="D1883" s="22">
        <v>730000</v>
      </c>
      <c r="E1883" s="7">
        <v>2</v>
      </c>
      <c r="F1883" s="7">
        <v>4</v>
      </c>
      <c r="G1883" s="7">
        <v>2.1</v>
      </c>
      <c r="H1883" s="12">
        <v>3283</v>
      </c>
      <c r="I1883" s="9">
        <f t="shared" si="58"/>
        <v>222.35759975632044</v>
      </c>
      <c r="J1883" s="3" t="str">
        <f t="shared" si="59"/>
        <v>Medium</v>
      </c>
    </row>
    <row r="1884" spans="1:10">
      <c r="A1884" s="4" t="s">
        <v>1946</v>
      </c>
      <c r="B1884" s="4" t="s">
        <v>117</v>
      </c>
      <c r="C1884" s="4" t="s">
        <v>12</v>
      </c>
      <c r="D1884" s="21">
        <v>730000</v>
      </c>
      <c r="E1884" s="4">
        <v>3</v>
      </c>
      <c r="F1884" s="4">
        <v>3</v>
      </c>
      <c r="G1884" s="4">
        <v>2.1</v>
      </c>
      <c r="H1884" s="10">
        <v>2224</v>
      </c>
      <c r="I1884" s="11">
        <f t="shared" si="58"/>
        <v>328.23741007194246</v>
      </c>
      <c r="J1884" s="3" t="str">
        <f t="shared" si="59"/>
        <v>High</v>
      </c>
    </row>
    <row r="1885" spans="1:10">
      <c r="A1885" s="7" t="s">
        <v>1947</v>
      </c>
      <c r="B1885" s="7" t="s">
        <v>960</v>
      </c>
      <c r="C1885" s="7" t="s">
        <v>12</v>
      </c>
      <c r="D1885" s="22">
        <v>730000</v>
      </c>
      <c r="E1885" s="7">
        <v>53</v>
      </c>
      <c r="F1885" s="7">
        <v>5</v>
      </c>
      <c r="G1885" s="7">
        <v>2.2000000000000002</v>
      </c>
      <c r="H1885" s="12">
        <v>2618</v>
      </c>
      <c r="I1885" s="9">
        <f t="shared" si="58"/>
        <v>278.83880825057298</v>
      </c>
      <c r="J1885" s="3" t="str">
        <f t="shared" si="59"/>
        <v>Medium</v>
      </c>
    </row>
    <row r="1886" spans="1:10">
      <c r="A1886" s="4" t="s">
        <v>1948</v>
      </c>
      <c r="B1886" s="4" t="s">
        <v>268</v>
      </c>
      <c r="C1886" s="4" t="s">
        <v>12</v>
      </c>
      <c r="D1886" s="21">
        <v>732000</v>
      </c>
      <c r="E1886" s="4">
        <v>143</v>
      </c>
      <c r="F1886" s="4">
        <v>3</v>
      </c>
      <c r="G1886" s="4">
        <v>3.1</v>
      </c>
      <c r="H1886" s="10">
        <v>2507</v>
      </c>
      <c r="I1886" s="11">
        <f t="shared" si="58"/>
        <v>291.98244914240126</v>
      </c>
      <c r="J1886" s="3" t="str">
        <f t="shared" si="59"/>
        <v>Medium</v>
      </c>
    </row>
    <row r="1887" spans="1:10">
      <c r="A1887" s="7" t="s">
        <v>1949</v>
      </c>
      <c r="B1887" s="7" t="s">
        <v>400</v>
      </c>
      <c r="C1887" s="7" t="s">
        <v>12</v>
      </c>
      <c r="D1887" s="22">
        <v>735000</v>
      </c>
      <c r="E1887" s="7">
        <v>21</v>
      </c>
      <c r="F1887" s="7">
        <v>4</v>
      </c>
      <c r="G1887" s="7">
        <v>2.1</v>
      </c>
      <c r="H1887" s="12">
        <v>3262</v>
      </c>
      <c r="I1887" s="9">
        <f t="shared" si="58"/>
        <v>225.32188841201716</v>
      </c>
      <c r="J1887" s="3" t="str">
        <f t="shared" si="59"/>
        <v>Medium</v>
      </c>
    </row>
    <row r="1888" spans="1:10">
      <c r="A1888" s="4" t="s">
        <v>1950</v>
      </c>
      <c r="B1888" s="4" t="s">
        <v>817</v>
      </c>
      <c r="C1888" s="4" t="s">
        <v>12</v>
      </c>
      <c r="D1888" s="21">
        <v>735000</v>
      </c>
      <c r="E1888" s="4">
        <v>114</v>
      </c>
      <c r="F1888" s="4">
        <v>3</v>
      </c>
      <c r="G1888" s="4">
        <v>2.1</v>
      </c>
      <c r="H1888" s="10">
        <v>2166</v>
      </c>
      <c r="I1888" s="11">
        <f t="shared" si="58"/>
        <v>339.33518005540168</v>
      </c>
      <c r="J1888" s="3" t="str">
        <f t="shared" si="59"/>
        <v>High</v>
      </c>
    </row>
    <row r="1889" spans="1:10">
      <c r="A1889" s="7" t="s">
        <v>1951</v>
      </c>
      <c r="B1889" s="7" t="s">
        <v>318</v>
      </c>
      <c r="C1889" s="7" t="s">
        <v>12</v>
      </c>
      <c r="D1889" s="22">
        <v>736950</v>
      </c>
      <c r="E1889" s="7">
        <v>15</v>
      </c>
      <c r="F1889" s="7">
        <v>5</v>
      </c>
      <c r="G1889" s="7">
        <v>4.2</v>
      </c>
      <c r="H1889" s="12">
        <v>2839</v>
      </c>
      <c r="I1889" s="9">
        <f t="shared" si="58"/>
        <v>259.5808383233533</v>
      </c>
      <c r="J1889" s="3" t="str">
        <f t="shared" si="59"/>
        <v>Medium</v>
      </c>
    </row>
    <row r="1890" spans="1:10">
      <c r="A1890" s="4" t="s">
        <v>1952</v>
      </c>
      <c r="B1890" s="4" t="s">
        <v>1953</v>
      </c>
      <c r="C1890" s="4" t="s">
        <v>12</v>
      </c>
      <c r="D1890" s="21">
        <v>737000</v>
      </c>
      <c r="E1890" s="4">
        <v>4</v>
      </c>
      <c r="F1890" s="4">
        <v>3</v>
      </c>
      <c r="G1890" s="4">
        <v>3.1</v>
      </c>
      <c r="H1890" s="10">
        <v>2878</v>
      </c>
      <c r="I1890" s="11">
        <f t="shared" si="58"/>
        <v>256.08061153578876</v>
      </c>
      <c r="J1890" s="3" t="str">
        <f t="shared" si="59"/>
        <v>Medium</v>
      </c>
    </row>
    <row r="1891" spans="1:10">
      <c r="A1891" s="7" t="s">
        <v>1954</v>
      </c>
      <c r="B1891" s="7" t="s">
        <v>298</v>
      </c>
      <c r="C1891" s="7" t="s">
        <v>12</v>
      </c>
      <c r="D1891" s="22">
        <v>739900</v>
      </c>
      <c r="E1891" s="7">
        <v>188</v>
      </c>
      <c r="F1891" s="7">
        <v>3</v>
      </c>
      <c r="G1891" s="7">
        <v>3.1</v>
      </c>
      <c r="H1891" s="12">
        <v>2245</v>
      </c>
      <c r="I1891" s="9">
        <f t="shared" si="58"/>
        <v>329.57683741648106</v>
      </c>
      <c r="J1891" s="3" t="str">
        <f t="shared" si="59"/>
        <v>High</v>
      </c>
    </row>
    <row r="1892" spans="1:10">
      <c r="A1892" s="4" t="s">
        <v>1955</v>
      </c>
      <c r="B1892" s="4" t="s">
        <v>544</v>
      </c>
      <c r="C1892" s="4" t="s">
        <v>12</v>
      </c>
      <c r="D1892" s="21">
        <v>739990</v>
      </c>
      <c r="E1892" s="4">
        <v>280</v>
      </c>
      <c r="F1892" s="4">
        <v>5</v>
      </c>
      <c r="G1892" s="4">
        <v>4.0999999999999996</v>
      </c>
      <c r="H1892" s="10">
        <v>3384</v>
      </c>
      <c r="I1892" s="11">
        <f t="shared" si="58"/>
        <v>218.67316784869976</v>
      </c>
      <c r="J1892" s="3" t="str">
        <f t="shared" si="59"/>
        <v>Medium</v>
      </c>
    </row>
    <row r="1893" spans="1:10">
      <c r="A1893" s="7" t="s">
        <v>1956</v>
      </c>
      <c r="B1893" s="7" t="s">
        <v>679</v>
      </c>
      <c r="C1893" s="7" t="s">
        <v>12</v>
      </c>
      <c r="D1893" s="22">
        <v>740000</v>
      </c>
      <c r="E1893" s="7">
        <v>49</v>
      </c>
      <c r="F1893" s="7">
        <v>4</v>
      </c>
      <c r="G1893" s="7">
        <v>3.1</v>
      </c>
      <c r="H1893" s="12">
        <v>2219</v>
      </c>
      <c r="I1893" s="9">
        <f t="shared" si="58"/>
        <v>333.48355114916632</v>
      </c>
      <c r="J1893" s="3" t="str">
        <f t="shared" si="59"/>
        <v>High</v>
      </c>
    </row>
    <row r="1894" spans="1:10">
      <c r="A1894" s="4" t="s">
        <v>1957</v>
      </c>
      <c r="B1894" s="4" t="s">
        <v>888</v>
      </c>
      <c r="C1894" s="4" t="s">
        <v>12</v>
      </c>
      <c r="D1894" s="21">
        <v>740000</v>
      </c>
      <c r="E1894" s="4">
        <v>41</v>
      </c>
      <c r="F1894" s="4">
        <v>4</v>
      </c>
      <c r="G1894" s="4">
        <v>2.1</v>
      </c>
      <c r="H1894" s="10">
        <v>2909</v>
      </c>
      <c r="I1894" s="11">
        <f t="shared" si="58"/>
        <v>254.38294946717085</v>
      </c>
      <c r="J1894" s="3" t="str">
        <f t="shared" si="59"/>
        <v>Medium</v>
      </c>
    </row>
    <row r="1895" spans="1:10">
      <c r="A1895" s="7" t="s">
        <v>1958</v>
      </c>
      <c r="B1895" s="7" t="s">
        <v>400</v>
      </c>
      <c r="C1895" s="7" t="s">
        <v>12</v>
      </c>
      <c r="D1895" s="22">
        <v>740000</v>
      </c>
      <c r="E1895" s="7">
        <v>7</v>
      </c>
      <c r="F1895" s="7">
        <v>4</v>
      </c>
      <c r="G1895" s="7">
        <v>2.1</v>
      </c>
      <c r="H1895" s="12">
        <v>3132</v>
      </c>
      <c r="I1895" s="9">
        <f t="shared" si="58"/>
        <v>236.27075351213281</v>
      </c>
      <c r="J1895" s="3" t="str">
        <f t="shared" si="59"/>
        <v>Medium</v>
      </c>
    </row>
    <row r="1896" spans="1:10">
      <c r="A1896" s="4" t="s">
        <v>1959</v>
      </c>
      <c r="B1896" s="4" t="s">
        <v>960</v>
      </c>
      <c r="C1896" s="4" t="s">
        <v>12</v>
      </c>
      <c r="D1896" s="21">
        <v>740000</v>
      </c>
      <c r="E1896" s="4">
        <v>5</v>
      </c>
      <c r="F1896" s="4">
        <v>0</v>
      </c>
      <c r="G1896" s="4">
        <v>0.2</v>
      </c>
      <c r="H1896" s="10">
        <v>2000</v>
      </c>
      <c r="I1896" s="11">
        <f t="shared" si="58"/>
        <v>370</v>
      </c>
      <c r="J1896" s="3" t="str">
        <f t="shared" si="59"/>
        <v>High</v>
      </c>
    </row>
    <row r="1897" spans="1:10">
      <c r="A1897" s="7" t="s">
        <v>1960</v>
      </c>
      <c r="B1897" s="7" t="s">
        <v>645</v>
      </c>
      <c r="C1897" s="7" t="s">
        <v>12</v>
      </c>
      <c r="D1897" s="22">
        <v>740000</v>
      </c>
      <c r="E1897" s="7">
        <v>159</v>
      </c>
      <c r="F1897" s="7">
        <v>4</v>
      </c>
      <c r="G1897" s="7">
        <v>3.1</v>
      </c>
      <c r="H1897" s="12">
        <v>3180</v>
      </c>
      <c r="I1897" s="9">
        <f t="shared" si="58"/>
        <v>232.70440251572327</v>
      </c>
      <c r="J1897" s="3" t="str">
        <f t="shared" si="59"/>
        <v>Medium</v>
      </c>
    </row>
    <row r="1898" spans="1:10">
      <c r="A1898" s="4" t="s">
        <v>1961</v>
      </c>
      <c r="B1898" s="4" t="s">
        <v>728</v>
      </c>
      <c r="C1898" s="4" t="s">
        <v>12</v>
      </c>
      <c r="D1898" s="21">
        <v>740000</v>
      </c>
      <c r="E1898" s="4">
        <v>40</v>
      </c>
      <c r="F1898" s="4">
        <v>3</v>
      </c>
      <c r="G1898" s="4">
        <v>2.1</v>
      </c>
      <c r="H1898" s="10">
        <v>2446</v>
      </c>
      <c r="I1898" s="11">
        <f t="shared" si="58"/>
        <v>302.5347506132461</v>
      </c>
      <c r="J1898" s="3" t="str">
        <f t="shared" si="59"/>
        <v>High</v>
      </c>
    </row>
    <row r="1899" spans="1:10">
      <c r="A1899" s="7" t="s">
        <v>1962</v>
      </c>
      <c r="B1899" s="7" t="s">
        <v>1051</v>
      </c>
      <c r="C1899" s="7" t="s">
        <v>12</v>
      </c>
      <c r="D1899" s="22">
        <v>749000</v>
      </c>
      <c r="E1899" s="7">
        <v>185</v>
      </c>
      <c r="F1899" s="7">
        <v>4</v>
      </c>
      <c r="G1899" s="7">
        <v>3.1</v>
      </c>
      <c r="H1899" s="12">
        <v>2400</v>
      </c>
      <c r="I1899" s="9">
        <f t="shared" si="58"/>
        <v>312.08333333333331</v>
      </c>
      <c r="J1899" s="3" t="str">
        <f t="shared" si="59"/>
        <v>High</v>
      </c>
    </row>
    <row r="1900" spans="1:10">
      <c r="A1900" s="4" t="s">
        <v>1963</v>
      </c>
      <c r="B1900" s="4" t="s">
        <v>960</v>
      </c>
      <c r="C1900" s="4" t="s">
        <v>12</v>
      </c>
      <c r="D1900" s="21">
        <v>750000</v>
      </c>
      <c r="E1900" s="4">
        <v>9</v>
      </c>
      <c r="F1900" s="4">
        <v>4</v>
      </c>
      <c r="G1900" s="4">
        <v>2.1</v>
      </c>
      <c r="H1900" s="10">
        <v>2800</v>
      </c>
      <c r="I1900" s="11">
        <f t="shared" si="58"/>
        <v>267.85714285714283</v>
      </c>
      <c r="J1900" s="3" t="str">
        <f t="shared" si="59"/>
        <v>Medium</v>
      </c>
    </row>
    <row r="1901" spans="1:10">
      <c r="A1901" s="7" t="s">
        <v>1964</v>
      </c>
      <c r="B1901" s="7" t="s">
        <v>1366</v>
      </c>
      <c r="C1901" s="7" t="s">
        <v>12</v>
      </c>
      <c r="D1901" s="22">
        <v>750000</v>
      </c>
      <c r="E1901" s="7">
        <v>57</v>
      </c>
      <c r="F1901" s="7">
        <v>4</v>
      </c>
      <c r="G1901" s="7">
        <v>3.2</v>
      </c>
      <c r="H1901" s="12">
        <v>3163</v>
      </c>
      <c r="I1901" s="9">
        <f t="shared" si="58"/>
        <v>237.11666139740751</v>
      </c>
      <c r="J1901" s="3" t="str">
        <f t="shared" si="59"/>
        <v>Medium</v>
      </c>
    </row>
    <row r="1902" spans="1:10">
      <c r="A1902" s="4" t="s">
        <v>1965</v>
      </c>
      <c r="B1902" s="4" t="s">
        <v>960</v>
      </c>
      <c r="C1902" s="4" t="s">
        <v>12</v>
      </c>
      <c r="D1902" s="21">
        <v>750000</v>
      </c>
      <c r="E1902" s="4">
        <v>58</v>
      </c>
      <c r="F1902" s="4">
        <v>4</v>
      </c>
      <c r="G1902" s="4">
        <v>2.1</v>
      </c>
      <c r="H1902" s="10">
        <v>3000</v>
      </c>
      <c r="I1902" s="11">
        <f t="shared" si="58"/>
        <v>250</v>
      </c>
      <c r="J1902" s="3" t="str">
        <f t="shared" si="59"/>
        <v>Medium</v>
      </c>
    </row>
    <row r="1903" spans="1:10">
      <c r="A1903" s="7" t="s">
        <v>1966</v>
      </c>
      <c r="B1903" s="7" t="s">
        <v>960</v>
      </c>
      <c r="C1903" s="7" t="s">
        <v>12</v>
      </c>
      <c r="D1903" s="22">
        <v>750000</v>
      </c>
      <c r="E1903" s="7">
        <v>63</v>
      </c>
      <c r="F1903" s="7">
        <v>3</v>
      </c>
      <c r="G1903" s="7">
        <v>3.1</v>
      </c>
      <c r="H1903" s="12">
        <v>2574</v>
      </c>
      <c r="I1903" s="9">
        <f t="shared" si="58"/>
        <v>291.3752913752914</v>
      </c>
      <c r="J1903" s="3" t="str">
        <f t="shared" si="59"/>
        <v>Medium</v>
      </c>
    </row>
    <row r="1904" spans="1:10">
      <c r="A1904" s="4" t="s">
        <v>1967</v>
      </c>
      <c r="B1904" s="4" t="s">
        <v>77</v>
      </c>
      <c r="C1904" s="4" t="s">
        <v>12</v>
      </c>
      <c r="D1904" s="21">
        <v>750000</v>
      </c>
      <c r="E1904" s="4">
        <v>72</v>
      </c>
      <c r="F1904" s="4">
        <v>4</v>
      </c>
      <c r="G1904" s="4">
        <v>3.1</v>
      </c>
      <c r="H1904" s="10">
        <v>3517</v>
      </c>
      <c r="I1904" s="11">
        <f t="shared" si="58"/>
        <v>213.24992891669035</v>
      </c>
      <c r="J1904" s="3" t="str">
        <f t="shared" si="59"/>
        <v>Medium</v>
      </c>
    </row>
    <row r="1905" spans="1:10">
      <c r="A1905" s="7" t="s">
        <v>1968</v>
      </c>
      <c r="B1905" s="7" t="s">
        <v>16</v>
      </c>
      <c r="C1905" s="7" t="s">
        <v>12</v>
      </c>
      <c r="D1905" s="22">
        <v>751000</v>
      </c>
      <c r="E1905" s="7">
        <v>5</v>
      </c>
      <c r="F1905" s="7">
        <v>4</v>
      </c>
      <c r="G1905" s="7">
        <v>3.1</v>
      </c>
      <c r="H1905" s="12">
        <v>2806</v>
      </c>
      <c r="I1905" s="9">
        <f t="shared" si="58"/>
        <v>267.64076977904489</v>
      </c>
      <c r="J1905" s="3" t="str">
        <f t="shared" si="59"/>
        <v>Medium</v>
      </c>
    </row>
    <row r="1906" spans="1:10">
      <c r="A1906" s="4" t="s">
        <v>1969</v>
      </c>
      <c r="B1906" s="4" t="s">
        <v>960</v>
      </c>
      <c r="C1906" s="4" t="s">
        <v>12</v>
      </c>
      <c r="D1906" s="21">
        <v>754200</v>
      </c>
      <c r="E1906" s="4">
        <v>19</v>
      </c>
      <c r="F1906" s="4">
        <v>3</v>
      </c>
      <c r="G1906" s="4">
        <v>3.1</v>
      </c>
      <c r="H1906" s="10">
        <v>2767</v>
      </c>
      <c r="I1906" s="11">
        <f t="shared" si="58"/>
        <v>272.56956993133355</v>
      </c>
      <c r="J1906" s="3" t="str">
        <f t="shared" si="59"/>
        <v>Medium</v>
      </c>
    </row>
    <row r="1907" spans="1:10">
      <c r="A1907" s="7" t="s">
        <v>1970</v>
      </c>
      <c r="B1907" s="7" t="s">
        <v>131</v>
      </c>
      <c r="C1907" s="7" t="s">
        <v>12</v>
      </c>
      <c r="D1907" s="22">
        <v>755000</v>
      </c>
      <c r="E1907" s="7">
        <v>8</v>
      </c>
      <c r="F1907" s="7">
        <v>4</v>
      </c>
      <c r="G1907" s="7">
        <v>2.1</v>
      </c>
      <c r="H1907" s="12">
        <v>2556</v>
      </c>
      <c r="I1907" s="9">
        <f t="shared" si="58"/>
        <v>295.38341158059467</v>
      </c>
      <c r="J1907" s="3" t="str">
        <f t="shared" si="59"/>
        <v>Medium</v>
      </c>
    </row>
    <row r="1908" spans="1:10">
      <c r="A1908" s="4" t="s">
        <v>1971</v>
      </c>
      <c r="B1908" s="4" t="s">
        <v>16</v>
      </c>
      <c r="C1908" s="4" t="s">
        <v>12</v>
      </c>
      <c r="D1908" s="21">
        <v>755000</v>
      </c>
      <c r="E1908" s="4">
        <v>62</v>
      </c>
      <c r="F1908" s="4">
        <v>4</v>
      </c>
      <c r="G1908" s="4">
        <v>4.0999999999999996</v>
      </c>
      <c r="H1908" s="10">
        <v>3447</v>
      </c>
      <c r="I1908" s="11">
        <f t="shared" si="58"/>
        <v>219.03104148534959</v>
      </c>
      <c r="J1908" s="3" t="str">
        <f t="shared" si="59"/>
        <v>Medium</v>
      </c>
    </row>
    <row r="1909" spans="1:10">
      <c r="A1909" s="7" t="s">
        <v>1972</v>
      </c>
      <c r="B1909" s="7" t="s">
        <v>1051</v>
      </c>
      <c r="C1909" s="7" t="s">
        <v>12</v>
      </c>
      <c r="D1909" s="22">
        <v>760000</v>
      </c>
      <c r="E1909" s="7">
        <v>20</v>
      </c>
      <c r="F1909" s="7">
        <v>4</v>
      </c>
      <c r="G1909" s="7">
        <v>2.1</v>
      </c>
      <c r="H1909" s="12">
        <v>3419</v>
      </c>
      <c r="I1909" s="9">
        <f t="shared" si="58"/>
        <v>222.28721848493711</v>
      </c>
      <c r="J1909" s="3" t="str">
        <f t="shared" si="59"/>
        <v>Medium</v>
      </c>
    </row>
    <row r="1910" spans="1:10">
      <c r="A1910" s="4" t="s">
        <v>1973</v>
      </c>
      <c r="B1910" s="4" t="s">
        <v>80</v>
      </c>
      <c r="C1910" s="4" t="s">
        <v>12</v>
      </c>
      <c r="D1910" s="21">
        <v>765000</v>
      </c>
      <c r="E1910" s="4">
        <v>64</v>
      </c>
      <c r="F1910" s="4">
        <v>3</v>
      </c>
      <c r="G1910" s="4">
        <v>3</v>
      </c>
      <c r="H1910" s="10">
        <v>2780</v>
      </c>
      <c r="I1910" s="11">
        <f t="shared" si="58"/>
        <v>275.1798561151079</v>
      </c>
      <c r="J1910" s="3" t="str">
        <f t="shared" si="59"/>
        <v>Medium</v>
      </c>
    </row>
    <row r="1911" spans="1:10">
      <c r="A1911" s="7" t="s">
        <v>1974</v>
      </c>
      <c r="B1911" s="7" t="s">
        <v>544</v>
      </c>
      <c r="C1911" s="7" t="s">
        <v>12</v>
      </c>
      <c r="D1911" s="22">
        <v>765000</v>
      </c>
      <c r="E1911" s="7">
        <v>5</v>
      </c>
      <c r="F1911" s="7">
        <v>4</v>
      </c>
      <c r="G1911" s="7">
        <v>3.1</v>
      </c>
      <c r="H1911" s="12">
        <v>3517</v>
      </c>
      <c r="I1911" s="9">
        <f t="shared" si="58"/>
        <v>217.51492749502418</v>
      </c>
      <c r="J1911" s="3" t="str">
        <f t="shared" si="59"/>
        <v>Medium</v>
      </c>
    </row>
    <row r="1912" spans="1:10">
      <c r="A1912" s="4" t="s">
        <v>1975</v>
      </c>
      <c r="B1912" s="4" t="s">
        <v>888</v>
      </c>
      <c r="C1912" s="4" t="s">
        <v>12</v>
      </c>
      <c r="D1912" s="21">
        <v>770000</v>
      </c>
      <c r="E1912" s="4">
        <v>6</v>
      </c>
      <c r="F1912" s="4">
        <v>4</v>
      </c>
      <c r="G1912" s="4">
        <v>3.2</v>
      </c>
      <c r="H1912" s="10">
        <v>3391</v>
      </c>
      <c r="I1912" s="11">
        <f t="shared" si="58"/>
        <v>227.07166027720436</v>
      </c>
      <c r="J1912" s="3" t="str">
        <f t="shared" si="59"/>
        <v>Medium</v>
      </c>
    </row>
    <row r="1913" spans="1:10">
      <c r="A1913" s="7" t="s">
        <v>1976</v>
      </c>
      <c r="B1913" s="7" t="s">
        <v>80</v>
      </c>
      <c r="C1913" s="7" t="s">
        <v>12</v>
      </c>
      <c r="D1913" s="22">
        <v>775000</v>
      </c>
      <c r="E1913" s="7">
        <v>64</v>
      </c>
      <c r="F1913" s="7">
        <v>5</v>
      </c>
      <c r="G1913" s="7">
        <v>4.0999999999999996</v>
      </c>
      <c r="H1913" s="12">
        <v>4126</v>
      </c>
      <c r="I1913" s="9">
        <f t="shared" si="58"/>
        <v>187.83325254483762</v>
      </c>
      <c r="J1913" s="3" t="str">
        <f t="shared" si="59"/>
        <v>Low</v>
      </c>
    </row>
    <row r="1914" spans="1:10">
      <c r="A1914" s="4" t="s">
        <v>1977</v>
      </c>
      <c r="B1914" s="4" t="s">
        <v>18</v>
      </c>
      <c r="C1914" s="4" t="s">
        <v>12</v>
      </c>
      <c r="D1914" s="21">
        <v>775000</v>
      </c>
      <c r="E1914" s="4">
        <v>62</v>
      </c>
      <c r="F1914" s="4">
        <v>5</v>
      </c>
      <c r="G1914" s="4">
        <v>4.0999999999999996</v>
      </c>
      <c r="H1914" s="10">
        <v>4004</v>
      </c>
      <c r="I1914" s="11">
        <f t="shared" si="58"/>
        <v>193.55644355644355</v>
      </c>
      <c r="J1914" s="3" t="str">
        <f t="shared" si="59"/>
        <v>Low</v>
      </c>
    </row>
    <row r="1915" spans="1:10">
      <c r="A1915" s="7" t="s">
        <v>1978</v>
      </c>
      <c r="B1915" s="7" t="s">
        <v>960</v>
      </c>
      <c r="C1915" s="7" t="s">
        <v>12</v>
      </c>
      <c r="D1915" s="22">
        <v>776000</v>
      </c>
      <c r="E1915" s="7">
        <v>79</v>
      </c>
      <c r="F1915" s="7">
        <v>4</v>
      </c>
      <c r="G1915" s="7">
        <v>4.0999999999999996</v>
      </c>
      <c r="H1915" s="12">
        <v>3104</v>
      </c>
      <c r="I1915" s="9">
        <f t="shared" si="58"/>
        <v>250</v>
      </c>
      <c r="J1915" s="3" t="str">
        <f t="shared" si="59"/>
        <v>Medium</v>
      </c>
    </row>
    <row r="1916" spans="1:10">
      <c r="A1916" s="4" t="s">
        <v>1979</v>
      </c>
      <c r="B1916" s="4" t="s">
        <v>131</v>
      </c>
      <c r="C1916" s="4" t="s">
        <v>12</v>
      </c>
      <c r="D1916" s="21">
        <v>780000</v>
      </c>
      <c r="E1916" s="4">
        <v>9</v>
      </c>
      <c r="F1916" s="4">
        <v>3</v>
      </c>
      <c r="G1916" s="4">
        <v>2.1</v>
      </c>
      <c r="H1916" s="10">
        <v>3021</v>
      </c>
      <c r="I1916" s="11">
        <f t="shared" si="58"/>
        <v>258.19265143992055</v>
      </c>
      <c r="J1916" s="3" t="str">
        <f t="shared" si="59"/>
        <v>Medium</v>
      </c>
    </row>
    <row r="1917" spans="1:10">
      <c r="A1917" s="7" t="s">
        <v>1980</v>
      </c>
      <c r="B1917" s="7" t="s">
        <v>212</v>
      </c>
      <c r="C1917" s="7" t="s">
        <v>12</v>
      </c>
      <c r="D1917" s="22">
        <v>780000</v>
      </c>
      <c r="E1917" s="7">
        <v>80</v>
      </c>
      <c r="F1917" s="7">
        <v>4</v>
      </c>
      <c r="G1917" s="7">
        <v>3.1</v>
      </c>
      <c r="H1917" s="12">
        <v>3200</v>
      </c>
      <c r="I1917" s="9">
        <f t="shared" si="58"/>
        <v>243.75</v>
      </c>
      <c r="J1917" s="3" t="str">
        <f t="shared" si="59"/>
        <v>Medium</v>
      </c>
    </row>
    <row r="1918" spans="1:10">
      <c r="A1918" s="4" t="s">
        <v>1981</v>
      </c>
      <c r="B1918" s="4" t="s">
        <v>212</v>
      </c>
      <c r="C1918" s="4" t="s">
        <v>12</v>
      </c>
      <c r="D1918" s="21">
        <v>784000</v>
      </c>
      <c r="E1918" s="4">
        <v>0</v>
      </c>
      <c r="F1918" s="4">
        <v>5</v>
      </c>
      <c r="G1918" s="4">
        <v>3.1</v>
      </c>
      <c r="H1918" s="10">
        <v>3180</v>
      </c>
      <c r="I1918" s="11">
        <f t="shared" si="58"/>
        <v>246.54088050314465</v>
      </c>
      <c r="J1918" s="3" t="str">
        <f t="shared" si="59"/>
        <v>Medium</v>
      </c>
    </row>
    <row r="1919" spans="1:10">
      <c r="A1919" s="7" t="s">
        <v>1982</v>
      </c>
      <c r="B1919" s="7" t="s">
        <v>212</v>
      </c>
      <c r="C1919" s="7" t="s">
        <v>12</v>
      </c>
      <c r="D1919" s="22">
        <v>785000</v>
      </c>
      <c r="E1919" s="7">
        <v>10</v>
      </c>
      <c r="F1919" s="7">
        <v>4</v>
      </c>
      <c r="G1919" s="7">
        <v>2.2000000000000002</v>
      </c>
      <c r="H1919" s="12">
        <v>3425</v>
      </c>
      <c r="I1919" s="9">
        <f t="shared" si="58"/>
        <v>229.19708029197079</v>
      </c>
      <c r="J1919" s="3" t="str">
        <f t="shared" si="59"/>
        <v>Medium</v>
      </c>
    </row>
    <row r="1920" spans="1:10">
      <c r="A1920" s="4" t="s">
        <v>1983</v>
      </c>
      <c r="B1920" s="4" t="s">
        <v>131</v>
      </c>
      <c r="C1920" s="4" t="s">
        <v>12</v>
      </c>
      <c r="D1920" s="21">
        <v>785000</v>
      </c>
      <c r="E1920" s="4">
        <v>108</v>
      </c>
      <c r="F1920" s="4">
        <v>4</v>
      </c>
      <c r="G1920" s="4">
        <v>2.1</v>
      </c>
      <c r="H1920" s="10">
        <v>2854</v>
      </c>
      <c r="I1920" s="11">
        <f t="shared" si="58"/>
        <v>275.05255781359494</v>
      </c>
      <c r="J1920" s="3" t="str">
        <f t="shared" si="59"/>
        <v>Medium</v>
      </c>
    </row>
    <row r="1921" spans="1:10">
      <c r="A1921" s="7" t="s">
        <v>1984</v>
      </c>
      <c r="B1921" s="7" t="s">
        <v>18</v>
      </c>
      <c r="C1921" s="7" t="s">
        <v>12</v>
      </c>
      <c r="D1921" s="22">
        <v>787000</v>
      </c>
      <c r="E1921" s="7">
        <v>87</v>
      </c>
      <c r="F1921" s="7">
        <v>4</v>
      </c>
      <c r="G1921" s="7">
        <v>3.1</v>
      </c>
      <c r="H1921" s="12">
        <v>3520</v>
      </c>
      <c r="I1921" s="9">
        <f t="shared" si="58"/>
        <v>223.57954545454547</v>
      </c>
      <c r="J1921" s="3" t="str">
        <f t="shared" si="59"/>
        <v>Medium</v>
      </c>
    </row>
    <row r="1922" spans="1:10">
      <c r="A1922" s="4" t="s">
        <v>1985</v>
      </c>
      <c r="B1922" s="4" t="s">
        <v>544</v>
      </c>
      <c r="C1922" s="4" t="s">
        <v>12</v>
      </c>
      <c r="D1922" s="21">
        <v>795000</v>
      </c>
      <c r="E1922" s="4">
        <v>56</v>
      </c>
      <c r="F1922" s="4">
        <v>4</v>
      </c>
      <c r="G1922" s="4">
        <v>3.1</v>
      </c>
      <c r="H1922" s="10">
        <v>2606</v>
      </c>
      <c r="I1922" s="11">
        <f t="shared" ref="I1922:I1985" si="60">D1922/H1922</f>
        <v>305.06523407521104</v>
      </c>
      <c r="J1922" s="3" t="str">
        <f t="shared" ref="J1922:J1985" si="61">IF(I1922 &gt; 300, "High", IF(AND(I1922 &lt;= 300, I1922 &gt; 200), "Medium", "Low"))</f>
        <v>High</v>
      </c>
    </row>
    <row r="1923" spans="1:10">
      <c r="A1923" s="7" t="s">
        <v>1986</v>
      </c>
      <c r="B1923" s="7" t="s">
        <v>93</v>
      </c>
      <c r="C1923" s="7" t="s">
        <v>12</v>
      </c>
      <c r="D1923" s="22">
        <v>799900</v>
      </c>
      <c r="E1923" s="7">
        <v>47</v>
      </c>
      <c r="F1923" s="7">
        <v>4</v>
      </c>
      <c r="G1923" s="7">
        <v>4.0999999999999996</v>
      </c>
      <c r="H1923" s="12">
        <v>3274</v>
      </c>
      <c r="I1923" s="9">
        <f t="shared" si="60"/>
        <v>244.31887599266952</v>
      </c>
      <c r="J1923" s="3" t="str">
        <f t="shared" si="61"/>
        <v>Medium</v>
      </c>
    </row>
    <row r="1924" spans="1:10">
      <c r="A1924" s="4" t="s">
        <v>1987</v>
      </c>
      <c r="B1924" s="4" t="s">
        <v>18</v>
      </c>
      <c r="C1924" s="4" t="s">
        <v>12</v>
      </c>
      <c r="D1924" s="21">
        <v>800000</v>
      </c>
      <c r="E1924" s="4">
        <v>4</v>
      </c>
      <c r="F1924" s="4">
        <v>4</v>
      </c>
      <c r="G1924" s="4">
        <v>2.1</v>
      </c>
      <c r="H1924" s="10">
        <v>3657</v>
      </c>
      <c r="I1924" s="11">
        <f t="shared" si="60"/>
        <v>218.75854525567405</v>
      </c>
      <c r="J1924" s="3" t="str">
        <f t="shared" si="61"/>
        <v>Medium</v>
      </c>
    </row>
    <row r="1925" spans="1:10">
      <c r="A1925" s="7" t="s">
        <v>1988</v>
      </c>
      <c r="B1925" s="7" t="s">
        <v>679</v>
      </c>
      <c r="C1925" s="7" t="s">
        <v>12</v>
      </c>
      <c r="D1925" s="22">
        <v>800000</v>
      </c>
      <c r="E1925" s="7">
        <v>2</v>
      </c>
      <c r="F1925" s="7">
        <v>3</v>
      </c>
      <c r="G1925" s="7">
        <v>2.2000000000000002</v>
      </c>
      <c r="H1925" s="12">
        <v>2129</v>
      </c>
      <c r="I1925" s="9">
        <f t="shared" si="60"/>
        <v>375.76326914044154</v>
      </c>
      <c r="J1925" s="3" t="str">
        <f t="shared" si="61"/>
        <v>High</v>
      </c>
    </row>
    <row r="1926" spans="1:10">
      <c r="A1926" s="4" t="s">
        <v>1989</v>
      </c>
      <c r="B1926" s="4" t="s">
        <v>960</v>
      </c>
      <c r="C1926" s="4" t="s">
        <v>12</v>
      </c>
      <c r="D1926" s="21">
        <v>800000</v>
      </c>
      <c r="E1926" s="4">
        <v>45</v>
      </c>
      <c r="F1926" s="4">
        <v>5</v>
      </c>
      <c r="G1926" s="4">
        <v>3.1</v>
      </c>
      <c r="H1926" s="10">
        <v>3722</v>
      </c>
      <c r="I1926" s="11">
        <f t="shared" si="60"/>
        <v>214.93820526598603</v>
      </c>
      <c r="J1926" s="3" t="str">
        <f t="shared" si="61"/>
        <v>Medium</v>
      </c>
    </row>
    <row r="1927" spans="1:10">
      <c r="A1927" s="7" t="s">
        <v>1990</v>
      </c>
      <c r="B1927" s="7" t="s">
        <v>131</v>
      </c>
      <c r="C1927" s="7" t="s">
        <v>12</v>
      </c>
      <c r="D1927" s="22">
        <v>800000</v>
      </c>
      <c r="E1927" s="7">
        <v>12</v>
      </c>
      <c r="F1927" s="7">
        <v>4</v>
      </c>
      <c r="G1927" s="7">
        <v>2.1</v>
      </c>
      <c r="H1927" s="12">
        <v>2925</v>
      </c>
      <c r="I1927" s="9">
        <f t="shared" si="60"/>
        <v>273.5042735042735</v>
      </c>
      <c r="J1927" s="3" t="str">
        <f t="shared" si="61"/>
        <v>Medium</v>
      </c>
    </row>
    <row r="1928" spans="1:10">
      <c r="A1928" s="4" t="s">
        <v>1991</v>
      </c>
      <c r="B1928" s="4" t="s">
        <v>131</v>
      </c>
      <c r="C1928" s="4" t="s">
        <v>12</v>
      </c>
      <c r="D1928" s="21">
        <v>800000</v>
      </c>
      <c r="E1928" s="4">
        <v>100</v>
      </c>
      <c r="F1928" s="4">
        <v>4</v>
      </c>
      <c r="G1928" s="4">
        <v>2.1</v>
      </c>
      <c r="H1928" s="10">
        <v>2925</v>
      </c>
      <c r="I1928" s="11">
        <f t="shared" si="60"/>
        <v>273.5042735042735</v>
      </c>
      <c r="J1928" s="3" t="str">
        <f t="shared" si="61"/>
        <v>Medium</v>
      </c>
    </row>
    <row r="1929" spans="1:10">
      <c r="A1929" s="7" t="s">
        <v>1992</v>
      </c>
      <c r="B1929" s="7" t="s">
        <v>544</v>
      </c>
      <c r="C1929" s="7" t="s">
        <v>12</v>
      </c>
      <c r="D1929" s="22">
        <v>804932</v>
      </c>
      <c r="E1929" s="7">
        <v>1</v>
      </c>
      <c r="F1929" s="7">
        <v>3</v>
      </c>
      <c r="G1929" s="7">
        <v>2.1</v>
      </c>
      <c r="H1929" s="12">
        <v>2737</v>
      </c>
      <c r="I1929" s="9">
        <f t="shared" si="60"/>
        <v>294.09280233832663</v>
      </c>
      <c r="J1929" s="3" t="str">
        <f t="shared" si="61"/>
        <v>Medium</v>
      </c>
    </row>
    <row r="1930" spans="1:10">
      <c r="A1930" s="4" t="s">
        <v>1993</v>
      </c>
      <c r="B1930" s="4" t="s">
        <v>16</v>
      </c>
      <c r="C1930" s="4" t="s">
        <v>12</v>
      </c>
      <c r="D1930" s="21">
        <v>805000</v>
      </c>
      <c r="E1930" s="4">
        <v>87</v>
      </c>
      <c r="F1930" s="4">
        <v>4</v>
      </c>
      <c r="G1930" s="4">
        <v>4.0999999999999996</v>
      </c>
      <c r="H1930" s="10">
        <v>3529</v>
      </c>
      <c r="I1930" s="11">
        <f t="shared" si="60"/>
        <v>228.10994616038539</v>
      </c>
      <c r="J1930" s="3" t="str">
        <f t="shared" si="61"/>
        <v>Medium</v>
      </c>
    </row>
    <row r="1931" spans="1:10">
      <c r="A1931" s="7" t="s">
        <v>1994</v>
      </c>
      <c r="B1931" s="7" t="s">
        <v>16</v>
      </c>
      <c r="C1931" s="7" t="s">
        <v>12</v>
      </c>
      <c r="D1931" s="22">
        <v>807500</v>
      </c>
      <c r="E1931" s="7">
        <v>5</v>
      </c>
      <c r="F1931" s="7">
        <v>4</v>
      </c>
      <c r="G1931" s="7">
        <v>2.2000000000000002</v>
      </c>
      <c r="H1931" s="12">
        <v>3026</v>
      </c>
      <c r="I1931" s="9">
        <f t="shared" si="60"/>
        <v>266.85393258426967</v>
      </c>
      <c r="J1931" s="3" t="str">
        <f t="shared" si="61"/>
        <v>Medium</v>
      </c>
    </row>
    <row r="1932" spans="1:10">
      <c r="A1932" s="4" t="s">
        <v>1995</v>
      </c>
      <c r="B1932" s="4" t="s">
        <v>544</v>
      </c>
      <c r="C1932" s="4" t="s">
        <v>12</v>
      </c>
      <c r="D1932" s="21">
        <v>810000</v>
      </c>
      <c r="E1932" s="4">
        <v>32</v>
      </c>
      <c r="F1932" s="4">
        <v>4</v>
      </c>
      <c r="G1932" s="4">
        <v>4.0999999999999996</v>
      </c>
      <c r="H1932" s="10">
        <v>3583</v>
      </c>
      <c r="I1932" s="11">
        <f t="shared" si="60"/>
        <v>226.06754116662015</v>
      </c>
      <c r="J1932" s="3" t="str">
        <f t="shared" si="61"/>
        <v>Medium</v>
      </c>
    </row>
    <row r="1933" spans="1:10">
      <c r="A1933" s="7" t="s">
        <v>1996</v>
      </c>
      <c r="B1933" s="7" t="s">
        <v>400</v>
      </c>
      <c r="C1933" s="7" t="s">
        <v>12</v>
      </c>
      <c r="D1933" s="22">
        <v>810000</v>
      </c>
      <c r="E1933" s="7">
        <v>65</v>
      </c>
      <c r="F1933" s="7">
        <v>5</v>
      </c>
      <c r="G1933" s="7">
        <v>4.2</v>
      </c>
      <c r="H1933" s="12">
        <v>4031</v>
      </c>
      <c r="I1933" s="9">
        <f t="shared" si="60"/>
        <v>200.94269412056562</v>
      </c>
      <c r="J1933" s="3" t="str">
        <f t="shared" si="61"/>
        <v>Medium</v>
      </c>
    </row>
    <row r="1934" spans="1:10">
      <c r="A1934" s="4" t="s">
        <v>1997</v>
      </c>
      <c r="B1934" s="4" t="s">
        <v>960</v>
      </c>
      <c r="C1934" s="4" t="s">
        <v>12</v>
      </c>
      <c r="D1934" s="21">
        <v>815000</v>
      </c>
      <c r="E1934" s="4">
        <v>89</v>
      </c>
      <c r="F1934" s="4">
        <v>4</v>
      </c>
      <c r="G1934" s="4">
        <v>3.1</v>
      </c>
      <c r="H1934" s="10">
        <v>3126</v>
      </c>
      <c r="I1934" s="11">
        <f t="shared" si="60"/>
        <v>260.71657069737682</v>
      </c>
      <c r="J1934" s="3" t="str">
        <f t="shared" si="61"/>
        <v>Medium</v>
      </c>
    </row>
    <row r="1935" spans="1:10">
      <c r="A1935" s="7" t="s">
        <v>1998</v>
      </c>
      <c r="B1935" s="7" t="s">
        <v>11</v>
      </c>
      <c r="C1935" s="7" t="s">
        <v>12</v>
      </c>
      <c r="D1935" s="22">
        <v>815000</v>
      </c>
      <c r="E1935" s="7">
        <v>28</v>
      </c>
      <c r="F1935" s="7">
        <v>4</v>
      </c>
      <c r="G1935" s="7">
        <v>2</v>
      </c>
      <c r="H1935" s="12">
        <v>3219</v>
      </c>
      <c r="I1935" s="9">
        <f t="shared" si="60"/>
        <v>253.18421870146008</v>
      </c>
      <c r="J1935" s="3" t="str">
        <f t="shared" si="61"/>
        <v>Medium</v>
      </c>
    </row>
    <row r="1936" spans="1:10">
      <c r="A1936" s="4" t="s">
        <v>1999</v>
      </c>
      <c r="B1936" s="4" t="s">
        <v>400</v>
      </c>
      <c r="C1936" s="4" t="s">
        <v>12</v>
      </c>
      <c r="D1936" s="21">
        <v>815000</v>
      </c>
      <c r="E1936" s="4">
        <v>250</v>
      </c>
      <c r="F1936" s="4">
        <v>3</v>
      </c>
      <c r="G1936" s="4">
        <v>3.2</v>
      </c>
      <c r="H1936" s="10">
        <v>3824</v>
      </c>
      <c r="I1936" s="11">
        <f t="shared" si="60"/>
        <v>213.12761506276149</v>
      </c>
      <c r="J1936" s="3" t="str">
        <f t="shared" si="61"/>
        <v>Medium</v>
      </c>
    </row>
    <row r="1937" spans="1:10">
      <c r="A1937" s="7" t="s">
        <v>2000</v>
      </c>
      <c r="B1937" s="7" t="s">
        <v>212</v>
      </c>
      <c r="C1937" s="7" t="s">
        <v>12</v>
      </c>
      <c r="D1937" s="22">
        <v>815750</v>
      </c>
      <c r="E1937" s="7">
        <v>3</v>
      </c>
      <c r="F1937" s="7">
        <v>4</v>
      </c>
      <c r="G1937" s="7">
        <v>2.1</v>
      </c>
      <c r="H1937" s="12">
        <v>3040</v>
      </c>
      <c r="I1937" s="9">
        <f t="shared" si="60"/>
        <v>268.3388157894737</v>
      </c>
      <c r="J1937" s="3" t="str">
        <f t="shared" si="61"/>
        <v>Medium</v>
      </c>
    </row>
    <row r="1938" spans="1:10">
      <c r="A1938" s="4" t="s">
        <v>2001</v>
      </c>
      <c r="B1938" s="4" t="s">
        <v>16</v>
      </c>
      <c r="C1938" s="4" t="s">
        <v>12</v>
      </c>
      <c r="D1938" s="21">
        <v>818073</v>
      </c>
      <c r="E1938" s="4">
        <v>5</v>
      </c>
      <c r="F1938" s="4">
        <v>4</v>
      </c>
      <c r="G1938" s="4">
        <v>3.1</v>
      </c>
      <c r="H1938" s="10">
        <v>3473</v>
      </c>
      <c r="I1938" s="11">
        <f t="shared" si="60"/>
        <v>235.55226029369422</v>
      </c>
      <c r="J1938" s="3" t="str">
        <f t="shared" si="61"/>
        <v>Medium</v>
      </c>
    </row>
    <row r="1939" spans="1:10">
      <c r="A1939" s="7" t="s">
        <v>2002</v>
      </c>
      <c r="B1939" s="7" t="s">
        <v>11</v>
      </c>
      <c r="C1939" s="7" t="s">
        <v>12</v>
      </c>
      <c r="D1939" s="22">
        <v>820000</v>
      </c>
      <c r="E1939" s="7">
        <v>171</v>
      </c>
      <c r="F1939" s="7">
        <v>4</v>
      </c>
      <c r="G1939" s="7">
        <v>3.1</v>
      </c>
      <c r="H1939" s="12">
        <v>4828</v>
      </c>
      <c r="I1939" s="9">
        <f t="shared" si="60"/>
        <v>169.84258492129246</v>
      </c>
      <c r="J1939" s="3" t="str">
        <f t="shared" si="61"/>
        <v>Low</v>
      </c>
    </row>
    <row r="1940" spans="1:10">
      <c r="A1940" s="4" t="s">
        <v>2003</v>
      </c>
      <c r="B1940" s="4" t="s">
        <v>544</v>
      </c>
      <c r="C1940" s="4" t="s">
        <v>12</v>
      </c>
      <c r="D1940" s="21">
        <v>825000</v>
      </c>
      <c r="E1940" s="4">
        <v>62</v>
      </c>
      <c r="F1940" s="4">
        <v>4</v>
      </c>
      <c r="G1940" s="4">
        <v>4.0999999999999996</v>
      </c>
      <c r="H1940" s="10">
        <v>3510</v>
      </c>
      <c r="I1940" s="11">
        <f t="shared" si="60"/>
        <v>235.04273504273505</v>
      </c>
      <c r="J1940" s="3" t="str">
        <f t="shared" si="61"/>
        <v>Medium</v>
      </c>
    </row>
    <row r="1941" spans="1:10">
      <c r="A1941" s="7" t="s">
        <v>2004</v>
      </c>
      <c r="B1941" s="7" t="s">
        <v>16</v>
      </c>
      <c r="C1941" s="7" t="s">
        <v>12</v>
      </c>
      <c r="D1941" s="22">
        <v>830000</v>
      </c>
      <c r="E1941" s="7">
        <v>6</v>
      </c>
      <c r="F1941" s="7">
        <v>4</v>
      </c>
      <c r="G1941" s="7">
        <v>3.1</v>
      </c>
      <c r="H1941" s="12">
        <v>3626</v>
      </c>
      <c r="I1941" s="9">
        <f t="shared" si="60"/>
        <v>228.90237175951461</v>
      </c>
      <c r="J1941" s="3" t="str">
        <f t="shared" si="61"/>
        <v>Medium</v>
      </c>
    </row>
    <row r="1942" spans="1:10">
      <c r="A1942" s="4" t="s">
        <v>2005</v>
      </c>
      <c r="B1942" s="4" t="s">
        <v>212</v>
      </c>
      <c r="C1942" s="4" t="s">
        <v>12</v>
      </c>
      <c r="D1942" s="21">
        <v>830000</v>
      </c>
      <c r="E1942" s="4">
        <v>71</v>
      </c>
      <c r="F1942" s="4">
        <v>5</v>
      </c>
      <c r="G1942" s="4">
        <v>4</v>
      </c>
      <c r="H1942" s="10">
        <v>3141</v>
      </c>
      <c r="I1942" s="11">
        <f t="shared" si="60"/>
        <v>264.24705507800064</v>
      </c>
      <c r="J1942" s="3" t="str">
        <f t="shared" si="61"/>
        <v>Medium</v>
      </c>
    </row>
    <row r="1943" spans="1:10">
      <c r="A1943" s="7" t="s">
        <v>2006</v>
      </c>
      <c r="B1943" s="7" t="s">
        <v>960</v>
      </c>
      <c r="C1943" s="7" t="s">
        <v>12</v>
      </c>
      <c r="D1943" s="22">
        <v>849000</v>
      </c>
      <c r="E1943" s="7">
        <v>10</v>
      </c>
      <c r="F1943" s="7">
        <v>3</v>
      </c>
      <c r="G1943" s="7">
        <v>2.1</v>
      </c>
      <c r="H1943" s="12">
        <v>1887</v>
      </c>
      <c r="I1943" s="9">
        <f t="shared" si="60"/>
        <v>449.92050874403816</v>
      </c>
      <c r="J1943" s="3" t="str">
        <f t="shared" si="61"/>
        <v>High</v>
      </c>
    </row>
    <row r="1944" spans="1:10">
      <c r="A1944" s="4" t="s">
        <v>2007</v>
      </c>
      <c r="B1944" s="4" t="s">
        <v>960</v>
      </c>
      <c r="C1944" s="4" t="s">
        <v>12</v>
      </c>
      <c r="D1944" s="21">
        <v>850000</v>
      </c>
      <c r="E1944" s="4">
        <v>0</v>
      </c>
      <c r="F1944" s="4">
        <v>5</v>
      </c>
      <c r="G1944" s="4">
        <v>4.2</v>
      </c>
      <c r="H1944" s="10">
        <v>5283</v>
      </c>
      <c r="I1944" s="11">
        <f t="shared" si="60"/>
        <v>160.89343176225628</v>
      </c>
      <c r="J1944" s="3" t="str">
        <f t="shared" si="61"/>
        <v>Low</v>
      </c>
    </row>
    <row r="1945" spans="1:10">
      <c r="A1945" s="7" t="s">
        <v>2008</v>
      </c>
      <c r="B1945" s="7" t="s">
        <v>400</v>
      </c>
      <c r="C1945" s="7" t="s">
        <v>12</v>
      </c>
      <c r="D1945" s="22">
        <v>850000</v>
      </c>
      <c r="E1945" s="7">
        <v>7</v>
      </c>
      <c r="F1945" s="7">
        <v>4</v>
      </c>
      <c r="G1945" s="7">
        <v>4.0999999999999996</v>
      </c>
      <c r="H1945" s="12">
        <v>3425</v>
      </c>
      <c r="I1945" s="9">
        <f t="shared" si="60"/>
        <v>248.17518248175182</v>
      </c>
      <c r="J1945" s="3" t="str">
        <f t="shared" si="61"/>
        <v>Medium</v>
      </c>
    </row>
    <row r="1946" spans="1:10">
      <c r="A1946" s="4" t="s">
        <v>2009</v>
      </c>
      <c r="B1946" s="4" t="s">
        <v>960</v>
      </c>
      <c r="C1946" s="4" t="s">
        <v>12</v>
      </c>
      <c r="D1946" s="21">
        <v>850000</v>
      </c>
      <c r="E1946" s="4">
        <v>9</v>
      </c>
      <c r="F1946" s="4">
        <v>4</v>
      </c>
      <c r="G1946" s="4">
        <v>2.2000000000000002</v>
      </c>
      <c r="H1946" s="10">
        <v>2874</v>
      </c>
      <c r="I1946" s="11">
        <f t="shared" si="60"/>
        <v>295.75504523312458</v>
      </c>
      <c r="J1946" s="3" t="str">
        <f t="shared" si="61"/>
        <v>Medium</v>
      </c>
    </row>
    <row r="1947" spans="1:10">
      <c r="A1947" s="7" t="s">
        <v>2010</v>
      </c>
      <c r="B1947" s="7" t="s">
        <v>400</v>
      </c>
      <c r="C1947" s="7" t="s">
        <v>12</v>
      </c>
      <c r="D1947" s="22">
        <v>850000</v>
      </c>
      <c r="E1947" s="7">
        <v>223</v>
      </c>
      <c r="F1947" s="7">
        <v>4</v>
      </c>
      <c r="G1947" s="7">
        <v>3.2</v>
      </c>
      <c r="H1947" s="12">
        <v>3650</v>
      </c>
      <c r="I1947" s="9">
        <f t="shared" si="60"/>
        <v>232.87671232876713</v>
      </c>
      <c r="J1947" s="3" t="str">
        <f t="shared" si="61"/>
        <v>Medium</v>
      </c>
    </row>
    <row r="1948" spans="1:10">
      <c r="A1948" s="4" t="s">
        <v>2011</v>
      </c>
      <c r="B1948" s="4" t="s">
        <v>212</v>
      </c>
      <c r="C1948" s="4" t="s">
        <v>12</v>
      </c>
      <c r="D1948" s="21">
        <v>850000</v>
      </c>
      <c r="E1948" s="4">
        <v>9</v>
      </c>
      <c r="F1948" s="4">
        <v>4</v>
      </c>
      <c r="G1948" s="4">
        <v>3.1</v>
      </c>
      <c r="H1948" s="10">
        <v>3264</v>
      </c>
      <c r="I1948" s="11">
        <f t="shared" si="60"/>
        <v>260.41666666666669</v>
      </c>
      <c r="J1948" s="3" t="str">
        <f t="shared" si="61"/>
        <v>Medium</v>
      </c>
    </row>
    <row r="1949" spans="1:10">
      <c r="A1949" s="7" t="s">
        <v>2012</v>
      </c>
      <c r="B1949" s="7" t="s">
        <v>131</v>
      </c>
      <c r="C1949" s="7" t="s">
        <v>12</v>
      </c>
      <c r="D1949" s="22">
        <v>850000</v>
      </c>
      <c r="E1949" s="7">
        <v>0</v>
      </c>
      <c r="F1949" s="7">
        <v>4</v>
      </c>
      <c r="G1949" s="7">
        <v>2.1</v>
      </c>
      <c r="H1949" s="12">
        <v>2717</v>
      </c>
      <c r="I1949" s="9">
        <f t="shared" si="60"/>
        <v>312.84504968715493</v>
      </c>
      <c r="J1949" s="3" t="str">
        <f t="shared" si="61"/>
        <v>High</v>
      </c>
    </row>
    <row r="1950" spans="1:10">
      <c r="A1950" s="4" t="s">
        <v>2013</v>
      </c>
      <c r="B1950" s="4" t="s">
        <v>16</v>
      </c>
      <c r="C1950" s="4" t="s">
        <v>12</v>
      </c>
      <c r="D1950" s="21">
        <v>850000</v>
      </c>
      <c r="E1950" s="4">
        <v>71</v>
      </c>
      <c r="F1950" s="4">
        <v>4</v>
      </c>
      <c r="G1950" s="4">
        <v>3.1</v>
      </c>
      <c r="H1950" s="10">
        <v>3538</v>
      </c>
      <c r="I1950" s="11">
        <f t="shared" si="60"/>
        <v>240.2487280949689</v>
      </c>
      <c r="J1950" s="3" t="str">
        <f t="shared" si="61"/>
        <v>Medium</v>
      </c>
    </row>
    <row r="1951" spans="1:10">
      <c r="A1951" s="7" t="s">
        <v>2014</v>
      </c>
      <c r="B1951" s="7" t="s">
        <v>298</v>
      </c>
      <c r="C1951" s="7" t="s">
        <v>12</v>
      </c>
      <c r="D1951" s="22">
        <v>850000</v>
      </c>
      <c r="E1951" s="7">
        <v>24</v>
      </c>
      <c r="F1951" s="7">
        <v>4</v>
      </c>
      <c r="G1951" s="7">
        <v>4.2</v>
      </c>
      <c r="H1951" s="12">
        <v>5185</v>
      </c>
      <c r="I1951" s="9">
        <f t="shared" si="60"/>
        <v>163.9344262295082</v>
      </c>
      <c r="J1951" s="3" t="str">
        <f t="shared" si="61"/>
        <v>Low</v>
      </c>
    </row>
    <row r="1952" spans="1:10">
      <c r="A1952" s="4" t="s">
        <v>2015</v>
      </c>
      <c r="B1952" s="4" t="s">
        <v>212</v>
      </c>
      <c r="C1952" s="4" t="s">
        <v>12</v>
      </c>
      <c r="D1952" s="21">
        <v>850000</v>
      </c>
      <c r="E1952" s="4">
        <v>16</v>
      </c>
      <c r="F1952" s="4">
        <v>4</v>
      </c>
      <c r="G1952" s="4">
        <v>2.1</v>
      </c>
      <c r="H1952" s="10">
        <v>3322</v>
      </c>
      <c r="I1952" s="11">
        <f t="shared" si="60"/>
        <v>255.86995785671283</v>
      </c>
      <c r="J1952" s="3" t="str">
        <f t="shared" si="61"/>
        <v>Medium</v>
      </c>
    </row>
    <row r="1953" spans="1:10">
      <c r="A1953" s="7" t="s">
        <v>2016</v>
      </c>
      <c r="B1953" s="7" t="s">
        <v>1366</v>
      </c>
      <c r="C1953" s="7" t="s">
        <v>12</v>
      </c>
      <c r="D1953" s="22">
        <v>850000</v>
      </c>
      <c r="E1953" s="7">
        <v>113</v>
      </c>
      <c r="F1953" s="7">
        <v>6</v>
      </c>
      <c r="G1953" s="7">
        <v>6.1</v>
      </c>
      <c r="H1953" s="12">
        <v>4415</v>
      </c>
      <c r="I1953" s="9">
        <f t="shared" si="60"/>
        <v>192.5254813137033</v>
      </c>
      <c r="J1953" s="3" t="str">
        <f t="shared" si="61"/>
        <v>Low</v>
      </c>
    </row>
    <row r="1954" spans="1:10">
      <c r="A1954" s="4" t="s">
        <v>2017</v>
      </c>
      <c r="B1954" s="4" t="s">
        <v>823</v>
      </c>
      <c r="C1954" s="4" t="s">
        <v>12</v>
      </c>
      <c r="D1954" s="21">
        <v>850000</v>
      </c>
      <c r="E1954" s="4">
        <v>28</v>
      </c>
      <c r="F1954" s="4">
        <v>4</v>
      </c>
      <c r="G1954" s="4">
        <v>4.2</v>
      </c>
      <c r="H1954" s="10">
        <v>4304</v>
      </c>
      <c r="I1954" s="11">
        <f t="shared" si="60"/>
        <v>197.49070631970261</v>
      </c>
      <c r="J1954" s="3" t="str">
        <f t="shared" si="61"/>
        <v>Low</v>
      </c>
    </row>
    <row r="1955" spans="1:10">
      <c r="A1955" s="7" t="s">
        <v>2018</v>
      </c>
      <c r="B1955" s="7" t="s">
        <v>268</v>
      </c>
      <c r="C1955" s="7" t="s">
        <v>12</v>
      </c>
      <c r="D1955" s="22">
        <v>850000</v>
      </c>
      <c r="E1955" s="7">
        <v>0</v>
      </c>
      <c r="F1955" s="7">
        <v>4</v>
      </c>
      <c r="G1955" s="7">
        <v>2.1</v>
      </c>
      <c r="H1955" s="12">
        <v>3300</v>
      </c>
      <c r="I1955" s="9">
        <f t="shared" si="60"/>
        <v>257.57575757575756</v>
      </c>
      <c r="J1955" s="3" t="str">
        <f t="shared" si="61"/>
        <v>Medium</v>
      </c>
    </row>
    <row r="1956" spans="1:10">
      <c r="A1956" s="4" t="s">
        <v>2019</v>
      </c>
      <c r="B1956" s="4" t="s">
        <v>645</v>
      </c>
      <c r="C1956" s="4" t="s">
        <v>12</v>
      </c>
      <c r="D1956" s="21">
        <v>860000</v>
      </c>
      <c r="E1956" s="4">
        <v>12</v>
      </c>
      <c r="F1956" s="4">
        <v>5</v>
      </c>
      <c r="G1956" s="4">
        <v>4</v>
      </c>
      <c r="H1956" s="10">
        <v>3240</v>
      </c>
      <c r="I1956" s="11">
        <f t="shared" si="60"/>
        <v>265.4320987654321</v>
      </c>
      <c r="J1956" s="3" t="str">
        <f t="shared" si="61"/>
        <v>Medium</v>
      </c>
    </row>
    <row r="1957" spans="1:10">
      <c r="A1957" s="7" t="s">
        <v>2020</v>
      </c>
      <c r="B1957" s="7" t="s">
        <v>212</v>
      </c>
      <c r="C1957" s="7" t="s">
        <v>12</v>
      </c>
      <c r="D1957" s="22">
        <v>860000</v>
      </c>
      <c r="E1957" s="7">
        <v>24</v>
      </c>
      <c r="F1957" s="7">
        <v>4</v>
      </c>
      <c r="G1957" s="7">
        <v>3.2</v>
      </c>
      <c r="H1957" s="12">
        <v>4154</v>
      </c>
      <c r="I1957" s="9">
        <f t="shared" si="60"/>
        <v>207.02936928261917</v>
      </c>
      <c r="J1957" s="3" t="str">
        <f t="shared" si="61"/>
        <v>Medium</v>
      </c>
    </row>
    <row r="1958" spans="1:10">
      <c r="A1958" s="4" t="s">
        <v>2021</v>
      </c>
      <c r="B1958" s="4" t="s">
        <v>728</v>
      </c>
      <c r="C1958" s="4" t="s">
        <v>12</v>
      </c>
      <c r="D1958" s="21">
        <v>865000</v>
      </c>
      <c r="E1958" s="4">
        <v>9</v>
      </c>
      <c r="F1958" s="4">
        <v>4</v>
      </c>
      <c r="G1958" s="4">
        <v>2.1</v>
      </c>
      <c r="H1958" s="10">
        <v>2448</v>
      </c>
      <c r="I1958" s="11">
        <f t="shared" si="60"/>
        <v>353.34967320261438</v>
      </c>
      <c r="J1958" s="3" t="str">
        <f t="shared" si="61"/>
        <v>High</v>
      </c>
    </row>
    <row r="1959" spans="1:10">
      <c r="A1959" s="7" t="s">
        <v>2022</v>
      </c>
      <c r="B1959" s="7" t="s">
        <v>212</v>
      </c>
      <c r="C1959" s="7" t="s">
        <v>12</v>
      </c>
      <c r="D1959" s="22">
        <v>865000</v>
      </c>
      <c r="E1959" s="7">
        <v>11</v>
      </c>
      <c r="F1959" s="7">
        <v>4</v>
      </c>
      <c r="G1959" s="7">
        <v>3</v>
      </c>
      <c r="H1959" s="12">
        <v>3293</v>
      </c>
      <c r="I1959" s="9">
        <f t="shared" si="60"/>
        <v>262.67840874582447</v>
      </c>
      <c r="J1959" s="3" t="str">
        <f t="shared" si="61"/>
        <v>Medium</v>
      </c>
    </row>
    <row r="1960" spans="1:10">
      <c r="A1960" s="4" t="s">
        <v>2023</v>
      </c>
      <c r="B1960" s="4" t="s">
        <v>331</v>
      </c>
      <c r="C1960" s="4" t="s">
        <v>12</v>
      </c>
      <c r="D1960" s="21">
        <v>865000</v>
      </c>
      <c r="E1960" s="4">
        <v>20</v>
      </c>
      <c r="F1960" s="4">
        <v>5</v>
      </c>
      <c r="G1960" s="4">
        <v>4.0999999999999996</v>
      </c>
      <c r="H1960" s="10">
        <v>4262</v>
      </c>
      <c r="I1960" s="11">
        <f t="shared" si="60"/>
        <v>202.95635851712811</v>
      </c>
      <c r="J1960" s="3" t="str">
        <f t="shared" si="61"/>
        <v>Medium</v>
      </c>
    </row>
    <row r="1961" spans="1:10">
      <c r="A1961" s="7" t="s">
        <v>2024</v>
      </c>
      <c r="B1961" s="7" t="s">
        <v>21</v>
      </c>
      <c r="C1961" s="7" t="s">
        <v>12</v>
      </c>
      <c r="D1961" s="22">
        <v>867000</v>
      </c>
      <c r="E1961" s="7">
        <v>252</v>
      </c>
      <c r="F1961" s="7">
        <v>5</v>
      </c>
      <c r="G1961" s="7">
        <v>3.1</v>
      </c>
      <c r="H1961" s="12">
        <v>4827</v>
      </c>
      <c r="I1961" s="9">
        <f t="shared" si="60"/>
        <v>179.61466749533872</v>
      </c>
      <c r="J1961" s="3" t="str">
        <f t="shared" si="61"/>
        <v>Low</v>
      </c>
    </row>
    <row r="1962" spans="1:10">
      <c r="A1962" s="4" t="s">
        <v>2025</v>
      </c>
      <c r="B1962" s="4" t="s">
        <v>544</v>
      </c>
      <c r="C1962" s="4" t="s">
        <v>12</v>
      </c>
      <c r="D1962" s="21">
        <v>869165</v>
      </c>
      <c r="E1962" s="4">
        <v>40</v>
      </c>
      <c r="F1962" s="4">
        <v>4</v>
      </c>
      <c r="G1962" s="4">
        <v>3.1</v>
      </c>
      <c r="H1962" s="10">
        <v>3277</v>
      </c>
      <c r="I1962" s="11">
        <f t="shared" si="60"/>
        <v>265.23191943851083</v>
      </c>
      <c r="J1962" s="3" t="str">
        <f t="shared" si="61"/>
        <v>Medium</v>
      </c>
    </row>
    <row r="1963" spans="1:10">
      <c r="A1963" s="7" t="s">
        <v>2026</v>
      </c>
      <c r="B1963" s="7" t="s">
        <v>400</v>
      </c>
      <c r="C1963" s="7" t="s">
        <v>12</v>
      </c>
      <c r="D1963" s="22">
        <v>869900</v>
      </c>
      <c r="E1963" s="7">
        <v>46</v>
      </c>
      <c r="F1963" s="7">
        <v>5</v>
      </c>
      <c r="G1963" s="7">
        <v>4.0999999999999996</v>
      </c>
      <c r="H1963" s="12">
        <v>3877</v>
      </c>
      <c r="I1963" s="9">
        <f t="shared" si="60"/>
        <v>224.37451637864328</v>
      </c>
      <c r="J1963" s="3" t="str">
        <f t="shared" si="61"/>
        <v>Medium</v>
      </c>
    </row>
    <row r="1964" spans="1:10">
      <c r="A1964" s="4" t="s">
        <v>2027</v>
      </c>
      <c r="B1964" s="4" t="s">
        <v>268</v>
      </c>
      <c r="C1964" s="4" t="s">
        <v>12</v>
      </c>
      <c r="D1964" s="21">
        <v>870000</v>
      </c>
      <c r="E1964" s="4">
        <v>14</v>
      </c>
      <c r="F1964" s="4">
        <v>3</v>
      </c>
      <c r="G1964" s="4">
        <v>4.2</v>
      </c>
      <c r="H1964" s="10">
        <v>4148</v>
      </c>
      <c r="I1964" s="11">
        <f t="shared" si="60"/>
        <v>209.73963355834138</v>
      </c>
      <c r="J1964" s="3" t="str">
        <f t="shared" si="61"/>
        <v>Medium</v>
      </c>
    </row>
    <row r="1965" spans="1:10">
      <c r="A1965" s="7" t="s">
        <v>2028</v>
      </c>
      <c r="B1965" s="7" t="s">
        <v>16</v>
      </c>
      <c r="C1965" s="7" t="s">
        <v>12</v>
      </c>
      <c r="D1965" s="22">
        <v>875000</v>
      </c>
      <c r="E1965" s="7">
        <v>95</v>
      </c>
      <c r="F1965" s="7">
        <v>4</v>
      </c>
      <c r="G1965" s="7">
        <v>3.1</v>
      </c>
      <c r="H1965" s="12">
        <v>3572</v>
      </c>
      <c r="I1965" s="9">
        <f t="shared" si="60"/>
        <v>244.96080627099664</v>
      </c>
      <c r="J1965" s="3" t="str">
        <f t="shared" si="61"/>
        <v>Medium</v>
      </c>
    </row>
    <row r="1966" spans="1:10">
      <c r="A1966" s="4" t="s">
        <v>2029</v>
      </c>
      <c r="B1966" s="4" t="s">
        <v>331</v>
      </c>
      <c r="C1966" s="4" t="s">
        <v>12</v>
      </c>
      <c r="D1966" s="21">
        <v>875000</v>
      </c>
      <c r="E1966" s="4">
        <v>191</v>
      </c>
      <c r="F1966" s="4">
        <v>5</v>
      </c>
      <c r="G1966" s="4">
        <v>4.2</v>
      </c>
      <c r="H1966" s="10">
        <v>4849</v>
      </c>
      <c r="I1966" s="11">
        <f t="shared" si="60"/>
        <v>180.44957723241905</v>
      </c>
      <c r="J1966" s="3" t="str">
        <f t="shared" si="61"/>
        <v>Low</v>
      </c>
    </row>
    <row r="1967" spans="1:10">
      <c r="A1967" s="7" t="s">
        <v>2030</v>
      </c>
      <c r="B1967" s="7" t="s">
        <v>212</v>
      </c>
      <c r="C1967" s="7" t="s">
        <v>12</v>
      </c>
      <c r="D1967" s="22">
        <v>880000</v>
      </c>
      <c r="E1967" s="7">
        <v>7</v>
      </c>
      <c r="F1967" s="7">
        <v>4</v>
      </c>
      <c r="G1967" s="7">
        <v>3.2</v>
      </c>
      <c r="H1967" s="12">
        <v>3213</v>
      </c>
      <c r="I1967" s="9">
        <f t="shared" si="60"/>
        <v>273.8873327108621</v>
      </c>
      <c r="J1967" s="3" t="str">
        <f t="shared" si="61"/>
        <v>Medium</v>
      </c>
    </row>
    <row r="1968" spans="1:10">
      <c r="A1968" s="4" t="s">
        <v>2031</v>
      </c>
      <c r="B1968" s="4" t="s">
        <v>679</v>
      </c>
      <c r="C1968" s="4" t="s">
        <v>12</v>
      </c>
      <c r="D1968" s="21">
        <v>880000</v>
      </c>
      <c r="E1968" s="4">
        <v>66</v>
      </c>
      <c r="F1968" s="4">
        <v>3</v>
      </c>
      <c r="G1968" s="4">
        <v>2.1</v>
      </c>
      <c r="H1968" s="10">
        <v>2500</v>
      </c>
      <c r="I1968" s="11">
        <f t="shared" si="60"/>
        <v>352</v>
      </c>
      <c r="J1968" s="3" t="str">
        <f t="shared" si="61"/>
        <v>High</v>
      </c>
    </row>
    <row r="1969" spans="1:10">
      <c r="A1969" s="7" t="s">
        <v>2032</v>
      </c>
      <c r="B1969" s="7" t="s">
        <v>823</v>
      </c>
      <c r="C1969" s="7" t="s">
        <v>12</v>
      </c>
      <c r="D1969" s="22">
        <v>888900</v>
      </c>
      <c r="E1969" s="7">
        <v>49</v>
      </c>
      <c r="F1969" s="7">
        <v>4</v>
      </c>
      <c r="G1969" s="7">
        <v>3.1</v>
      </c>
      <c r="H1969" s="12">
        <v>3175</v>
      </c>
      <c r="I1969" s="9">
        <f t="shared" si="60"/>
        <v>279.96850393700788</v>
      </c>
      <c r="J1969" s="3" t="str">
        <f t="shared" si="61"/>
        <v>Medium</v>
      </c>
    </row>
    <row r="1970" spans="1:10">
      <c r="A1970" s="4" t="s">
        <v>2033</v>
      </c>
      <c r="B1970" s="4" t="s">
        <v>728</v>
      </c>
      <c r="C1970" s="4" t="s">
        <v>12</v>
      </c>
      <c r="D1970" s="21">
        <v>890000</v>
      </c>
      <c r="E1970" s="4">
        <v>17</v>
      </c>
      <c r="F1970" s="4">
        <v>3</v>
      </c>
      <c r="G1970" s="4">
        <v>2.1</v>
      </c>
      <c r="H1970" s="10">
        <v>2424</v>
      </c>
      <c r="I1970" s="11">
        <f t="shared" si="60"/>
        <v>367.16171617161717</v>
      </c>
      <c r="J1970" s="3" t="str">
        <f t="shared" si="61"/>
        <v>High</v>
      </c>
    </row>
    <row r="1971" spans="1:10">
      <c r="A1971" s="7" t="s">
        <v>2034</v>
      </c>
      <c r="B1971" s="7" t="s">
        <v>679</v>
      </c>
      <c r="C1971" s="7" t="s">
        <v>12</v>
      </c>
      <c r="D1971" s="22">
        <v>890000</v>
      </c>
      <c r="E1971" s="7">
        <v>13</v>
      </c>
      <c r="F1971" s="7">
        <v>3</v>
      </c>
      <c r="G1971" s="7">
        <v>3.1</v>
      </c>
      <c r="H1971" s="12">
        <v>2500</v>
      </c>
      <c r="I1971" s="9">
        <f t="shared" si="60"/>
        <v>356</v>
      </c>
      <c r="J1971" s="3" t="str">
        <f t="shared" si="61"/>
        <v>High</v>
      </c>
    </row>
    <row r="1972" spans="1:10">
      <c r="A1972" s="4" t="s">
        <v>2035</v>
      </c>
      <c r="B1972" s="4" t="s">
        <v>212</v>
      </c>
      <c r="C1972" s="4" t="s">
        <v>12</v>
      </c>
      <c r="D1972" s="21">
        <v>891888</v>
      </c>
      <c r="E1972" s="4">
        <v>6</v>
      </c>
      <c r="F1972" s="4">
        <v>4</v>
      </c>
      <c r="G1972" s="4">
        <v>3.1</v>
      </c>
      <c r="H1972" s="10">
        <v>3200</v>
      </c>
      <c r="I1972" s="11">
        <f t="shared" si="60"/>
        <v>278.71499999999997</v>
      </c>
      <c r="J1972" s="3" t="str">
        <f t="shared" si="61"/>
        <v>Medium</v>
      </c>
    </row>
    <row r="1973" spans="1:10">
      <c r="A1973" s="7" t="s">
        <v>2036</v>
      </c>
      <c r="B1973" s="7" t="s">
        <v>318</v>
      </c>
      <c r="C1973" s="7" t="s">
        <v>12</v>
      </c>
      <c r="D1973" s="22">
        <v>895000</v>
      </c>
      <c r="E1973" s="7">
        <v>11</v>
      </c>
      <c r="F1973" s="7">
        <v>5</v>
      </c>
      <c r="G1973" s="7">
        <v>3.1</v>
      </c>
      <c r="H1973" s="12">
        <v>2122</v>
      </c>
      <c r="I1973" s="9">
        <f t="shared" si="60"/>
        <v>421.7719132893497</v>
      </c>
      <c r="J1973" s="3" t="str">
        <f t="shared" si="61"/>
        <v>High</v>
      </c>
    </row>
    <row r="1974" spans="1:10">
      <c r="A1974" s="4" t="s">
        <v>2037</v>
      </c>
      <c r="B1974" s="4" t="s">
        <v>1139</v>
      </c>
      <c r="C1974" s="4" t="s">
        <v>12</v>
      </c>
      <c r="D1974" s="21">
        <v>900000</v>
      </c>
      <c r="E1974" s="4">
        <v>2</v>
      </c>
      <c r="F1974" s="4">
        <v>4</v>
      </c>
      <c r="G1974" s="4">
        <v>2.2000000000000002</v>
      </c>
      <c r="H1974" s="10">
        <v>2620</v>
      </c>
      <c r="I1974" s="11">
        <f t="shared" si="60"/>
        <v>343.51145038167937</v>
      </c>
      <c r="J1974" s="3" t="str">
        <f t="shared" si="61"/>
        <v>High</v>
      </c>
    </row>
    <row r="1975" spans="1:10">
      <c r="A1975" s="7" t="s">
        <v>2038</v>
      </c>
      <c r="B1975" s="7" t="s">
        <v>16</v>
      </c>
      <c r="C1975" s="7" t="s">
        <v>12</v>
      </c>
      <c r="D1975" s="22">
        <v>900000</v>
      </c>
      <c r="E1975" s="7">
        <v>43</v>
      </c>
      <c r="F1975" s="7">
        <v>5</v>
      </c>
      <c r="G1975" s="7">
        <v>3.1</v>
      </c>
      <c r="H1975" s="12">
        <v>3698</v>
      </c>
      <c r="I1975" s="9">
        <f t="shared" si="60"/>
        <v>243.374797187669</v>
      </c>
      <c r="J1975" s="3" t="str">
        <f t="shared" si="61"/>
        <v>Medium</v>
      </c>
    </row>
    <row r="1976" spans="1:10">
      <c r="A1976" s="4" t="s">
        <v>2039</v>
      </c>
      <c r="B1976" s="4" t="s">
        <v>474</v>
      </c>
      <c r="C1976" s="4" t="s">
        <v>12</v>
      </c>
      <c r="D1976" s="21">
        <v>905000</v>
      </c>
      <c r="E1976" s="4">
        <v>5</v>
      </c>
      <c r="F1976" s="4">
        <v>3</v>
      </c>
      <c r="G1976" s="4">
        <v>2.1</v>
      </c>
      <c r="H1976" s="10">
        <v>1595</v>
      </c>
      <c r="I1976" s="11">
        <f t="shared" si="60"/>
        <v>567.39811912225707</v>
      </c>
      <c r="J1976" s="3" t="str">
        <f t="shared" si="61"/>
        <v>High</v>
      </c>
    </row>
    <row r="1977" spans="1:10">
      <c r="A1977" s="7" t="s">
        <v>2040</v>
      </c>
      <c r="B1977" s="7" t="s">
        <v>56</v>
      </c>
      <c r="C1977" s="7" t="s">
        <v>12</v>
      </c>
      <c r="D1977" s="22">
        <v>915000</v>
      </c>
      <c r="E1977" s="7">
        <v>5</v>
      </c>
      <c r="F1977" s="7">
        <v>4</v>
      </c>
      <c r="G1977" s="7">
        <v>3</v>
      </c>
      <c r="H1977" s="12">
        <v>1990</v>
      </c>
      <c r="I1977" s="9">
        <f t="shared" si="60"/>
        <v>459.79899497487435</v>
      </c>
      <c r="J1977" s="3" t="str">
        <f t="shared" si="61"/>
        <v>High</v>
      </c>
    </row>
    <row r="1978" spans="1:10">
      <c r="A1978" s="4" t="s">
        <v>2041</v>
      </c>
      <c r="B1978" s="4" t="s">
        <v>268</v>
      </c>
      <c r="C1978" s="4" t="s">
        <v>12</v>
      </c>
      <c r="D1978" s="21">
        <v>915000</v>
      </c>
      <c r="E1978" s="4">
        <v>52</v>
      </c>
      <c r="F1978" s="4">
        <v>4</v>
      </c>
      <c r="G1978" s="4">
        <v>4.2</v>
      </c>
      <c r="H1978" s="10">
        <v>4611</v>
      </c>
      <c r="I1978" s="11">
        <f t="shared" si="60"/>
        <v>198.43851659076122</v>
      </c>
      <c r="J1978" s="3" t="str">
        <f t="shared" si="61"/>
        <v>Low</v>
      </c>
    </row>
    <row r="1979" spans="1:10">
      <c r="A1979" s="7" t="s">
        <v>2042</v>
      </c>
      <c r="B1979" s="7" t="s">
        <v>960</v>
      </c>
      <c r="C1979" s="7" t="s">
        <v>12</v>
      </c>
      <c r="D1979" s="22">
        <v>920000</v>
      </c>
      <c r="E1979" s="7">
        <v>67</v>
      </c>
      <c r="F1979" s="7">
        <v>4</v>
      </c>
      <c r="G1979" s="7">
        <v>3.1</v>
      </c>
      <c r="H1979" s="12">
        <v>4423</v>
      </c>
      <c r="I1979" s="9">
        <f t="shared" si="60"/>
        <v>208.0036174542166</v>
      </c>
      <c r="J1979" s="3" t="str">
        <f t="shared" si="61"/>
        <v>Medium</v>
      </c>
    </row>
    <row r="1980" spans="1:10">
      <c r="A1980" s="4" t="s">
        <v>2043</v>
      </c>
      <c r="B1980" s="4" t="s">
        <v>16</v>
      </c>
      <c r="C1980" s="4" t="s">
        <v>12</v>
      </c>
      <c r="D1980" s="21">
        <v>922000</v>
      </c>
      <c r="E1980" s="4">
        <v>7</v>
      </c>
      <c r="F1980" s="4">
        <v>5</v>
      </c>
      <c r="G1980" s="4">
        <v>3.1</v>
      </c>
      <c r="H1980" s="10">
        <v>3172</v>
      </c>
      <c r="I1980" s="11">
        <f t="shared" si="60"/>
        <v>290.66834804539724</v>
      </c>
      <c r="J1980" s="3" t="str">
        <f t="shared" si="61"/>
        <v>Medium</v>
      </c>
    </row>
    <row r="1981" spans="1:10">
      <c r="A1981" s="7" t="s">
        <v>2044</v>
      </c>
      <c r="B1981" s="7" t="s">
        <v>21</v>
      </c>
      <c r="C1981" s="7" t="s">
        <v>12</v>
      </c>
      <c r="D1981" s="22">
        <v>925000</v>
      </c>
      <c r="E1981" s="7">
        <v>3</v>
      </c>
      <c r="F1981" s="7">
        <v>4</v>
      </c>
      <c r="G1981" s="7">
        <v>3.1</v>
      </c>
      <c r="H1981" s="12">
        <v>2722</v>
      </c>
      <c r="I1981" s="9">
        <f t="shared" si="60"/>
        <v>339.82365907421013</v>
      </c>
      <c r="J1981" s="3" t="str">
        <f t="shared" si="61"/>
        <v>High</v>
      </c>
    </row>
    <row r="1982" spans="1:10">
      <c r="A1982" s="4" t="s">
        <v>2045</v>
      </c>
      <c r="B1982" s="4" t="s">
        <v>131</v>
      </c>
      <c r="C1982" s="4" t="s">
        <v>12</v>
      </c>
      <c r="D1982" s="21">
        <v>925000</v>
      </c>
      <c r="E1982" s="4">
        <v>7</v>
      </c>
      <c r="F1982" s="4">
        <v>4</v>
      </c>
      <c r="G1982" s="4">
        <v>4.0999999999999996</v>
      </c>
      <c r="H1982" s="10">
        <v>3006</v>
      </c>
      <c r="I1982" s="11">
        <f t="shared" si="60"/>
        <v>307.71789753825681</v>
      </c>
      <c r="J1982" s="3" t="str">
        <f t="shared" si="61"/>
        <v>High</v>
      </c>
    </row>
    <row r="1983" spans="1:10">
      <c r="A1983" s="7" t="s">
        <v>2046</v>
      </c>
      <c r="B1983" s="7" t="s">
        <v>400</v>
      </c>
      <c r="C1983" s="7" t="s">
        <v>12</v>
      </c>
      <c r="D1983" s="22">
        <v>925000</v>
      </c>
      <c r="E1983" s="7">
        <v>194</v>
      </c>
      <c r="F1983" s="7">
        <v>4</v>
      </c>
      <c r="G1983" s="7">
        <v>3.1</v>
      </c>
      <c r="H1983" s="12">
        <v>4664</v>
      </c>
      <c r="I1983" s="9">
        <f t="shared" si="60"/>
        <v>198.32761578044597</v>
      </c>
      <c r="J1983" s="3" t="str">
        <f t="shared" si="61"/>
        <v>Low</v>
      </c>
    </row>
    <row r="1984" spans="1:10">
      <c r="A1984" s="4" t="s">
        <v>2047</v>
      </c>
      <c r="B1984" s="4" t="s">
        <v>400</v>
      </c>
      <c r="C1984" s="4" t="s">
        <v>12</v>
      </c>
      <c r="D1984" s="21">
        <v>930000</v>
      </c>
      <c r="E1984" s="4">
        <v>127</v>
      </c>
      <c r="F1984" s="4">
        <v>4</v>
      </c>
      <c r="G1984" s="4">
        <v>3.2</v>
      </c>
      <c r="H1984" s="10">
        <v>3788</v>
      </c>
      <c r="I1984" s="11">
        <f t="shared" si="60"/>
        <v>245.51214361140444</v>
      </c>
      <c r="J1984" s="3" t="str">
        <f t="shared" si="61"/>
        <v>Medium</v>
      </c>
    </row>
    <row r="1985" spans="1:10">
      <c r="A1985" s="7" t="s">
        <v>2048</v>
      </c>
      <c r="B1985" s="7" t="s">
        <v>960</v>
      </c>
      <c r="C1985" s="7" t="s">
        <v>12</v>
      </c>
      <c r="D1985" s="22">
        <v>930000</v>
      </c>
      <c r="E1985" s="7">
        <v>278</v>
      </c>
      <c r="F1985" s="7">
        <v>4</v>
      </c>
      <c r="G1985" s="7">
        <v>2.1</v>
      </c>
      <c r="H1985" s="12">
        <v>3277</v>
      </c>
      <c r="I1985" s="9">
        <f t="shared" si="60"/>
        <v>283.79615501983523</v>
      </c>
      <c r="J1985" s="3" t="str">
        <f t="shared" si="61"/>
        <v>Medium</v>
      </c>
    </row>
    <row r="1986" spans="1:10">
      <c r="A1986" s="4" t="s">
        <v>2049</v>
      </c>
      <c r="B1986" s="4" t="s">
        <v>11</v>
      </c>
      <c r="C1986" s="4" t="s">
        <v>12</v>
      </c>
      <c r="D1986" s="21">
        <v>935000</v>
      </c>
      <c r="E1986" s="4">
        <v>6</v>
      </c>
      <c r="F1986" s="4">
        <v>3</v>
      </c>
      <c r="G1986" s="4">
        <v>3.1</v>
      </c>
      <c r="H1986" s="10">
        <v>2536</v>
      </c>
      <c r="I1986" s="11">
        <f t="shared" ref="I1986:I2049" si="62">D1986/H1986</f>
        <v>368.69085173501577</v>
      </c>
      <c r="J1986" s="3" t="str">
        <f t="shared" ref="J1986:J2049" si="63">IF(I1986 &gt; 300, "High", IF(AND(I1986 &lt;= 300, I1986 &gt; 200), "Medium", "Low"))</f>
        <v>High</v>
      </c>
    </row>
    <row r="1987" spans="1:10">
      <c r="A1987" s="7" t="s">
        <v>2050</v>
      </c>
      <c r="B1987" s="7" t="s">
        <v>544</v>
      </c>
      <c r="C1987" s="7" t="s">
        <v>12</v>
      </c>
      <c r="D1987" s="22">
        <v>935000</v>
      </c>
      <c r="E1987" s="7">
        <v>12</v>
      </c>
      <c r="F1987" s="7">
        <v>4</v>
      </c>
      <c r="G1987" s="7">
        <v>3.1</v>
      </c>
      <c r="H1987" s="12">
        <v>3900</v>
      </c>
      <c r="I1987" s="9">
        <f t="shared" si="62"/>
        <v>239.74358974358975</v>
      </c>
      <c r="J1987" s="3" t="str">
        <f t="shared" si="63"/>
        <v>Medium</v>
      </c>
    </row>
    <row r="1988" spans="1:10">
      <c r="A1988" s="4" t="s">
        <v>2051</v>
      </c>
      <c r="B1988" s="4" t="s">
        <v>817</v>
      </c>
      <c r="C1988" s="4" t="s">
        <v>12</v>
      </c>
      <c r="D1988" s="21">
        <v>935000</v>
      </c>
      <c r="E1988" s="4">
        <v>86</v>
      </c>
      <c r="F1988" s="4">
        <v>4</v>
      </c>
      <c r="G1988" s="4">
        <v>3.1</v>
      </c>
      <c r="H1988" s="10">
        <v>2963</v>
      </c>
      <c r="I1988" s="11">
        <f t="shared" si="62"/>
        <v>315.55855551805604</v>
      </c>
      <c r="J1988" s="3" t="str">
        <f t="shared" si="63"/>
        <v>High</v>
      </c>
    </row>
    <row r="1989" spans="1:10">
      <c r="A1989" s="7" t="s">
        <v>2052</v>
      </c>
      <c r="B1989" s="7" t="s">
        <v>212</v>
      </c>
      <c r="C1989" s="7" t="s">
        <v>12</v>
      </c>
      <c r="D1989" s="22">
        <v>939900</v>
      </c>
      <c r="E1989" s="7">
        <v>5</v>
      </c>
      <c r="F1989" s="7">
        <v>4</v>
      </c>
      <c r="G1989" s="7">
        <v>3.1</v>
      </c>
      <c r="H1989" s="12">
        <v>3600</v>
      </c>
      <c r="I1989" s="9">
        <f t="shared" si="62"/>
        <v>261.08333333333331</v>
      </c>
      <c r="J1989" s="3" t="str">
        <f t="shared" si="63"/>
        <v>Medium</v>
      </c>
    </row>
    <row r="1990" spans="1:10">
      <c r="A1990" s="4" t="s">
        <v>2053</v>
      </c>
      <c r="B1990" s="4" t="s">
        <v>817</v>
      </c>
      <c r="C1990" s="4" t="s">
        <v>12</v>
      </c>
      <c r="D1990" s="21">
        <v>940000</v>
      </c>
      <c r="E1990" s="4">
        <v>0</v>
      </c>
      <c r="F1990" s="4">
        <v>4</v>
      </c>
      <c r="G1990" s="4">
        <v>4.0999999999999996</v>
      </c>
      <c r="H1990" s="10">
        <v>2798</v>
      </c>
      <c r="I1990" s="11">
        <f t="shared" si="62"/>
        <v>335.9542530378842</v>
      </c>
      <c r="J1990" s="3" t="str">
        <f t="shared" si="63"/>
        <v>High</v>
      </c>
    </row>
    <row r="1991" spans="1:10">
      <c r="A1991" s="7" t="s">
        <v>2054</v>
      </c>
      <c r="B1991" s="7" t="s">
        <v>960</v>
      </c>
      <c r="C1991" s="7" t="s">
        <v>12</v>
      </c>
      <c r="D1991" s="22">
        <v>945000</v>
      </c>
      <c r="E1991" s="7">
        <v>112</v>
      </c>
      <c r="F1991" s="7">
        <v>5</v>
      </c>
      <c r="G1991" s="7">
        <v>3.1</v>
      </c>
      <c r="H1991" s="12">
        <v>3408</v>
      </c>
      <c r="I1991" s="9">
        <f t="shared" si="62"/>
        <v>277.28873239436621</v>
      </c>
      <c r="J1991" s="3" t="str">
        <f t="shared" si="63"/>
        <v>Medium</v>
      </c>
    </row>
    <row r="1992" spans="1:10">
      <c r="A1992" s="4" t="s">
        <v>2055</v>
      </c>
      <c r="B1992" s="4" t="s">
        <v>400</v>
      </c>
      <c r="C1992" s="4" t="s">
        <v>12</v>
      </c>
      <c r="D1992" s="21">
        <v>950000</v>
      </c>
      <c r="E1992" s="4">
        <v>23</v>
      </c>
      <c r="F1992" s="4">
        <v>5</v>
      </c>
      <c r="G1992" s="4">
        <v>4.0999999999999996</v>
      </c>
      <c r="H1992" s="10">
        <v>4118</v>
      </c>
      <c r="I1992" s="11">
        <f t="shared" si="62"/>
        <v>230.6945118989801</v>
      </c>
      <c r="J1992" s="3" t="str">
        <f t="shared" si="63"/>
        <v>Medium</v>
      </c>
    </row>
    <row r="1993" spans="1:10">
      <c r="A1993" s="7" t="s">
        <v>2056</v>
      </c>
      <c r="B1993" s="7" t="s">
        <v>77</v>
      </c>
      <c r="C1993" s="7" t="s">
        <v>12</v>
      </c>
      <c r="D1993" s="22">
        <v>950000</v>
      </c>
      <c r="E1993" s="7">
        <v>6</v>
      </c>
      <c r="F1993" s="7">
        <v>4</v>
      </c>
      <c r="G1993" s="7">
        <v>3.1</v>
      </c>
      <c r="H1993" s="12">
        <v>3002</v>
      </c>
      <c r="I1993" s="9">
        <f t="shared" si="62"/>
        <v>316.45569620253167</v>
      </c>
      <c r="J1993" s="3" t="str">
        <f t="shared" si="63"/>
        <v>High</v>
      </c>
    </row>
    <row r="1994" spans="1:10">
      <c r="A1994" s="4" t="s">
        <v>2057</v>
      </c>
      <c r="B1994" s="4" t="s">
        <v>131</v>
      </c>
      <c r="C1994" s="4" t="s">
        <v>12</v>
      </c>
      <c r="D1994" s="21">
        <v>950000</v>
      </c>
      <c r="E1994" s="4">
        <v>55</v>
      </c>
      <c r="F1994" s="4">
        <v>5</v>
      </c>
      <c r="G1994" s="4">
        <v>4.0999999999999996</v>
      </c>
      <c r="H1994" s="10">
        <v>2850</v>
      </c>
      <c r="I1994" s="11">
        <f t="shared" si="62"/>
        <v>333.33333333333331</v>
      </c>
      <c r="J1994" s="3" t="str">
        <f t="shared" si="63"/>
        <v>High</v>
      </c>
    </row>
    <row r="1995" spans="1:10">
      <c r="A1995" s="7" t="s">
        <v>2058</v>
      </c>
      <c r="B1995" s="7" t="s">
        <v>679</v>
      </c>
      <c r="C1995" s="7" t="s">
        <v>12</v>
      </c>
      <c r="D1995" s="22">
        <v>950000</v>
      </c>
      <c r="E1995" s="7">
        <v>133</v>
      </c>
      <c r="F1995" s="7">
        <v>5</v>
      </c>
      <c r="G1995" s="7">
        <v>3.1</v>
      </c>
      <c r="H1995" s="12">
        <v>3239</v>
      </c>
      <c r="I1995" s="9">
        <f t="shared" si="62"/>
        <v>293.30040135844399</v>
      </c>
      <c r="J1995" s="3" t="str">
        <f t="shared" si="63"/>
        <v>Medium</v>
      </c>
    </row>
    <row r="1996" spans="1:10">
      <c r="A1996" s="4" t="s">
        <v>2059</v>
      </c>
      <c r="B1996" s="4" t="s">
        <v>212</v>
      </c>
      <c r="C1996" s="4" t="s">
        <v>12</v>
      </c>
      <c r="D1996" s="21">
        <v>950000</v>
      </c>
      <c r="E1996" s="4">
        <v>67</v>
      </c>
      <c r="F1996" s="4">
        <v>4</v>
      </c>
      <c r="G1996" s="4">
        <v>5</v>
      </c>
      <c r="H1996" s="10">
        <v>4186</v>
      </c>
      <c r="I1996" s="11">
        <f t="shared" si="62"/>
        <v>226.94696607740087</v>
      </c>
      <c r="J1996" s="3" t="str">
        <f t="shared" si="63"/>
        <v>Medium</v>
      </c>
    </row>
    <row r="1997" spans="1:10">
      <c r="A1997" s="7" t="s">
        <v>2060</v>
      </c>
      <c r="B1997" s="7" t="s">
        <v>400</v>
      </c>
      <c r="C1997" s="7" t="s">
        <v>12</v>
      </c>
      <c r="D1997" s="22">
        <v>955000</v>
      </c>
      <c r="E1997" s="7">
        <v>5</v>
      </c>
      <c r="F1997" s="7">
        <v>4</v>
      </c>
      <c r="G1997" s="7">
        <v>3.1</v>
      </c>
      <c r="H1997" s="12">
        <v>2602</v>
      </c>
      <c r="I1997" s="9">
        <f t="shared" si="62"/>
        <v>367.02536510376632</v>
      </c>
      <c r="J1997" s="3" t="str">
        <f t="shared" si="63"/>
        <v>High</v>
      </c>
    </row>
    <row r="1998" spans="1:10">
      <c r="A1998" s="4" t="s">
        <v>2061</v>
      </c>
      <c r="B1998" s="4" t="s">
        <v>679</v>
      </c>
      <c r="C1998" s="4" t="s">
        <v>12</v>
      </c>
      <c r="D1998" s="21">
        <v>956000</v>
      </c>
      <c r="E1998" s="4">
        <v>14</v>
      </c>
      <c r="F1998" s="4">
        <v>3</v>
      </c>
      <c r="G1998" s="4">
        <v>3</v>
      </c>
      <c r="H1998" s="10">
        <v>2086</v>
      </c>
      <c r="I1998" s="11">
        <f t="shared" si="62"/>
        <v>458.29338446788114</v>
      </c>
      <c r="J1998" s="3" t="str">
        <f t="shared" si="63"/>
        <v>High</v>
      </c>
    </row>
    <row r="1999" spans="1:10">
      <c r="A1999" s="7" t="s">
        <v>2062</v>
      </c>
      <c r="B1999" s="7" t="s">
        <v>544</v>
      </c>
      <c r="C1999" s="7" t="s">
        <v>12</v>
      </c>
      <c r="D1999" s="22">
        <v>961288</v>
      </c>
      <c r="E1999" s="7">
        <v>1</v>
      </c>
      <c r="F1999" s="7">
        <v>5</v>
      </c>
      <c r="G1999" s="7">
        <v>4</v>
      </c>
      <c r="H1999" s="12">
        <v>3321</v>
      </c>
      <c r="I1999" s="9">
        <f t="shared" si="62"/>
        <v>289.45739235170129</v>
      </c>
      <c r="J1999" s="3" t="str">
        <f t="shared" si="63"/>
        <v>Medium</v>
      </c>
    </row>
    <row r="2000" spans="1:10">
      <c r="A2000" s="4" t="s">
        <v>2063</v>
      </c>
      <c r="B2000" s="4" t="s">
        <v>131</v>
      </c>
      <c r="C2000" s="4" t="s">
        <v>12</v>
      </c>
      <c r="D2000" s="21">
        <v>962000</v>
      </c>
      <c r="E2000" s="4">
        <v>135</v>
      </c>
      <c r="F2000" s="4">
        <v>4</v>
      </c>
      <c r="G2000" s="4">
        <v>3.1</v>
      </c>
      <c r="H2000" s="10">
        <v>3054</v>
      </c>
      <c r="I2000" s="11">
        <f t="shared" si="62"/>
        <v>314.99672560576295</v>
      </c>
      <c r="J2000" s="3" t="str">
        <f t="shared" si="63"/>
        <v>High</v>
      </c>
    </row>
    <row r="2001" spans="1:10">
      <c r="A2001" s="7" t="s">
        <v>2064</v>
      </c>
      <c r="B2001" s="7" t="s">
        <v>131</v>
      </c>
      <c r="C2001" s="7" t="s">
        <v>12</v>
      </c>
      <c r="D2001" s="22">
        <v>965000</v>
      </c>
      <c r="E2001" s="7">
        <v>93</v>
      </c>
      <c r="F2001" s="7">
        <v>4</v>
      </c>
      <c r="G2001" s="7">
        <v>2.1</v>
      </c>
      <c r="H2001" s="12">
        <v>2716</v>
      </c>
      <c r="I2001" s="9">
        <f t="shared" si="62"/>
        <v>355.30191458026508</v>
      </c>
      <c r="J2001" s="3" t="str">
        <f t="shared" si="63"/>
        <v>High</v>
      </c>
    </row>
    <row r="2002" spans="1:10">
      <c r="A2002" s="4" t="s">
        <v>2065</v>
      </c>
      <c r="B2002" s="4" t="s">
        <v>960</v>
      </c>
      <c r="C2002" s="4" t="s">
        <v>12</v>
      </c>
      <c r="D2002" s="21">
        <v>970000</v>
      </c>
      <c r="E2002" s="4">
        <v>6</v>
      </c>
      <c r="F2002" s="4">
        <v>3</v>
      </c>
      <c r="G2002" s="4">
        <v>3</v>
      </c>
      <c r="H2002" s="10">
        <v>4044</v>
      </c>
      <c r="I2002" s="11">
        <f t="shared" si="62"/>
        <v>239.86152324431256</v>
      </c>
      <c r="J2002" s="3" t="str">
        <f t="shared" si="63"/>
        <v>Medium</v>
      </c>
    </row>
    <row r="2003" spans="1:10">
      <c r="A2003" s="7" t="s">
        <v>2066</v>
      </c>
      <c r="B2003" s="7" t="s">
        <v>474</v>
      </c>
      <c r="C2003" s="7" t="s">
        <v>12</v>
      </c>
      <c r="D2003" s="22">
        <v>970000</v>
      </c>
      <c r="E2003" s="7">
        <v>20</v>
      </c>
      <c r="F2003" s="7">
        <v>4</v>
      </c>
      <c r="G2003" s="7">
        <v>3</v>
      </c>
      <c r="H2003" s="12">
        <v>1635</v>
      </c>
      <c r="I2003" s="9">
        <f t="shared" si="62"/>
        <v>593.27217125382265</v>
      </c>
      <c r="J2003" s="3" t="str">
        <f t="shared" si="63"/>
        <v>High</v>
      </c>
    </row>
    <row r="2004" spans="1:10">
      <c r="A2004" s="4" t="s">
        <v>2067</v>
      </c>
      <c r="B2004" s="4" t="s">
        <v>679</v>
      </c>
      <c r="C2004" s="4" t="s">
        <v>12</v>
      </c>
      <c r="D2004" s="21">
        <v>970000</v>
      </c>
      <c r="E2004" s="4">
        <v>119</v>
      </c>
      <c r="F2004" s="4">
        <v>3</v>
      </c>
      <c r="G2004" s="4">
        <v>3.1</v>
      </c>
      <c r="H2004" s="10">
        <v>2363</v>
      </c>
      <c r="I2004" s="11">
        <f t="shared" si="62"/>
        <v>410.49513330512059</v>
      </c>
      <c r="J2004" s="3" t="str">
        <f t="shared" si="63"/>
        <v>High</v>
      </c>
    </row>
    <row r="2005" spans="1:10">
      <c r="A2005" s="7" t="s">
        <v>2068</v>
      </c>
      <c r="B2005" s="7" t="s">
        <v>400</v>
      </c>
      <c r="C2005" s="7" t="s">
        <v>12</v>
      </c>
      <c r="D2005" s="22">
        <v>973000</v>
      </c>
      <c r="E2005" s="7">
        <v>157</v>
      </c>
      <c r="F2005" s="7">
        <v>3</v>
      </c>
      <c r="G2005" s="7">
        <v>2.2000000000000002</v>
      </c>
      <c r="H2005" s="12">
        <v>4442</v>
      </c>
      <c r="I2005" s="9">
        <f t="shared" si="62"/>
        <v>219.0454750112562</v>
      </c>
      <c r="J2005" s="3" t="str">
        <f t="shared" si="63"/>
        <v>Medium</v>
      </c>
    </row>
    <row r="2006" spans="1:10">
      <c r="A2006" s="4" t="s">
        <v>2069</v>
      </c>
      <c r="B2006" s="4" t="s">
        <v>960</v>
      </c>
      <c r="C2006" s="4" t="s">
        <v>12</v>
      </c>
      <c r="D2006" s="21">
        <v>979999</v>
      </c>
      <c r="E2006" s="4">
        <v>30</v>
      </c>
      <c r="F2006" s="4">
        <v>4</v>
      </c>
      <c r="G2006" s="4">
        <v>3.1</v>
      </c>
      <c r="H2006" s="10">
        <v>4757</v>
      </c>
      <c r="I2006" s="11">
        <f t="shared" si="62"/>
        <v>206.01198234181206</v>
      </c>
      <c r="J2006" s="3" t="str">
        <f t="shared" si="63"/>
        <v>Medium</v>
      </c>
    </row>
    <row r="2007" spans="1:10">
      <c r="A2007" s="7" t="s">
        <v>2070</v>
      </c>
      <c r="B2007" s="7" t="s">
        <v>679</v>
      </c>
      <c r="C2007" s="7" t="s">
        <v>12</v>
      </c>
      <c r="D2007" s="22">
        <v>981000</v>
      </c>
      <c r="E2007" s="7">
        <v>35</v>
      </c>
      <c r="F2007" s="7">
        <v>3</v>
      </c>
      <c r="G2007" s="7">
        <v>2.1</v>
      </c>
      <c r="H2007" s="12">
        <v>2630</v>
      </c>
      <c r="I2007" s="9">
        <f t="shared" si="62"/>
        <v>373.00380228136885</v>
      </c>
      <c r="J2007" s="3" t="str">
        <f t="shared" si="63"/>
        <v>High</v>
      </c>
    </row>
    <row r="2008" spans="1:10">
      <c r="A2008" s="4" t="s">
        <v>2071</v>
      </c>
      <c r="B2008" s="4" t="s">
        <v>400</v>
      </c>
      <c r="C2008" s="4" t="s">
        <v>12</v>
      </c>
      <c r="D2008" s="21">
        <v>982934</v>
      </c>
      <c r="E2008" s="4">
        <v>0</v>
      </c>
      <c r="F2008" s="4">
        <v>4</v>
      </c>
      <c r="G2008" s="4">
        <v>3.1</v>
      </c>
      <c r="H2008" s="10">
        <v>3434</v>
      </c>
      <c r="I2008" s="11">
        <f t="shared" si="62"/>
        <v>286.23587652882935</v>
      </c>
      <c r="J2008" s="3" t="str">
        <f t="shared" si="63"/>
        <v>Medium</v>
      </c>
    </row>
    <row r="2009" spans="1:10">
      <c r="A2009" s="7" t="s">
        <v>2072</v>
      </c>
      <c r="B2009" s="7" t="s">
        <v>16</v>
      </c>
      <c r="C2009" s="7" t="s">
        <v>12</v>
      </c>
      <c r="D2009" s="22">
        <v>985000</v>
      </c>
      <c r="E2009" s="7">
        <v>177</v>
      </c>
      <c r="F2009" s="7">
        <v>4</v>
      </c>
      <c r="G2009" s="7">
        <v>3.1</v>
      </c>
      <c r="H2009" s="12">
        <v>3049</v>
      </c>
      <c r="I2009" s="9">
        <f t="shared" si="62"/>
        <v>323.05673991472617</v>
      </c>
      <c r="J2009" s="3" t="str">
        <f t="shared" si="63"/>
        <v>High</v>
      </c>
    </row>
    <row r="2010" spans="1:10">
      <c r="A2010" s="4" t="s">
        <v>2073</v>
      </c>
      <c r="B2010" s="4" t="s">
        <v>18</v>
      </c>
      <c r="C2010" s="4" t="s">
        <v>12</v>
      </c>
      <c r="D2010" s="21">
        <v>985000</v>
      </c>
      <c r="E2010" s="4">
        <v>116</v>
      </c>
      <c r="F2010" s="4">
        <v>4</v>
      </c>
      <c r="G2010" s="4">
        <v>3.1</v>
      </c>
      <c r="H2010" s="10">
        <v>3125</v>
      </c>
      <c r="I2010" s="11">
        <f t="shared" si="62"/>
        <v>315.2</v>
      </c>
      <c r="J2010" s="3" t="str">
        <f t="shared" si="63"/>
        <v>High</v>
      </c>
    </row>
    <row r="2011" spans="1:10">
      <c r="A2011" s="7" t="s">
        <v>2074</v>
      </c>
      <c r="B2011" s="7" t="s">
        <v>11</v>
      </c>
      <c r="C2011" s="7" t="s">
        <v>12</v>
      </c>
      <c r="D2011" s="22">
        <v>990000</v>
      </c>
      <c r="E2011" s="7">
        <v>147</v>
      </c>
      <c r="F2011" s="7">
        <v>3</v>
      </c>
      <c r="G2011" s="7">
        <v>2.1</v>
      </c>
      <c r="H2011" s="12">
        <v>1480</v>
      </c>
      <c r="I2011" s="9">
        <f t="shared" si="62"/>
        <v>668.91891891891896</v>
      </c>
      <c r="J2011" s="3" t="str">
        <f t="shared" si="63"/>
        <v>High</v>
      </c>
    </row>
    <row r="2012" spans="1:10">
      <c r="A2012" s="4" t="s">
        <v>2075</v>
      </c>
      <c r="B2012" s="4" t="s">
        <v>823</v>
      </c>
      <c r="C2012" s="4" t="s">
        <v>12</v>
      </c>
      <c r="D2012" s="21">
        <v>992000</v>
      </c>
      <c r="E2012" s="4">
        <v>6</v>
      </c>
      <c r="F2012" s="4">
        <v>4</v>
      </c>
      <c r="G2012" s="4">
        <v>4.2</v>
      </c>
      <c r="H2012" s="10">
        <v>3995</v>
      </c>
      <c r="I2012" s="11">
        <f t="shared" si="62"/>
        <v>248.31038798498122</v>
      </c>
      <c r="J2012" s="3" t="str">
        <f t="shared" si="63"/>
        <v>Medium</v>
      </c>
    </row>
    <row r="2013" spans="1:10">
      <c r="A2013" s="7" t="s">
        <v>2076</v>
      </c>
      <c r="B2013" s="7" t="s">
        <v>728</v>
      </c>
      <c r="C2013" s="7" t="s">
        <v>12</v>
      </c>
      <c r="D2013" s="22">
        <v>999000</v>
      </c>
      <c r="E2013" s="7">
        <v>20</v>
      </c>
      <c r="F2013" s="7">
        <v>5</v>
      </c>
      <c r="G2013" s="7">
        <v>3.1</v>
      </c>
      <c r="H2013" s="12">
        <v>3552</v>
      </c>
      <c r="I2013" s="9">
        <f t="shared" si="62"/>
        <v>281.25</v>
      </c>
      <c r="J2013" s="3" t="str">
        <f t="shared" si="63"/>
        <v>Medium</v>
      </c>
    </row>
    <row r="2014" spans="1:10">
      <c r="A2014" s="4" t="s">
        <v>2077</v>
      </c>
      <c r="B2014" s="4" t="s">
        <v>131</v>
      </c>
      <c r="C2014" s="4" t="s">
        <v>12</v>
      </c>
      <c r="D2014" s="21">
        <v>999000</v>
      </c>
      <c r="E2014" s="4">
        <v>139</v>
      </c>
      <c r="F2014" s="4">
        <v>4</v>
      </c>
      <c r="G2014" s="4">
        <v>3.1</v>
      </c>
      <c r="H2014" s="10">
        <v>3023</v>
      </c>
      <c r="I2014" s="11">
        <f t="shared" si="62"/>
        <v>330.46642408203769</v>
      </c>
      <c r="J2014" s="3" t="str">
        <f t="shared" si="63"/>
        <v>High</v>
      </c>
    </row>
    <row r="2015" spans="1:10">
      <c r="A2015" s="7" t="s">
        <v>2078</v>
      </c>
      <c r="B2015" s="7" t="s">
        <v>960</v>
      </c>
      <c r="C2015" s="7" t="s">
        <v>12</v>
      </c>
      <c r="D2015" s="22">
        <v>1000000</v>
      </c>
      <c r="E2015" s="7">
        <v>0</v>
      </c>
      <c r="F2015" s="7">
        <v>4</v>
      </c>
      <c r="G2015" s="7">
        <v>2.1</v>
      </c>
      <c r="H2015" s="12">
        <v>3282</v>
      </c>
      <c r="I2015" s="9">
        <f t="shared" si="62"/>
        <v>304.69226081657524</v>
      </c>
      <c r="J2015" s="3" t="str">
        <f t="shared" si="63"/>
        <v>High</v>
      </c>
    </row>
    <row r="2016" spans="1:10">
      <c r="A2016" s="4" t="s">
        <v>2079</v>
      </c>
      <c r="B2016" s="4" t="s">
        <v>679</v>
      </c>
      <c r="C2016" s="4" t="s">
        <v>12</v>
      </c>
      <c r="D2016" s="21">
        <v>1000000</v>
      </c>
      <c r="E2016" s="4">
        <v>191</v>
      </c>
      <c r="F2016" s="4">
        <v>4</v>
      </c>
      <c r="G2016" s="4">
        <v>3.3</v>
      </c>
      <c r="H2016" s="10">
        <v>2380</v>
      </c>
      <c r="I2016" s="11">
        <f t="shared" si="62"/>
        <v>420.16806722689074</v>
      </c>
      <c r="J2016" s="3" t="str">
        <f t="shared" si="63"/>
        <v>High</v>
      </c>
    </row>
    <row r="2017" spans="1:10">
      <c r="A2017" s="7" t="s">
        <v>2080</v>
      </c>
      <c r="B2017" s="7" t="s">
        <v>131</v>
      </c>
      <c r="C2017" s="7" t="s">
        <v>12</v>
      </c>
      <c r="D2017" s="22">
        <v>1000000</v>
      </c>
      <c r="E2017" s="7">
        <v>126</v>
      </c>
      <c r="F2017" s="7">
        <v>4</v>
      </c>
      <c r="G2017" s="7">
        <v>5.0999999999999996</v>
      </c>
      <c r="H2017" s="12">
        <v>3050</v>
      </c>
      <c r="I2017" s="9">
        <f t="shared" si="62"/>
        <v>327.86885245901641</v>
      </c>
      <c r="J2017" s="3" t="str">
        <f t="shared" si="63"/>
        <v>High</v>
      </c>
    </row>
    <row r="2018" spans="1:10">
      <c r="A2018" s="4" t="s">
        <v>2081</v>
      </c>
      <c r="B2018" s="4" t="s">
        <v>679</v>
      </c>
      <c r="C2018" s="4" t="s">
        <v>12</v>
      </c>
      <c r="D2018" s="21">
        <v>1006000</v>
      </c>
      <c r="E2018" s="4">
        <v>6</v>
      </c>
      <c r="F2018" s="4">
        <v>3</v>
      </c>
      <c r="G2018" s="4">
        <v>2.1</v>
      </c>
      <c r="H2018" s="10">
        <v>2227</v>
      </c>
      <c r="I2018" s="11">
        <f t="shared" si="62"/>
        <v>451.72878311629995</v>
      </c>
      <c r="J2018" s="3" t="str">
        <f t="shared" si="63"/>
        <v>High</v>
      </c>
    </row>
    <row r="2019" spans="1:10">
      <c r="A2019" s="7" t="s">
        <v>2082</v>
      </c>
      <c r="B2019" s="7" t="s">
        <v>331</v>
      </c>
      <c r="C2019" s="7" t="s">
        <v>12</v>
      </c>
      <c r="D2019" s="22">
        <v>1010000</v>
      </c>
      <c r="E2019" s="7">
        <v>2</v>
      </c>
      <c r="F2019" s="7">
        <v>5</v>
      </c>
      <c r="G2019" s="7">
        <v>5</v>
      </c>
      <c r="H2019" s="12">
        <v>3988</v>
      </c>
      <c r="I2019" s="9">
        <f t="shared" si="62"/>
        <v>253.25977933801406</v>
      </c>
      <c r="J2019" s="3" t="str">
        <f t="shared" si="63"/>
        <v>Medium</v>
      </c>
    </row>
    <row r="2020" spans="1:10">
      <c r="A2020" s="4" t="s">
        <v>2083</v>
      </c>
      <c r="B2020" s="4" t="s">
        <v>131</v>
      </c>
      <c r="C2020" s="4" t="s">
        <v>12</v>
      </c>
      <c r="D2020" s="21">
        <v>1025000</v>
      </c>
      <c r="E2020" s="4">
        <v>6</v>
      </c>
      <c r="F2020" s="4">
        <v>0</v>
      </c>
      <c r="G2020" s="4">
        <v>0.1</v>
      </c>
      <c r="H2020" s="10">
        <v>3079</v>
      </c>
      <c r="I2020" s="11">
        <f t="shared" si="62"/>
        <v>332.90029230269568</v>
      </c>
      <c r="J2020" s="3" t="str">
        <f t="shared" si="63"/>
        <v>High</v>
      </c>
    </row>
    <row r="2021" spans="1:10">
      <c r="A2021" s="7" t="s">
        <v>2084</v>
      </c>
      <c r="B2021" s="7" t="s">
        <v>131</v>
      </c>
      <c r="C2021" s="7" t="s">
        <v>12</v>
      </c>
      <c r="D2021" s="22">
        <v>1031000</v>
      </c>
      <c r="E2021" s="7">
        <v>175</v>
      </c>
      <c r="F2021" s="7">
        <v>4</v>
      </c>
      <c r="G2021" s="7">
        <v>3.1</v>
      </c>
      <c r="H2021" s="12">
        <v>3025</v>
      </c>
      <c r="I2021" s="9">
        <f t="shared" si="62"/>
        <v>340.82644628099172</v>
      </c>
      <c r="J2021" s="3" t="str">
        <f t="shared" si="63"/>
        <v>High</v>
      </c>
    </row>
    <row r="2022" spans="1:10">
      <c r="A2022" s="4" t="s">
        <v>2085</v>
      </c>
      <c r="B2022" s="4" t="s">
        <v>960</v>
      </c>
      <c r="C2022" s="4" t="s">
        <v>12</v>
      </c>
      <c r="D2022" s="21">
        <v>1062500</v>
      </c>
      <c r="E2022" s="4">
        <v>44</v>
      </c>
      <c r="F2022" s="4">
        <v>5</v>
      </c>
      <c r="G2022" s="4">
        <v>3.2</v>
      </c>
      <c r="H2022" s="10">
        <v>3496</v>
      </c>
      <c r="I2022" s="11">
        <f t="shared" si="62"/>
        <v>303.91876430205951</v>
      </c>
      <c r="J2022" s="3" t="str">
        <f t="shared" si="63"/>
        <v>High</v>
      </c>
    </row>
    <row r="2023" spans="1:10">
      <c r="A2023" s="7" t="s">
        <v>2086</v>
      </c>
      <c r="B2023" s="7" t="s">
        <v>131</v>
      </c>
      <c r="C2023" s="7" t="s">
        <v>12</v>
      </c>
      <c r="D2023" s="22">
        <v>1071000</v>
      </c>
      <c r="E2023" s="7">
        <v>153</v>
      </c>
      <c r="F2023" s="7">
        <v>4</v>
      </c>
      <c r="G2023" s="7">
        <v>5.0999999999999996</v>
      </c>
      <c r="H2023" s="12">
        <v>3200</v>
      </c>
      <c r="I2023" s="9">
        <f t="shared" si="62"/>
        <v>334.6875</v>
      </c>
      <c r="J2023" s="3" t="str">
        <f t="shared" si="63"/>
        <v>High</v>
      </c>
    </row>
    <row r="2024" spans="1:10">
      <c r="A2024" s="4" t="s">
        <v>2087</v>
      </c>
      <c r="B2024" s="4" t="s">
        <v>817</v>
      </c>
      <c r="C2024" s="4" t="s">
        <v>12</v>
      </c>
      <c r="D2024" s="21">
        <v>1075000</v>
      </c>
      <c r="E2024" s="4">
        <v>9</v>
      </c>
      <c r="F2024" s="4">
        <v>5</v>
      </c>
      <c r="G2024" s="4">
        <v>2.1</v>
      </c>
      <c r="H2024" s="10">
        <v>3778</v>
      </c>
      <c r="I2024" s="11">
        <f t="shared" si="62"/>
        <v>284.54208575966118</v>
      </c>
      <c r="J2024" s="3" t="str">
        <f t="shared" si="63"/>
        <v>Medium</v>
      </c>
    </row>
    <row r="2025" spans="1:10">
      <c r="A2025" s="7" t="s">
        <v>2088</v>
      </c>
      <c r="B2025" s="7" t="s">
        <v>18</v>
      </c>
      <c r="C2025" s="7" t="s">
        <v>12</v>
      </c>
      <c r="D2025" s="22">
        <v>1078900</v>
      </c>
      <c r="E2025" s="7">
        <v>77</v>
      </c>
      <c r="F2025" s="7">
        <v>4</v>
      </c>
      <c r="G2025" s="7">
        <v>3.1</v>
      </c>
      <c r="H2025" s="12">
        <v>3200</v>
      </c>
      <c r="I2025" s="9">
        <f t="shared" si="62"/>
        <v>337.15625</v>
      </c>
      <c r="J2025" s="3" t="str">
        <f t="shared" si="63"/>
        <v>High</v>
      </c>
    </row>
    <row r="2026" spans="1:10">
      <c r="A2026" s="4" t="s">
        <v>2089</v>
      </c>
      <c r="B2026" s="4" t="s">
        <v>18</v>
      </c>
      <c r="C2026" s="4" t="s">
        <v>12</v>
      </c>
      <c r="D2026" s="21">
        <v>1078900</v>
      </c>
      <c r="E2026" s="4">
        <v>333</v>
      </c>
      <c r="F2026" s="4">
        <v>4</v>
      </c>
      <c r="G2026" s="4">
        <v>3.1</v>
      </c>
      <c r="H2026" s="10">
        <v>3200</v>
      </c>
      <c r="I2026" s="11">
        <f t="shared" si="62"/>
        <v>337.15625</v>
      </c>
      <c r="J2026" s="3" t="str">
        <f t="shared" si="63"/>
        <v>High</v>
      </c>
    </row>
    <row r="2027" spans="1:10">
      <c r="A2027" s="7" t="s">
        <v>2090</v>
      </c>
      <c r="B2027" s="7" t="s">
        <v>960</v>
      </c>
      <c r="C2027" s="7" t="s">
        <v>12</v>
      </c>
      <c r="D2027" s="22">
        <v>1088000</v>
      </c>
      <c r="E2027" s="7">
        <v>85</v>
      </c>
      <c r="F2027" s="7">
        <v>4</v>
      </c>
      <c r="G2027" s="7">
        <v>4.2</v>
      </c>
      <c r="H2027" s="12">
        <v>3188</v>
      </c>
      <c r="I2027" s="9">
        <f t="shared" si="62"/>
        <v>341.27979924717692</v>
      </c>
      <c r="J2027" s="3" t="str">
        <f t="shared" si="63"/>
        <v>High</v>
      </c>
    </row>
    <row r="2028" spans="1:10">
      <c r="A2028" s="4" t="s">
        <v>2091</v>
      </c>
      <c r="B2028" s="4" t="s">
        <v>679</v>
      </c>
      <c r="C2028" s="4" t="s">
        <v>12</v>
      </c>
      <c r="D2028" s="21">
        <v>1090000</v>
      </c>
      <c r="E2028" s="4">
        <v>72</v>
      </c>
      <c r="F2028" s="4">
        <v>5</v>
      </c>
      <c r="G2028" s="4">
        <v>5.0999999999999996</v>
      </c>
      <c r="H2028" s="10">
        <v>3189</v>
      </c>
      <c r="I2028" s="11">
        <f t="shared" si="62"/>
        <v>341.79993728441519</v>
      </c>
      <c r="J2028" s="3" t="str">
        <f t="shared" si="63"/>
        <v>High</v>
      </c>
    </row>
    <row r="2029" spans="1:10">
      <c r="A2029" s="7" t="s">
        <v>2092</v>
      </c>
      <c r="B2029" s="7" t="s">
        <v>960</v>
      </c>
      <c r="C2029" s="7" t="s">
        <v>12</v>
      </c>
      <c r="D2029" s="22">
        <v>1100000</v>
      </c>
      <c r="E2029" s="7">
        <v>6</v>
      </c>
      <c r="F2029" s="7">
        <v>5</v>
      </c>
      <c r="G2029" s="7">
        <v>3.1</v>
      </c>
      <c r="H2029" s="12">
        <v>3068</v>
      </c>
      <c r="I2029" s="9">
        <f t="shared" si="62"/>
        <v>358.53976531942635</v>
      </c>
      <c r="J2029" s="3" t="str">
        <f t="shared" si="63"/>
        <v>High</v>
      </c>
    </row>
    <row r="2030" spans="1:10">
      <c r="A2030" s="4" t="s">
        <v>2093</v>
      </c>
      <c r="B2030" s="4" t="s">
        <v>80</v>
      </c>
      <c r="C2030" s="4" t="s">
        <v>12</v>
      </c>
      <c r="D2030" s="21">
        <v>1100000</v>
      </c>
      <c r="E2030" s="4">
        <v>8</v>
      </c>
      <c r="F2030" s="4">
        <v>4</v>
      </c>
      <c r="G2030" s="4">
        <v>4</v>
      </c>
      <c r="H2030" s="10">
        <v>3543</v>
      </c>
      <c r="I2030" s="11">
        <f t="shared" si="62"/>
        <v>310.47135196161446</v>
      </c>
      <c r="J2030" s="3" t="str">
        <f t="shared" si="63"/>
        <v>High</v>
      </c>
    </row>
    <row r="2031" spans="1:10">
      <c r="A2031" s="7" t="s">
        <v>2094</v>
      </c>
      <c r="B2031" s="7" t="s">
        <v>18</v>
      </c>
      <c r="C2031" s="7" t="s">
        <v>12</v>
      </c>
      <c r="D2031" s="22">
        <v>1100000</v>
      </c>
      <c r="E2031" s="7">
        <v>34</v>
      </c>
      <c r="F2031" s="7">
        <v>4</v>
      </c>
      <c r="G2031" s="7">
        <v>4.2</v>
      </c>
      <c r="H2031" s="12">
        <v>4535</v>
      </c>
      <c r="I2031" s="9">
        <f t="shared" si="62"/>
        <v>242.55788313120178</v>
      </c>
      <c r="J2031" s="3" t="str">
        <f t="shared" si="63"/>
        <v>Medium</v>
      </c>
    </row>
    <row r="2032" spans="1:10">
      <c r="A2032" s="4" t="s">
        <v>2095</v>
      </c>
      <c r="B2032" s="4" t="s">
        <v>131</v>
      </c>
      <c r="C2032" s="4" t="s">
        <v>12</v>
      </c>
      <c r="D2032" s="21">
        <v>1130000</v>
      </c>
      <c r="E2032" s="4">
        <v>7</v>
      </c>
      <c r="F2032" s="4">
        <v>4</v>
      </c>
      <c r="G2032" s="4">
        <v>4.0999999999999996</v>
      </c>
      <c r="H2032" s="10">
        <v>3200</v>
      </c>
      <c r="I2032" s="11">
        <f t="shared" si="62"/>
        <v>353.125</v>
      </c>
      <c r="J2032" s="3" t="str">
        <f t="shared" si="63"/>
        <v>High</v>
      </c>
    </row>
    <row r="2033" spans="1:10">
      <c r="A2033" s="7" t="s">
        <v>2096</v>
      </c>
      <c r="B2033" s="7" t="s">
        <v>1366</v>
      </c>
      <c r="C2033" s="7" t="s">
        <v>12</v>
      </c>
      <c r="D2033" s="22">
        <v>1145000</v>
      </c>
      <c r="E2033" s="7">
        <v>3</v>
      </c>
      <c r="F2033" s="7">
        <v>4</v>
      </c>
      <c r="G2033" s="7">
        <v>3.4</v>
      </c>
      <c r="H2033" s="12">
        <v>3373</v>
      </c>
      <c r="I2033" s="9">
        <f t="shared" si="62"/>
        <v>339.46042099021645</v>
      </c>
      <c r="J2033" s="3" t="str">
        <f t="shared" si="63"/>
        <v>High</v>
      </c>
    </row>
    <row r="2034" spans="1:10">
      <c r="A2034" s="4" t="s">
        <v>2097</v>
      </c>
      <c r="B2034" s="4" t="s">
        <v>212</v>
      </c>
      <c r="C2034" s="4" t="s">
        <v>12</v>
      </c>
      <c r="D2034" s="21">
        <v>1150000</v>
      </c>
      <c r="E2034" s="4">
        <v>7</v>
      </c>
      <c r="F2034" s="4">
        <v>4</v>
      </c>
      <c r="G2034" s="4">
        <v>3.1</v>
      </c>
      <c r="H2034" s="10">
        <v>3700</v>
      </c>
      <c r="I2034" s="11">
        <f t="shared" si="62"/>
        <v>310.81081081081084</v>
      </c>
      <c r="J2034" s="3" t="str">
        <f t="shared" si="63"/>
        <v>High</v>
      </c>
    </row>
    <row r="2035" spans="1:10">
      <c r="A2035" s="7" t="s">
        <v>2098</v>
      </c>
      <c r="B2035" s="7" t="s">
        <v>960</v>
      </c>
      <c r="C2035" s="7" t="s">
        <v>12</v>
      </c>
      <c r="D2035" s="22">
        <v>1150000</v>
      </c>
      <c r="E2035" s="7">
        <v>14</v>
      </c>
      <c r="F2035" s="7">
        <v>5</v>
      </c>
      <c r="G2035" s="7">
        <v>3.2</v>
      </c>
      <c r="H2035" s="12">
        <v>4383</v>
      </c>
      <c r="I2035" s="9">
        <f t="shared" si="62"/>
        <v>262.37736710015969</v>
      </c>
      <c r="J2035" s="3" t="str">
        <f t="shared" si="63"/>
        <v>Medium</v>
      </c>
    </row>
    <row r="2036" spans="1:10">
      <c r="A2036" s="4" t="s">
        <v>2099</v>
      </c>
      <c r="B2036" s="4" t="s">
        <v>960</v>
      </c>
      <c r="C2036" s="4" t="s">
        <v>12</v>
      </c>
      <c r="D2036" s="21">
        <v>1150000</v>
      </c>
      <c r="E2036" s="4">
        <v>71</v>
      </c>
      <c r="F2036" s="4">
        <v>6</v>
      </c>
      <c r="G2036" s="4">
        <v>7.1</v>
      </c>
      <c r="H2036" s="10">
        <v>4660</v>
      </c>
      <c r="I2036" s="11">
        <f t="shared" si="62"/>
        <v>246.78111587982832</v>
      </c>
      <c r="J2036" s="3" t="str">
        <f t="shared" si="63"/>
        <v>Medium</v>
      </c>
    </row>
    <row r="2037" spans="1:10">
      <c r="A2037" s="7" t="s">
        <v>2100</v>
      </c>
      <c r="B2037" s="7" t="s">
        <v>679</v>
      </c>
      <c r="C2037" s="7" t="s">
        <v>12</v>
      </c>
      <c r="D2037" s="22">
        <v>1160000</v>
      </c>
      <c r="E2037" s="7">
        <v>28</v>
      </c>
      <c r="F2037" s="7">
        <v>4</v>
      </c>
      <c r="G2037" s="7">
        <v>4.0999999999999996</v>
      </c>
      <c r="H2037" s="12">
        <v>2547</v>
      </c>
      <c r="I2037" s="9">
        <f t="shared" si="62"/>
        <v>455.43776992540245</v>
      </c>
      <c r="J2037" s="3" t="str">
        <f t="shared" si="63"/>
        <v>High</v>
      </c>
    </row>
    <row r="2038" spans="1:10">
      <c r="A2038" s="4" t="s">
        <v>2101</v>
      </c>
      <c r="B2038" s="4" t="s">
        <v>679</v>
      </c>
      <c r="C2038" s="4" t="s">
        <v>12</v>
      </c>
      <c r="D2038" s="21">
        <v>1169000</v>
      </c>
      <c r="E2038" s="4">
        <v>103</v>
      </c>
      <c r="F2038" s="4">
        <v>5</v>
      </c>
      <c r="G2038" s="4">
        <v>3.2</v>
      </c>
      <c r="H2038" s="10">
        <v>4128</v>
      </c>
      <c r="I2038" s="11">
        <f t="shared" si="62"/>
        <v>283.18798449612405</v>
      </c>
      <c r="J2038" s="3" t="str">
        <f t="shared" si="63"/>
        <v>Medium</v>
      </c>
    </row>
    <row r="2039" spans="1:10">
      <c r="A2039" s="7" t="s">
        <v>2102</v>
      </c>
      <c r="B2039" s="7" t="s">
        <v>131</v>
      </c>
      <c r="C2039" s="7" t="s">
        <v>12</v>
      </c>
      <c r="D2039" s="22">
        <v>1175000</v>
      </c>
      <c r="E2039" s="7">
        <v>48</v>
      </c>
      <c r="F2039" s="7">
        <v>3</v>
      </c>
      <c r="G2039" s="7">
        <v>2.1</v>
      </c>
      <c r="H2039" s="12">
        <v>2514</v>
      </c>
      <c r="I2039" s="9">
        <f t="shared" si="62"/>
        <v>467.38265712012731</v>
      </c>
      <c r="J2039" s="3" t="str">
        <f t="shared" si="63"/>
        <v>High</v>
      </c>
    </row>
    <row r="2040" spans="1:10">
      <c r="A2040" s="4" t="s">
        <v>2103</v>
      </c>
      <c r="B2040" s="4" t="s">
        <v>544</v>
      </c>
      <c r="C2040" s="4" t="s">
        <v>12</v>
      </c>
      <c r="D2040" s="21">
        <v>1177000</v>
      </c>
      <c r="E2040" s="4">
        <v>14</v>
      </c>
      <c r="F2040" s="4">
        <v>5</v>
      </c>
      <c r="G2040" s="4">
        <v>4.0999999999999996</v>
      </c>
      <c r="H2040" s="10">
        <v>4180</v>
      </c>
      <c r="I2040" s="11">
        <f t="shared" si="62"/>
        <v>281.57894736842104</v>
      </c>
      <c r="J2040" s="3" t="str">
        <f t="shared" si="63"/>
        <v>Medium</v>
      </c>
    </row>
    <row r="2041" spans="1:10">
      <c r="A2041" s="7" t="s">
        <v>2104</v>
      </c>
      <c r="B2041" s="7" t="s">
        <v>679</v>
      </c>
      <c r="C2041" s="7" t="s">
        <v>12</v>
      </c>
      <c r="D2041" s="22">
        <v>1200000</v>
      </c>
      <c r="E2041" s="7">
        <v>314</v>
      </c>
      <c r="F2041" s="7">
        <v>4</v>
      </c>
      <c r="G2041" s="7">
        <v>3.1</v>
      </c>
      <c r="H2041" s="12">
        <v>3200</v>
      </c>
      <c r="I2041" s="9">
        <f t="shared" si="62"/>
        <v>375</v>
      </c>
      <c r="J2041" s="3" t="str">
        <f t="shared" si="63"/>
        <v>High</v>
      </c>
    </row>
    <row r="2042" spans="1:10">
      <c r="A2042" s="4" t="s">
        <v>2105</v>
      </c>
      <c r="B2042" s="4" t="s">
        <v>1366</v>
      </c>
      <c r="C2042" s="4" t="s">
        <v>12</v>
      </c>
      <c r="D2042" s="21">
        <v>1200000</v>
      </c>
      <c r="E2042" s="4">
        <v>248</v>
      </c>
      <c r="F2042" s="4">
        <v>3</v>
      </c>
      <c r="G2042" s="4">
        <v>2.4</v>
      </c>
      <c r="H2042" s="10">
        <v>6227</v>
      </c>
      <c r="I2042" s="11">
        <f t="shared" si="62"/>
        <v>192.70916974466036</v>
      </c>
      <c r="J2042" s="3" t="str">
        <f t="shared" si="63"/>
        <v>Low</v>
      </c>
    </row>
    <row r="2043" spans="1:10">
      <c r="A2043" s="7" t="s">
        <v>2106</v>
      </c>
      <c r="B2043" s="7" t="s">
        <v>679</v>
      </c>
      <c r="C2043" s="7" t="s">
        <v>12</v>
      </c>
      <c r="D2043" s="22">
        <v>1242500</v>
      </c>
      <c r="E2043" s="7">
        <v>139</v>
      </c>
      <c r="F2043" s="7">
        <v>3</v>
      </c>
      <c r="G2043" s="7">
        <v>3.1</v>
      </c>
      <c r="H2043" s="12">
        <v>2729</v>
      </c>
      <c r="I2043" s="9">
        <f t="shared" si="62"/>
        <v>455.29497984609748</v>
      </c>
      <c r="J2043" s="3" t="str">
        <f t="shared" si="63"/>
        <v>High</v>
      </c>
    </row>
    <row r="2044" spans="1:10">
      <c r="A2044" s="4" t="s">
        <v>2107</v>
      </c>
      <c r="B2044" s="4" t="s">
        <v>16</v>
      </c>
      <c r="C2044" s="4" t="s">
        <v>12</v>
      </c>
      <c r="D2044" s="21">
        <v>1245004</v>
      </c>
      <c r="E2044" s="4">
        <v>3</v>
      </c>
      <c r="F2044" s="4">
        <v>4</v>
      </c>
      <c r="G2044" s="4">
        <v>3.1</v>
      </c>
      <c r="H2044" s="10">
        <v>3676</v>
      </c>
      <c r="I2044" s="11">
        <f t="shared" si="62"/>
        <v>338.68443960826988</v>
      </c>
      <c r="J2044" s="3" t="str">
        <f t="shared" si="63"/>
        <v>High</v>
      </c>
    </row>
    <row r="2045" spans="1:10">
      <c r="A2045" s="7" t="s">
        <v>2108</v>
      </c>
      <c r="B2045" s="7" t="s">
        <v>16</v>
      </c>
      <c r="C2045" s="7" t="s">
        <v>12</v>
      </c>
      <c r="D2045" s="22">
        <v>1255060</v>
      </c>
      <c r="E2045" s="7">
        <v>283</v>
      </c>
      <c r="F2045" s="7">
        <v>4</v>
      </c>
      <c r="G2045" s="7">
        <v>4</v>
      </c>
      <c r="H2045" s="12">
        <v>3973</v>
      </c>
      <c r="I2045" s="9">
        <f t="shared" si="62"/>
        <v>315.89730682104204</v>
      </c>
      <c r="J2045" s="3" t="str">
        <f t="shared" si="63"/>
        <v>High</v>
      </c>
    </row>
    <row r="2046" spans="1:10">
      <c r="A2046" s="4" t="s">
        <v>2109</v>
      </c>
      <c r="B2046" s="4" t="s">
        <v>1139</v>
      </c>
      <c r="C2046" s="4" t="s">
        <v>12</v>
      </c>
      <c r="D2046" s="21">
        <v>1259000</v>
      </c>
      <c r="E2046" s="4">
        <v>6</v>
      </c>
      <c r="F2046" s="4">
        <v>5</v>
      </c>
      <c r="G2046" s="4">
        <v>4</v>
      </c>
      <c r="H2046" s="10">
        <v>4000</v>
      </c>
      <c r="I2046" s="11">
        <f t="shared" si="62"/>
        <v>314.75</v>
      </c>
      <c r="J2046" s="3" t="str">
        <f t="shared" si="63"/>
        <v>High</v>
      </c>
    </row>
    <row r="2047" spans="1:10">
      <c r="A2047" s="7" t="s">
        <v>2110</v>
      </c>
      <c r="B2047" s="7" t="s">
        <v>18</v>
      </c>
      <c r="C2047" s="7" t="s">
        <v>12</v>
      </c>
      <c r="D2047" s="22">
        <v>1275000</v>
      </c>
      <c r="E2047" s="7">
        <v>72</v>
      </c>
      <c r="F2047" s="7">
        <v>4</v>
      </c>
      <c r="G2047" s="7">
        <v>5.0999999999999996</v>
      </c>
      <c r="H2047" s="12">
        <v>5231</v>
      </c>
      <c r="I2047" s="9">
        <f t="shared" si="62"/>
        <v>243.73924679793538</v>
      </c>
      <c r="J2047" s="3" t="str">
        <f t="shared" si="63"/>
        <v>Medium</v>
      </c>
    </row>
    <row r="2048" spans="1:10">
      <c r="A2048" s="4" t="s">
        <v>2111</v>
      </c>
      <c r="B2048" s="4" t="s">
        <v>679</v>
      </c>
      <c r="C2048" s="4" t="s">
        <v>12</v>
      </c>
      <c r="D2048" s="21">
        <v>1287500</v>
      </c>
      <c r="E2048" s="4">
        <v>144</v>
      </c>
      <c r="F2048" s="4">
        <v>4</v>
      </c>
      <c r="G2048" s="4">
        <v>3.1</v>
      </c>
      <c r="H2048" s="10">
        <v>3406</v>
      </c>
      <c r="I2048" s="11">
        <f t="shared" si="62"/>
        <v>378.00939518496773</v>
      </c>
      <c r="J2048" s="3" t="str">
        <f t="shared" si="63"/>
        <v>High</v>
      </c>
    </row>
    <row r="2049" spans="1:10">
      <c r="A2049" s="7" t="s">
        <v>2112</v>
      </c>
      <c r="B2049" s="7" t="s">
        <v>960</v>
      </c>
      <c r="C2049" s="7" t="s">
        <v>12</v>
      </c>
      <c r="D2049" s="22">
        <v>1300000</v>
      </c>
      <c r="E2049" s="7">
        <v>114</v>
      </c>
      <c r="F2049" s="7">
        <v>4</v>
      </c>
      <c r="G2049" s="7">
        <v>4.2</v>
      </c>
      <c r="H2049" s="12">
        <v>5033</v>
      </c>
      <c r="I2049" s="9">
        <f t="shared" si="62"/>
        <v>258.2952513411484</v>
      </c>
      <c r="J2049" s="3" t="str">
        <f t="shared" si="63"/>
        <v>Medium</v>
      </c>
    </row>
    <row r="2050" spans="1:10">
      <c r="A2050" s="4" t="s">
        <v>2113</v>
      </c>
      <c r="B2050" s="4" t="s">
        <v>16</v>
      </c>
      <c r="C2050" s="4" t="s">
        <v>12</v>
      </c>
      <c r="D2050" s="21">
        <v>1319959</v>
      </c>
      <c r="E2050" s="4">
        <v>32</v>
      </c>
      <c r="F2050" s="4">
        <v>5</v>
      </c>
      <c r="G2050" s="4">
        <v>4</v>
      </c>
      <c r="H2050" s="10">
        <v>3973</v>
      </c>
      <c r="I2050" s="11">
        <f t="shared" ref="I2050:I2113" si="64">D2050/H2050</f>
        <v>332.23231814749562</v>
      </c>
      <c r="J2050" s="3" t="str">
        <f t="shared" ref="J2050:J2113" si="65">IF(I2050 &gt; 300, "High", IF(AND(I2050 &lt;= 300, I2050 &gt; 200), "Medium", "Low"))</f>
        <v>High</v>
      </c>
    </row>
    <row r="2051" spans="1:10">
      <c r="A2051" s="7" t="s">
        <v>2114</v>
      </c>
      <c r="B2051" s="7" t="s">
        <v>679</v>
      </c>
      <c r="C2051" s="7" t="s">
        <v>12</v>
      </c>
      <c r="D2051" s="22">
        <v>1330000</v>
      </c>
      <c r="E2051" s="7">
        <v>7</v>
      </c>
      <c r="F2051" s="7">
        <v>5</v>
      </c>
      <c r="G2051" s="7">
        <v>5.0999999999999996</v>
      </c>
      <c r="H2051" s="12">
        <v>3500</v>
      </c>
      <c r="I2051" s="9">
        <f t="shared" si="64"/>
        <v>380</v>
      </c>
      <c r="J2051" s="3" t="str">
        <f t="shared" si="65"/>
        <v>High</v>
      </c>
    </row>
    <row r="2052" spans="1:10">
      <c r="A2052" s="4" t="s">
        <v>2115</v>
      </c>
      <c r="B2052" s="4" t="s">
        <v>960</v>
      </c>
      <c r="C2052" s="4" t="s">
        <v>12</v>
      </c>
      <c r="D2052" s="21">
        <v>1350000</v>
      </c>
      <c r="E2052" s="4">
        <v>37</v>
      </c>
      <c r="F2052" s="4">
        <v>4</v>
      </c>
      <c r="G2052" s="4">
        <v>4.0999999999999996</v>
      </c>
      <c r="H2052" s="10">
        <v>3921</v>
      </c>
      <c r="I2052" s="11">
        <f t="shared" si="64"/>
        <v>344.2999234889059</v>
      </c>
      <c r="J2052" s="3" t="str">
        <f t="shared" si="65"/>
        <v>High</v>
      </c>
    </row>
    <row r="2053" spans="1:10">
      <c r="A2053" s="7" t="s">
        <v>2116</v>
      </c>
      <c r="B2053" s="7" t="s">
        <v>16</v>
      </c>
      <c r="C2053" s="7" t="s">
        <v>12</v>
      </c>
      <c r="D2053" s="22">
        <v>1355000</v>
      </c>
      <c r="E2053" s="7">
        <v>23</v>
      </c>
      <c r="F2053" s="7">
        <v>5</v>
      </c>
      <c r="G2053" s="7">
        <v>4.0999999999999996</v>
      </c>
      <c r="H2053" s="12">
        <v>4959</v>
      </c>
      <c r="I2053" s="9">
        <f t="shared" si="64"/>
        <v>273.24057269610807</v>
      </c>
      <c r="J2053" s="3" t="str">
        <f t="shared" si="65"/>
        <v>Medium</v>
      </c>
    </row>
    <row r="2054" spans="1:10">
      <c r="A2054" s="4" t="s">
        <v>2117</v>
      </c>
      <c r="B2054" s="4" t="s">
        <v>18</v>
      </c>
      <c r="C2054" s="4" t="s">
        <v>12</v>
      </c>
      <c r="D2054" s="21">
        <v>1380000</v>
      </c>
      <c r="E2054" s="4">
        <v>35</v>
      </c>
      <c r="F2054" s="4">
        <v>4</v>
      </c>
      <c r="G2054" s="4">
        <v>4.2</v>
      </c>
      <c r="H2054" s="10">
        <v>4393</v>
      </c>
      <c r="I2054" s="11">
        <f t="shared" si="64"/>
        <v>314.13612565445027</v>
      </c>
      <c r="J2054" s="3" t="str">
        <f t="shared" si="65"/>
        <v>High</v>
      </c>
    </row>
    <row r="2055" spans="1:10">
      <c r="A2055" s="7" t="s">
        <v>2118</v>
      </c>
      <c r="B2055" s="7" t="s">
        <v>212</v>
      </c>
      <c r="C2055" s="7" t="s">
        <v>12</v>
      </c>
      <c r="D2055" s="22">
        <v>1400000</v>
      </c>
      <c r="E2055" s="7">
        <v>0</v>
      </c>
      <c r="F2055" s="7">
        <v>5</v>
      </c>
      <c r="G2055" s="7">
        <v>5.0999999999999996</v>
      </c>
      <c r="H2055" s="12">
        <v>5334</v>
      </c>
      <c r="I2055" s="9">
        <f t="shared" si="64"/>
        <v>262.46719160104988</v>
      </c>
      <c r="J2055" s="3" t="str">
        <f t="shared" si="65"/>
        <v>Medium</v>
      </c>
    </row>
    <row r="2056" spans="1:10">
      <c r="A2056" s="4" t="s">
        <v>2119</v>
      </c>
      <c r="B2056" s="4" t="s">
        <v>960</v>
      </c>
      <c r="C2056" s="4" t="s">
        <v>12</v>
      </c>
      <c r="D2056" s="21">
        <v>1425000</v>
      </c>
      <c r="E2056" s="4">
        <v>26</v>
      </c>
      <c r="F2056" s="4">
        <v>4</v>
      </c>
      <c r="G2056" s="4">
        <v>4.0999999999999996</v>
      </c>
      <c r="H2056" s="10">
        <v>4478</v>
      </c>
      <c r="I2056" s="11">
        <f t="shared" si="64"/>
        <v>318.22242072353731</v>
      </c>
      <c r="J2056" s="3" t="str">
        <f t="shared" si="65"/>
        <v>High</v>
      </c>
    </row>
    <row r="2057" spans="1:10">
      <c r="A2057" s="7" t="s">
        <v>2120</v>
      </c>
      <c r="B2057" s="7" t="s">
        <v>1366</v>
      </c>
      <c r="C2057" s="7" t="s">
        <v>12</v>
      </c>
      <c r="D2057" s="22">
        <v>1450000</v>
      </c>
      <c r="E2057" s="7">
        <v>10</v>
      </c>
      <c r="F2057" s="7">
        <v>5</v>
      </c>
      <c r="G2057" s="7">
        <v>3.2</v>
      </c>
      <c r="H2057" s="12">
        <v>2975</v>
      </c>
      <c r="I2057" s="9">
        <f t="shared" si="64"/>
        <v>487.39495798319325</v>
      </c>
      <c r="J2057" s="3" t="str">
        <f t="shared" si="65"/>
        <v>High</v>
      </c>
    </row>
    <row r="2058" spans="1:10">
      <c r="A2058" s="4" t="s">
        <v>2121</v>
      </c>
      <c r="B2058" s="4" t="s">
        <v>960</v>
      </c>
      <c r="C2058" s="4" t="s">
        <v>12</v>
      </c>
      <c r="D2058" s="21">
        <v>1450000</v>
      </c>
      <c r="E2058" s="4">
        <v>480</v>
      </c>
      <c r="F2058" s="4">
        <v>4</v>
      </c>
      <c r="G2058" s="4">
        <v>4.2</v>
      </c>
      <c r="H2058" s="10">
        <v>4800</v>
      </c>
      <c r="I2058" s="11">
        <f t="shared" si="64"/>
        <v>302.08333333333331</v>
      </c>
      <c r="J2058" s="3" t="str">
        <f t="shared" si="65"/>
        <v>High</v>
      </c>
    </row>
    <row r="2059" spans="1:10">
      <c r="A2059" s="7" t="s">
        <v>2122</v>
      </c>
      <c r="B2059" s="7" t="s">
        <v>400</v>
      </c>
      <c r="C2059" s="7" t="s">
        <v>12</v>
      </c>
      <c r="D2059" s="22">
        <v>1500000</v>
      </c>
      <c r="E2059" s="7">
        <v>1</v>
      </c>
      <c r="F2059" s="7">
        <v>4</v>
      </c>
      <c r="G2059" s="7">
        <v>4.2</v>
      </c>
      <c r="H2059" s="12">
        <v>6942</v>
      </c>
      <c r="I2059" s="9">
        <f t="shared" si="64"/>
        <v>216.07605877268799</v>
      </c>
      <c r="J2059" s="3" t="str">
        <f t="shared" si="65"/>
        <v>Medium</v>
      </c>
    </row>
    <row r="2060" spans="1:10">
      <c r="A2060" s="4" t="s">
        <v>2123</v>
      </c>
      <c r="B2060" s="4" t="s">
        <v>960</v>
      </c>
      <c r="C2060" s="4" t="s">
        <v>12</v>
      </c>
      <c r="D2060" s="21">
        <v>1500000</v>
      </c>
      <c r="E2060" s="4">
        <v>6</v>
      </c>
      <c r="F2060" s="4">
        <v>4</v>
      </c>
      <c r="G2060" s="4">
        <v>5.3</v>
      </c>
      <c r="H2060" s="10">
        <v>4879</v>
      </c>
      <c r="I2060" s="11">
        <f t="shared" si="64"/>
        <v>307.44004919040788</v>
      </c>
      <c r="J2060" s="3" t="str">
        <f t="shared" si="65"/>
        <v>High</v>
      </c>
    </row>
    <row r="2061" spans="1:10">
      <c r="A2061" s="7" t="s">
        <v>2124</v>
      </c>
      <c r="B2061" s="7" t="s">
        <v>1425</v>
      </c>
      <c r="C2061" s="7" t="s">
        <v>12</v>
      </c>
      <c r="D2061" s="22">
        <v>1525000</v>
      </c>
      <c r="E2061" s="7">
        <v>117</v>
      </c>
      <c r="F2061" s="7">
        <v>4</v>
      </c>
      <c r="G2061" s="7">
        <v>3.1</v>
      </c>
      <c r="H2061" s="12">
        <v>4395</v>
      </c>
      <c r="I2061" s="9">
        <f t="shared" si="64"/>
        <v>346.98521046643913</v>
      </c>
      <c r="J2061" s="3" t="str">
        <f t="shared" si="65"/>
        <v>High</v>
      </c>
    </row>
    <row r="2062" spans="1:10">
      <c r="A2062" s="4" t="s">
        <v>2125</v>
      </c>
      <c r="B2062" s="4" t="s">
        <v>16</v>
      </c>
      <c r="C2062" s="4" t="s">
        <v>12</v>
      </c>
      <c r="D2062" s="21">
        <v>1550000</v>
      </c>
      <c r="E2062" s="4">
        <v>45</v>
      </c>
      <c r="F2062" s="4">
        <v>5</v>
      </c>
      <c r="G2062" s="4">
        <v>4.0999999999999996</v>
      </c>
      <c r="H2062" s="10">
        <v>4771</v>
      </c>
      <c r="I2062" s="11">
        <f t="shared" si="64"/>
        <v>324.87948019283169</v>
      </c>
      <c r="J2062" s="3" t="str">
        <f t="shared" si="65"/>
        <v>High</v>
      </c>
    </row>
    <row r="2063" spans="1:10">
      <c r="A2063" s="7" t="s">
        <v>2126</v>
      </c>
      <c r="B2063" s="7" t="s">
        <v>960</v>
      </c>
      <c r="C2063" s="7" t="s">
        <v>12</v>
      </c>
      <c r="D2063" s="22">
        <v>1550000</v>
      </c>
      <c r="E2063" s="7">
        <v>36</v>
      </c>
      <c r="F2063" s="7">
        <v>5</v>
      </c>
      <c r="G2063" s="7">
        <v>5.2</v>
      </c>
      <c r="H2063" s="12">
        <v>5117</v>
      </c>
      <c r="I2063" s="9">
        <f t="shared" si="64"/>
        <v>302.91186241938635</v>
      </c>
      <c r="J2063" s="3" t="str">
        <f t="shared" si="65"/>
        <v>High</v>
      </c>
    </row>
    <row r="2064" spans="1:10">
      <c r="A2064" s="4" t="s">
        <v>2127</v>
      </c>
      <c r="B2064" s="4" t="s">
        <v>679</v>
      </c>
      <c r="C2064" s="4" t="s">
        <v>12</v>
      </c>
      <c r="D2064" s="21">
        <v>1592000</v>
      </c>
      <c r="E2064" s="4">
        <v>168</v>
      </c>
      <c r="F2064" s="4">
        <v>4</v>
      </c>
      <c r="G2064" s="4">
        <v>6.1</v>
      </c>
      <c r="H2064" s="10">
        <v>4095</v>
      </c>
      <c r="I2064" s="11">
        <f t="shared" si="64"/>
        <v>388.76678876678875</v>
      </c>
      <c r="J2064" s="3" t="str">
        <f t="shared" si="65"/>
        <v>High</v>
      </c>
    </row>
    <row r="2065" spans="1:10">
      <c r="A2065" s="7" t="s">
        <v>2128</v>
      </c>
      <c r="B2065" s="7" t="s">
        <v>679</v>
      </c>
      <c r="C2065" s="7" t="s">
        <v>12</v>
      </c>
      <c r="D2065" s="22">
        <v>1594000</v>
      </c>
      <c r="E2065" s="7">
        <v>5</v>
      </c>
      <c r="F2065" s="7">
        <v>5</v>
      </c>
      <c r="G2065" s="7">
        <v>4.2</v>
      </c>
      <c r="H2065" s="12">
        <v>3633</v>
      </c>
      <c r="I2065" s="9">
        <f t="shared" si="64"/>
        <v>438.75584916047342</v>
      </c>
      <c r="J2065" s="3" t="str">
        <f t="shared" si="65"/>
        <v>High</v>
      </c>
    </row>
    <row r="2066" spans="1:10">
      <c r="A2066" s="4" t="s">
        <v>2129</v>
      </c>
      <c r="B2066" s="4" t="s">
        <v>1366</v>
      </c>
      <c r="C2066" s="4" t="s">
        <v>12</v>
      </c>
      <c r="D2066" s="21">
        <v>1595000</v>
      </c>
      <c r="E2066" s="4">
        <v>5</v>
      </c>
      <c r="F2066" s="4">
        <v>4</v>
      </c>
      <c r="G2066" s="4">
        <v>4.2</v>
      </c>
      <c r="H2066" s="10">
        <v>5133</v>
      </c>
      <c r="I2066" s="11">
        <f t="shared" si="64"/>
        <v>310.73446327683615</v>
      </c>
      <c r="J2066" s="3" t="str">
        <f t="shared" si="65"/>
        <v>High</v>
      </c>
    </row>
    <row r="2067" spans="1:10">
      <c r="A2067" s="7" t="s">
        <v>2130</v>
      </c>
      <c r="B2067" s="7" t="s">
        <v>679</v>
      </c>
      <c r="C2067" s="7" t="s">
        <v>12</v>
      </c>
      <c r="D2067" s="22">
        <v>1600000</v>
      </c>
      <c r="E2067" s="7">
        <v>113</v>
      </c>
      <c r="F2067" s="7">
        <v>4</v>
      </c>
      <c r="G2067" s="7">
        <v>5.0999999999999996</v>
      </c>
      <c r="H2067" s="12">
        <v>3123</v>
      </c>
      <c r="I2067" s="9">
        <f t="shared" si="64"/>
        <v>512.32788984950366</v>
      </c>
      <c r="J2067" s="3" t="str">
        <f t="shared" si="65"/>
        <v>High</v>
      </c>
    </row>
    <row r="2068" spans="1:10">
      <c r="A2068" s="4" t="s">
        <v>2131</v>
      </c>
      <c r="B2068" s="4" t="s">
        <v>679</v>
      </c>
      <c r="C2068" s="4" t="s">
        <v>12</v>
      </c>
      <c r="D2068" s="21">
        <v>1625000</v>
      </c>
      <c r="E2068" s="4">
        <v>0</v>
      </c>
      <c r="F2068" s="4">
        <v>4</v>
      </c>
      <c r="G2068" s="4">
        <v>3.1</v>
      </c>
      <c r="H2068" s="10">
        <v>3687</v>
      </c>
      <c r="I2068" s="11">
        <f t="shared" si="64"/>
        <v>440.73772714944397</v>
      </c>
      <c r="J2068" s="3" t="str">
        <f t="shared" si="65"/>
        <v>High</v>
      </c>
    </row>
    <row r="2069" spans="1:10">
      <c r="A2069" s="7" t="s">
        <v>2132</v>
      </c>
      <c r="B2069" s="7" t="s">
        <v>679</v>
      </c>
      <c r="C2069" s="7" t="s">
        <v>12</v>
      </c>
      <c r="D2069" s="22">
        <v>1625000</v>
      </c>
      <c r="E2069" s="7">
        <v>5</v>
      </c>
      <c r="F2069" s="7">
        <v>5</v>
      </c>
      <c r="G2069" s="7">
        <v>5.0999999999999996</v>
      </c>
      <c r="H2069" s="12">
        <v>3843</v>
      </c>
      <c r="I2069" s="9">
        <f t="shared" si="64"/>
        <v>422.84673432214419</v>
      </c>
      <c r="J2069" s="3" t="str">
        <f t="shared" si="65"/>
        <v>High</v>
      </c>
    </row>
    <row r="2070" spans="1:10">
      <c r="A2070" s="4" t="s">
        <v>2133</v>
      </c>
      <c r="B2070" s="4" t="s">
        <v>960</v>
      </c>
      <c r="C2070" s="4" t="s">
        <v>12</v>
      </c>
      <c r="D2070" s="21">
        <v>1650000</v>
      </c>
      <c r="E2070" s="4">
        <v>18</v>
      </c>
      <c r="F2070" s="4">
        <v>6</v>
      </c>
      <c r="G2070" s="4">
        <v>5.2</v>
      </c>
      <c r="H2070" s="10">
        <v>4668</v>
      </c>
      <c r="I2070" s="11">
        <f t="shared" si="64"/>
        <v>353.47043701799487</v>
      </c>
      <c r="J2070" s="3" t="str">
        <f t="shared" si="65"/>
        <v>High</v>
      </c>
    </row>
    <row r="2071" spans="1:10">
      <c r="A2071" s="7" t="s">
        <v>2134</v>
      </c>
      <c r="B2071" s="7" t="s">
        <v>318</v>
      </c>
      <c r="C2071" s="7" t="s">
        <v>12</v>
      </c>
      <c r="D2071" s="22">
        <v>1650000</v>
      </c>
      <c r="E2071" s="7">
        <v>177</v>
      </c>
      <c r="F2071" s="7">
        <v>4</v>
      </c>
      <c r="G2071" s="7">
        <v>3.2</v>
      </c>
      <c r="H2071" s="12">
        <v>6493</v>
      </c>
      <c r="I2071" s="9">
        <f t="shared" si="64"/>
        <v>254.11982134606498</v>
      </c>
      <c r="J2071" s="3" t="str">
        <f t="shared" si="65"/>
        <v>Medium</v>
      </c>
    </row>
    <row r="2072" spans="1:10">
      <c r="A2072" s="4" t="s">
        <v>2135</v>
      </c>
      <c r="B2072" s="4" t="s">
        <v>18</v>
      </c>
      <c r="C2072" s="4" t="s">
        <v>12</v>
      </c>
      <c r="D2072" s="21">
        <v>1660000</v>
      </c>
      <c r="E2072" s="4">
        <v>10</v>
      </c>
      <c r="F2072" s="4">
        <v>4</v>
      </c>
      <c r="G2072" s="4">
        <v>4.2</v>
      </c>
      <c r="H2072" s="10">
        <v>5272</v>
      </c>
      <c r="I2072" s="11">
        <f t="shared" si="64"/>
        <v>314.87101669195749</v>
      </c>
      <c r="J2072" s="3" t="str">
        <f t="shared" si="65"/>
        <v>High</v>
      </c>
    </row>
    <row r="2073" spans="1:10">
      <c r="A2073" s="7" t="s">
        <v>2136</v>
      </c>
      <c r="B2073" s="7" t="s">
        <v>960</v>
      </c>
      <c r="C2073" s="7" t="s">
        <v>12</v>
      </c>
      <c r="D2073" s="22">
        <v>1700000</v>
      </c>
      <c r="E2073" s="7">
        <v>81</v>
      </c>
      <c r="F2073" s="7">
        <v>5</v>
      </c>
      <c r="G2073" s="7">
        <v>4.0999999999999996</v>
      </c>
      <c r="H2073" s="12">
        <v>3910</v>
      </c>
      <c r="I2073" s="9">
        <f t="shared" si="64"/>
        <v>434.78260869565219</v>
      </c>
      <c r="J2073" s="3" t="str">
        <f t="shared" si="65"/>
        <v>High</v>
      </c>
    </row>
    <row r="2074" spans="1:10">
      <c r="A2074" s="4" t="s">
        <v>2137</v>
      </c>
      <c r="B2074" s="4" t="s">
        <v>960</v>
      </c>
      <c r="C2074" s="4" t="s">
        <v>12</v>
      </c>
      <c r="D2074" s="21">
        <v>1725000</v>
      </c>
      <c r="E2074" s="4">
        <v>24</v>
      </c>
      <c r="F2074" s="4">
        <v>4</v>
      </c>
      <c r="G2074" s="4">
        <v>3.3</v>
      </c>
      <c r="H2074" s="10">
        <v>4553</v>
      </c>
      <c r="I2074" s="11">
        <f t="shared" si="64"/>
        <v>378.87107401713155</v>
      </c>
      <c r="J2074" s="3" t="str">
        <f t="shared" si="65"/>
        <v>High</v>
      </c>
    </row>
    <row r="2075" spans="1:10">
      <c r="A2075" s="7" t="s">
        <v>2138</v>
      </c>
      <c r="B2075" s="7" t="s">
        <v>679</v>
      </c>
      <c r="C2075" s="7" t="s">
        <v>12</v>
      </c>
      <c r="D2075" s="22">
        <v>1775000</v>
      </c>
      <c r="E2075" s="7">
        <v>101</v>
      </c>
      <c r="F2075" s="7">
        <v>5</v>
      </c>
      <c r="G2075" s="7">
        <v>5.2</v>
      </c>
      <c r="H2075" s="12">
        <v>5176</v>
      </c>
      <c r="I2075" s="9">
        <f t="shared" si="64"/>
        <v>342.9289026275116</v>
      </c>
      <c r="J2075" s="3" t="str">
        <f t="shared" si="65"/>
        <v>High</v>
      </c>
    </row>
    <row r="2076" spans="1:10">
      <c r="A2076" s="4" t="s">
        <v>2139</v>
      </c>
      <c r="B2076" s="4" t="s">
        <v>679</v>
      </c>
      <c r="C2076" s="4" t="s">
        <v>12</v>
      </c>
      <c r="D2076" s="21">
        <v>1825000</v>
      </c>
      <c r="E2076" s="4">
        <v>119</v>
      </c>
      <c r="F2076" s="4">
        <v>4</v>
      </c>
      <c r="G2076" s="4">
        <v>5.2</v>
      </c>
      <c r="H2076" s="10">
        <v>4200</v>
      </c>
      <c r="I2076" s="11">
        <f t="shared" si="64"/>
        <v>434.52380952380952</v>
      </c>
      <c r="J2076" s="3" t="str">
        <f t="shared" si="65"/>
        <v>High</v>
      </c>
    </row>
    <row r="2077" spans="1:10">
      <c r="A2077" s="7" t="s">
        <v>2140</v>
      </c>
      <c r="B2077" s="7" t="s">
        <v>679</v>
      </c>
      <c r="C2077" s="7" t="s">
        <v>12</v>
      </c>
      <c r="D2077" s="22">
        <v>1950000</v>
      </c>
      <c r="E2077" s="7">
        <v>35</v>
      </c>
      <c r="F2077" s="7">
        <v>4</v>
      </c>
      <c r="G2077" s="7">
        <v>3.2</v>
      </c>
      <c r="H2077" s="12">
        <v>3700</v>
      </c>
      <c r="I2077" s="9">
        <f t="shared" si="64"/>
        <v>527.02702702702697</v>
      </c>
      <c r="J2077" s="3" t="str">
        <f t="shared" si="65"/>
        <v>High</v>
      </c>
    </row>
    <row r="2078" spans="1:10">
      <c r="A2078" s="4" t="s">
        <v>2141</v>
      </c>
      <c r="B2078" s="4" t="s">
        <v>268</v>
      </c>
      <c r="C2078" s="4" t="s">
        <v>12</v>
      </c>
      <c r="D2078" s="21">
        <v>1971300</v>
      </c>
      <c r="E2078" s="4">
        <v>160</v>
      </c>
      <c r="F2078" s="4">
        <v>4</v>
      </c>
      <c r="G2078" s="4">
        <v>4.2</v>
      </c>
      <c r="H2078" s="10">
        <v>6459</v>
      </c>
      <c r="I2078" s="11">
        <f t="shared" si="64"/>
        <v>305.20204366000928</v>
      </c>
      <c r="J2078" s="3" t="str">
        <f t="shared" si="65"/>
        <v>High</v>
      </c>
    </row>
    <row r="2079" spans="1:10">
      <c r="A2079" s="7" t="s">
        <v>2142</v>
      </c>
      <c r="B2079" s="7" t="s">
        <v>400</v>
      </c>
      <c r="C2079" s="7" t="s">
        <v>12</v>
      </c>
      <c r="D2079" s="22">
        <v>1993472</v>
      </c>
      <c r="E2079" s="7">
        <v>210</v>
      </c>
      <c r="F2079" s="7">
        <v>4</v>
      </c>
      <c r="G2079" s="7">
        <v>4.0999999999999996</v>
      </c>
      <c r="H2079" s="12">
        <v>4749</v>
      </c>
      <c r="I2079" s="9">
        <f t="shared" si="64"/>
        <v>419.76668772373131</v>
      </c>
      <c r="J2079" s="3" t="str">
        <f t="shared" si="65"/>
        <v>High</v>
      </c>
    </row>
    <row r="2080" spans="1:10">
      <c r="A2080" s="4" t="s">
        <v>2143</v>
      </c>
      <c r="B2080" s="4" t="s">
        <v>960</v>
      </c>
      <c r="C2080" s="4" t="s">
        <v>12</v>
      </c>
      <c r="D2080" s="21">
        <v>2202555</v>
      </c>
      <c r="E2080" s="4">
        <v>0</v>
      </c>
      <c r="F2080" s="4">
        <v>4</v>
      </c>
      <c r="G2080" s="4">
        <v>3.2</v>
      </c>
      <c r="H2080" s="10">
        <v>3760</v>
      </c>
      <c r="I2080" s="11">
        <f t="shared" si="64"/>
        <v>585.78590425531911</v>
      </c>
      <c r="J2080" s="3" t="str">
        <f t="shared" si="65"/>
        <v>High</v>
      </c>
    </row>
    <row r="2081" spans="1:10">
      <c r="A2081" s="7" t="s">
        <v>2144</v>
      </c>
      <c r="B2081" s="7" t="s">
        <v>679</v>
      </c>
      <c r="C2081" s="7" t="s">
        <v>12</v>
      </c>
      <c r="D2081" s="22">
        <v>2400000</v>
      </c>
      <c r="E2081" s="7">
        <v>31</v>
      </c>
      <c r="F2081" s="7">
        <v>4</v>
      </c>
      <c r="G2081" s="7">
        <v>5.2</v>
      </c>
      <c r="H2081" s="12">
        <v>3849</v>
      </c>
      <c r="I2081" s="9">
        <f t="shared" si="64"/>
        <v>623.53858144972719</v>
      </c>
      <c r="J2081" s="3" t="str">
        <f t="shared" si="65"/>
        <v>High</v>
      </c>
    </row>
    <row r="2082" spans="1:10">
      <c r="A2082" s="4" t="s">
        <v>2145</v>
      </c>
      <c r="B2082" s="4" t="s">
        <v>679</v>
      </c>
      <c r="C2082" s="4" t="s">
        <v>12</v>
      </c>
      <c r="D2082" s="21">
        <v>2450000</v>
      </c>
      <c r="E2082" s="4">
        <v>13</v>
      </c>
      <c r="F2082" s="4">
        <v>5</v>
      </c>
      <c r="G2082" s="4">
        <v>5.0999999999999996</v>
      </c>
      <c r="H2082" s="10">
        <v>4500</v>
      </c>
      <c r="I2082" s="11">
        <f t="shared" si="64"/>
        <v>544.44444444444446</v>
      </c>
      <c r="J2082" s="3" t="str">
        <f t="shared" si="65"/>
        <v>High</v>
      </c>
    </row>
    <row r="2083" spans="1:10">
      <c r="A2083" s="7" t="s">
        <v>2146</v>
      </c>
      <c r="B2083" s="7" t="s">
        <v>679</v>
      </c>
      <c r="C2083" s="7" t="s">
        <v>12</v>
      </c>
      <c r="D2083" s="22">
        <v>2542500</v>
      </c>
      <c r="E2083" s="7">
        <v>11</v>
      </c>
      <c r="F2083" s="7">
        <v>5</v>
      </c>
      <c r="G2083" s="7">
        <v>5.2</v>
      </c>
      <c r="H2083" s="12">
        <v>5500</v>
      </c>
      <c r="I2083" s="9">
        <f t="shared" si="64"/>
        <v>462.27272727272725</v>
      </c>
      <c r="J2083" s="3" t="str">
        <f t="shared" si="65"/>
        <v>High</v>
      </c>
    </row>
    <row r="2084" spans="1:10">
      <c r="A2084" s="4" t="s">
        <v>2147</v>
      </c>
      <c r="B2084" s="4" t="s">
        <v>679</v>
      </c>
      <c r="C2084" s="4" t="s">
        <v>12</v>
      </c>
      <c r="D2084" s="21">
        <v>2550000</v>
      </c>
      <c r="E2084" s="4">
        <v>62</v>
      </c>
      <c r="F2084" s="4">
        <v>5</v>
      </c>
      <c r="G2084" s="4">
        <v>5.0999999999999996</v>
      </c>
      <c r="H2084" s="10">
        <v>4360</v>
      </c>
      <c r="I2084" s="11">
        <f t="shared" si="64"/>
        <v>584.86238532110087</v>
      </c>
      <c r="J2084" s="3" t="str">
        <f t="shared" si="65"/>
        <v>High</v>
      </c>
    </row>
    <row r="2085" spans="1:10">
      <c r="A2085" s="7" t="s">
        <v>2148</v>
      </c>
      <c r="B2085" s="7" t="s">
        <v>679</v>
      </c>
      <c r="C2085" s="7" t="s">
        <v>12</v>
      </c>
      <c r="D2085" s="22">
        <v>2650000</v>
      </c>
      <c r="E2085" s="7">
        <v>20</v>
      </c>
      <c r="F2085" s="7">
        <v>5</v>
      </c>
      <c r="G2085" s="7">
        <v>5.3</v>
      </c>
      <c r="H2085" s="12">
        <v>6464</v>
      </c>
      <c r="I2085" s="9">
        <f t="shared" si="64"/>
        <v>409.96287128712873</v>
      </c>
      <c r="J2085" s="3" t="str">
        <f t="shared" si="65"/>
        <v>High</v>
      </c>
    </row>
    <row r="2086" spans="1:10">
      <c r="A2086" s="4" t="s">
        <v>2149</v>
      </c>
      <c r="B2086" s="4" t="s">
        <v>960</v>
      </c>
      <c r="C2086" s="4" t="s">
        <v>12</v>
      </c>
      <c r="D2086" s="21">
        <v>2698000</v>
      </c>
      <c r="E2086" s="4">
        <v>0</v>
      </c>
      <c r="F2086" s="4">
        <v>4</v>
      </c>
      <c r="G2086" s="4">
        <v>5.0999999999999996</v>
      </c>
      <c r="H2086" s="10">
        <v>4423</v>
      </c>
      <c r="I2086" s="11">
        <f t="shared" si="64"/>
        <v>609.99321727334393</v>
      </c>
      <c r="J2086" s="3" t="str">
        <f t="shared" si="65"/>
        <v>High</v>
      </c>
    </row>
    <row r="2087" spans="1:10">
      <c r="A2087" s="7" t="s">
        <v>2150</v>
      </c>
      <c r="B2087" s="7" t="s">
        <v>960</v>
      </c>
      <c r="C2087" s="7" t="s">
        <v>12</v>
      </c>
      <c r="D2087" s="22">
        <v>2795000</v>
      </c>
      <c r="E2087" s="7">
        <v>22</v>
      </c>
      <c r="F2087" s="7">
        <v>5</v>
      </c>
      <c r="G2087" s="7">
        <v>5.2</v>
      </c>
      <c r="H2087" s="12">
        <v>6400</v>
      </c>
      <c r="I2087" s="9">
        <f t="shared" si="64"/>
        <v>436.71875</v>
      </c>
      <c r="J2087" s="3" t="str">
        <f t="shared" si="65"/>
        <v>High</v>
      </c>
    </row>
    <row r="2088" spans="1:10">
      <c r="A2088" s="4" t="s">
        <v>2151</v>
      </c>
      <c r="B2088" s="4" t="s">
        <v>960</v>
      </c>
      <c r="C2088" s="4" t="s">
        <v>12</v>
      </c>
      <c r="D2088" s="21">
        <v>2950000</v>
      </c>
      <c r="E2088" s="4">
        <v>252</v>
      </c>
      <c r="F2088" s="4">
        <v>5</v>
      </c>
      <c r="G2088" s="4">
        <v>5.2</v>
      </c>
      <c r="H2088" s="10">
        <v>7200</v>
      </c>
      <c r="I2088" s="11">
        <f t="shared" si="64"/>
        <v>409.72222222222223</v>
      </c>
      <c r="J2088" s="3" t="str">
        <f t="shared" si="65"/>
        <v>High</v>
      </c>
    </row>
    <row r="2089" spans="1:10">
      <c r="A2089" s="7" t="s">
        <v>2152</v>
      </c>
      <c r="B2089" s="7" t="s">
        <v>268</v>
      </c>
      <c r="C2089" s="7" t="s">
        <v>12</v>
      </c>
      <c r="D2089" s="22">
        <v>3000000</v>
      </c>
      <c r="E2089" s="7">
        <v>1</v>
      </c>
      <c r="F2089" s="7">
        <v>4</v>
      </c>
      <c r="G2089" s="7">
        <v>4.2</v>
      </c>
      <c r="H2089" s="12">
        <v>4890</v>
      </c>
      <c r="I2089" s="9">
        <f t="shared" si="64"/>
        <v>613.49693251533745</v>
      </c>
      <c r="J2089" s="3" t="str">
        <f t="shared" si="65"/>
        <v>High</v>
      </c>
    </row>
    <row r="2090" spans="1:10">
      <c r="A2090" s="4" t="s">
        <v>2153</v>
      </c>
      <c r="B2090" s="4" t="s">
        <v>679</v>
      </c>
      <c r="C2090" s="4" t="s">
        <v>12</v>
      </c>
      <c r="D2090" s="21">
        <v>3125000</v>
      </c>
      <c r="E2090" s="4">
        <v>37</v>
      </c>
      <c r="F2090" s="4">
        <v>6</v>
      </c>
      <c r="G2090" s="4">
        <v>4.2</v>
      </c>
      <c r="H2090" s="10">
        <v>6864</v>
      </c>
      <c r="I2090" s="11">
        <f t="shared" si="64"/>
        <v>455.27389277389278</v>
      </c>
      <c r="J2090" s="3" t="str">
        <f t="shared" si="65"/>
        <v>High</v>
      </c>
    </row>
    <row r="2091" spans="1:10">
      <c r="A2091" s="7" t="s">
        <v>2154</v>
      </c>
      <c r="B2091" s="7" t="s">
        <v>679</v>
      </c>
      <c r="C2091" s="7" t="s">
        <v>12</v>
      </c>
      <c r="D2091" s="22">
        <v>3250000</v>
      </c>
      <c r="E2091" s="7">
        <v>44</v>
      </c>
      <c r="F2091" s="7">
        <v>5</v>
      </c>
      <c r="G2091" s="7">
        <v>5.2</v>
      </c>
      <c r="H2091" s="12">
        <v>5020</v>
      </c>
      <c r="I2091" s="9">
        <f t="shared" si="64"/>
        <v>647.41035856573706</v>
      </c>
      <c r="J2091" s="3" t="str">
        <f t="shared" si="65"/>
        <v>High</v>
      </c>
    </row>
    <row r="2092" spans="1:10">
      <c r="A2092" s="4" t="s">
        <v>2155</v>
      </c>
      <c r="B2092" s="4" t="s">
        <v>1366</v>
      </c>
      <c r="C2092" s="4" t="s">
        <v>12</v>
      </c>
      <c r="D2092" s="21">
        <v>3400000</v>
      </c>
      <c r="E2092" s="4">
        <v>7</v>
      </c>
      <c r="F2092" s="4">
        <v>5</v>
      </c>
      <c r="G2092" s="4">
        <v>6.1</v>
      </c>
      <c r="H2092" s="10">
        <v>9800</v>
      </c>
      <c r="I2092" s="11">
        <f t="shared" si="64"/>
        <v>346.9387755102041</v>
      </c>
      <c r="J2092" s="3" t="str">
        <f t="shared" si="65"/>
        <v>High</v>
      </c>
    </row>
    <row r="2093" spans="1:10">
      <c r="A2093" s="7" t="s">
        <v>2156</v>
      </c>
      <c r="B2093" s="7" t="s">
        <v>1366</v>
      </c>
      <c r="C2093" s="7" t="s">
        <v>12</v>
      </c>
      <c r="D2093" s="22">
        <v>3400000</v>
      </c>
      <c r="E2093" s="7">
        <v>77</v>
      </c>
      <c r="F2093" s="7">
        <v>5</v>
      </c>
      <c r="G2093" s="7">
        <v>6.2</v>
      </c>
      <c r="H2093" s="12">
        <v>7429</v>
      </c>
      <c r="I2093" s="9">
        <f t="shared" si="64"/>
        <v>457.66590389016017</v>
      </c>
      <c r="J2093" s="3" t="str">
        <f t="shared" si="65"/>
        <v>High</v>
      </c>
    </row>
    <row r="2094" spans="1:10">
      <c r="A2094" s="4" t="s">
        <v>2157</v>
      </c>
      <c r="B2094" s="4" t="s">
        <v>1366</v>
      </c>
      <c r="C2094" s="4" t="s">
        <v>12</v>
      </c>
      <c r="D2094" s="21">
        <v>3400000</v>
      </c>
      <c r="E2094" s="4">
        <v>58</v>
      </c>
      <c r="F2094" s="4">
        <v>5</v>
      </c>
      <c r="G2094" s="4">
        <v>6.1</v>
      </c>
      <c r="H2094" s="10">
        <v>9800</v>
      </c>
      <c r="I2094" s="11">
        <f t="shared" si="64"/>
        <v>346.9387755102041</v>
      </c>
      <c r="J2094" s="3" t="str">
        <f t="shared" si="65"/>
        <v>High</v>
      </c>
    </row>
    <row r="2095" spans="1:10">
      <c r="A2095" s="7" t="s">
        <v>2158</v>
      </c>
      <c r="B2095" s="7" t="s">
        <v>268</v>
      </c>
      <c r="C2095" s="7" t="s">
        <v>12</v>
      </c>
      <c r="D2095" s="22">
        <v>3500000</v>
      </c>
      <c r="E2095" s="7">
        <v>107</v>
      </c>
      <c r="F2095" s="7">
        <v>5</v>
      </c>
      <c r="G2095" s="7">
        <v>3.2</v>
      </c>
      <c r="H2095" s="12">
        <v>4970</v>
      </c>
      <c r="I2095" s="9">
        <f t="shared" si="64"/>
        <v>704.22535211267609</v>
      </c>
      <c r="J2095" s="3" t="str">
        <f t="shared" si="65"/>
        <v>High</v>
      </c>
    </row>
    <row r="2096" spans="1:10">
      <c r="A2096" s="4" t="s">
        <v>2159</v>
      </c>
      <c r="B2096" s="4" t="s">
        <v>268</v>
      </c>
      <c r="C2096" s="4" t="s">
        <v>12</v>
      </c>
      <c r="D2096" s="21">
        <v>3700000</v>
      </c>
      <c r="E2096" s="4">
        <v>14</v>
      </c>
      <c r="F2096" s="4">
        <v>4</v>
      </c>
      <c r="G2096" s="4">
        <v>4.3</v>
      </c>
      <c r="H2096" s="10">
        <v>6121</v>
      </c>
      <c r="I2096" s="11">
        <f t="shared" si="64"/>
        <v>604.4763927462833</v>
      </c>
      <c r="J2096" s="3" t="str">
        <f t="shared" si="65"/>
        <v>High</v>
      </c>
    </row>
    <row r="2097" spans="1:10">
      <c r="A2097" s="7" t="s">
        <v>2160</v>
      </c>
      <c r="B2097" s="7" t="s">
        <v>1366</v>
      </c>
      <c r="C2097" s="7" t="s">
        <v>12</v>
      </c>
      <c r="D2097" s="22">
        <v>4500000</v>
      </c>
      <c r="E2097" s="7">
        <v>17</v>
      </c>
      <c r="F2097" s="7">
        <v>6</v>
      </c>
      <c r="G2097" s="7">
        <v>6.3</v>
      </c>
      <c r="H2097" s="12">
        <v>7515</v>
      </c>
      <c r="I2097" s="9">
        <f t="shared" si="64"/>
        <v>598.80239520958082</v>
      </c>
      <c r="J2097" s="3" t="str">
        <f t="shared" si="65"/>
        <v>High</v>
      </c>
    </row>
    <row r="2098" spans="1:10">
      <c r="A2098" s="13" t="s">
        <v>2161</v>
      </c>
      <c r="B2098" s="13" t="s">
        <v>16</v>
      </c>
      <c r="C2098" s="13" t="s">
        <v>12</v>
      </c>
      <c r="D2098" s="23">
        <v>5000000</v>
      </c>
      <c r="E2098" s="13">
        <v>7</v>
      </c>
      <c r="F2098" s="13">
        <v>9</v>
      </c>
      <c r="G2098" s="13">
        <v>11.3</v>
      </c>
      <c r="H2098" s="14">
        <v>8738</v>
      </c>
      <c r="I2098" s="15">
        <f t="shared" si="64"/>
        <v>572.21332112611583</v>
      </c>
      <c r="J2098" s="3" t="str">
        <f t="shared" si="65"/>
        <v>High</v>
      </c>
    </row>
    <row r="2099" spans="1:10">
      <c r="A2099" s="4" t="s">
        <v>2162</v>
      </c>
      <c r="B2099" s="16" t="s">
        <v>2163</v>
      </c>
      <c r="C2099" s="17" t="s">
        <v>2164</v>
      </c>
      <c r="D2099" s="21">
        <v>17000</v>
      </c>
      <c r="E2099" s="4">
        <v>17</v>
      </c>
      <c r="F2099" s="4">
        <v>2</v>
      </c>
      <c r="G2099" s="4">
        <v>1</v>
      </c>
      <c r="H2099" s="4">
        <v>640</v>
      </c>
      <c r="I2099" s="5">
        <f t="shared" si="64"/>
        <v>26.5625</v>
      </c>
      <c r="J2099" s="3" t="str">
        <f t="shared" si="65"/>
        <v>Low</v>
      </c>
    </row>
    <row r="2100" spans="1:10">
      <c r="A2100" s="7" t="s">
        <v>2165</v>
      </c>
      <c r="B2100" s="18" t="s">
        <v>2166</v>
      </c>
      <c r="C2100" s="19" t="s">
        <v>2164</v>
      </c>
      <c r="D2100" s="22">
        <v>20000</v>
      </c>
      <c r="E2100" s="7">
        <v>1</v>
      </c>
      <c r="F2100" s="7">
        <v>2</v>
      </c>
      <c r="G2100" s="7">
        <v>1</v>
      </c>
      <c r="H2100" s="7">
        <v>901</v>
      </c>
      <c r="I2100" s="8">
        <f t="shared" si="64"/>
        <v>22.197558268590456</v>
      </c>
      <c r="J2100" s="3" t="str">
        <f t="shared" si="65"/>
        <v>Low</v>
      </c>
    </row>
    <row r="2101" spans="1:10">
      <c r="A2101" s="4" t="s">
        <v>2167</v>
      </c>
      <c r="B2101" s="16" t="s">
        <v>2168</v>
      </c>
      <c r="C2101" s="17" t="s">
        <v>2164</v>
      </c>
      <c r="D2101" s="21">
        <v>20000</v>
      </c>
      <c r="E2101" s="4">
        <v>5</v>
      </c>
      <c r="F2101" s="4">
        <v>2</v>
      </c>
      <c r="G2101" s="4">
        <v>1</v>
      </c>
      <c r="H2101" s="4">
        <v>725</v>
      </c>
      <c r="I2101" s="5">
        <f t="shared" si="64"/>
        <v>27.586206896551722</v>
      </c>
      <c r="J2101" s="3" t="str">
        <f t="shared" si="65"/>
        <v>Low</v>
      </c>
    </row>
    <row r="2102" spans="1:10">
      <c r="A2102" s="7" t="s">
        <v>2169</v>
      </c>
      <c r="B2102" s="18" t="s">
        <v>2168</v>
      </c>
      <c r="C2102" s="19" t="s">
        <v>2164</v>
      </c>
      <c r="D2102" s="22">
        <v>35000</v>
      </c>
      <c r="E2102" s="7">
        <v>3</v>
      </c>
      <c r="F2102" s="7">
        <v>2</v>
      </c>
      <c r="G2102" s="7">
        <v>1</v>
      </c>
      <c r="H2102" s="7">
        <v>816</v>
      </c>
      <c r="I2102" s="8">
        <f t="shared" si="64"/>
        <v>42.892156862745097</v>
      </c>
      <c r="J2102" s="3" t="str">
        <f t="shared" si="65"/>
        <v>Low</v>
      </c>
    </row>
    <row r="2103" spans="1:10">
      <c r="A2103" s="4" t="s">
        <v>2170</v>
      </c>
      <c r="B2103" s="16" t="s">
        <v>2171</v>
      </c>
      <c r="C2103" s="17" t="s">
        <v>2164</v>
      </c>
      <c r="D2103" s="21">
        <v>40000</v>
      </c>
      <c r="E2103" s="4">
        <v>5</v>
      </c>
      <c r="F2103" s="4">
        <v>2</v>
      </c>
      <c r="G2103" s="4">
        <v>1</v>
      </c>
      <c r="H2103" s="10">
        <v>1050</v>
      </c>
      <c r="I2103" s="5">
        <f t="shared" si="64"/>
        <v>38.095238095238095</v>
      </c>
      <c r="J2103" s="3" t="str">
        <f t="shared" si="65"/>
        <v>Low</v>
      </c>
    </row>
    <row r="2104" spans="1:10">
      <c r="A2104" s="7" t="s">
        <v>2172</v>
      </c>
      <c r="B2104" s="18" t="s">
        <v>2173</v>
      </c>
      <c r="C2104" s="19" t="s">
        <v>2164</v>
      </c>
      <c r="D2104" s="22">
        <v>41500</v>
      </c>
      <c r="E2104" s="7">
        <v>14</v>
      </c>
      <c r="F2104" s="7">
        <v>2</v>
      </c>
      <c r="G2104" s="7">
        <v>1</v>
      </c>
      <c r="H2104" s="7">
        <v>928</v>
      </c>
      <c r="I2104" s="8">
        <f t="shared" si="64"/>
        <v>44.719827586206897</v>
      </c>
      <c r="J2104" s="3" t="str">
        <f t="shared" si="65"/>
        <v>Low</v>
      </c>
    </row>
    <row r="2105" spans="1:10">
      <c r="A2105" s="4" t="s">
        <v>2174</v>
      </c>
      <c r="B2105" s="16" t="s">
        <v>2168</v>
      </c>
      <c r="C2105" s="17" t="s">
        <v>2164</v>
      </c>
      <c r="D2105" s="21">
        <v>45000</v>
      </c>
      <c r="E2105" s="4">
        <v>5</v>
      </c>
      <c r="F2105" s="4">
        <v>2</v>
      </c>
      <c r="G2105" s="4">
        <v>1</v>
      </c>
      <c r="H2105" s="4">
        <v>720</v>
      </c>
      <c r="I2105" s="5">
        <f t="shared" si="64"/>
        <v>62.5</v>
      </c>
      <c r="J2105" s="3" t="str">
        <f t="shared" si="65"/>
        <v>Low</v>
      </c>
    </row>
    <row r="2106" spans="1:10">
      <c r="A2106" s="7" t="s">
        <v>2175</v>
      </c>
      <c r="B2106" s="18" t="s">
        <v>2168</v>
      </c>
      <c r="C2106" s="19" t="s">
        <v>2164</v>
      </c>
      <c r="D2106" s="22">
        <v>45000</v>
      </c>
      <c r="E2106" s="7">
        <v>21</v>
      </c>
      <c r="F2106" s="7">
        <v>3</v>
      </c>
      <c r="G2106" s="7">
        <v>1.1000000000000001</v>
      </c>
      <c r="H2106" s="12">
        <v>1032</v>
      </c>
      <c r="I2106" s="8">
        <f t="shared" si="64"/>
        <v>43.604651162790695</v>
      </c>
      <c r="J2106" s="3" t="str">
        <f t="shared" si="65"/>
        <v>Low</v>
      </c>
    </row>
    <row r="2107" spans="1:10">
      <c r="A2107" s="4" t="s">
        <v>2176</v>
      </c>
      <c r="B2107" s="16" t="s">
        <v>2168</v>
      </c>
      <c r="C2107" s="17" t="s">
        <v>2164</v>
      </c>
      <c r="D2107" s="21">
        <v>49000</v>
      </c>
      <c r="E2107" s="4">
        <v>7</v>
      </c>
      <c r="F2107" s="4">
        <v>3</v>
      </c>
      <c r="G2107" s="4">
        <v>1</v>
      </c>
      <c r="H2107" s="10">
        <v>1060</v>
      </c>
      <c r="I2107" s="5">
        <f t="shared" si="64"/>
        <v>46.226415094339622</v>
      </c>
      <c r="J2107" s="3" t="str">
        <f t="shared" si="65"/>
        <v>Low</v>
      </c>
    </row>
    <row r="2108" spans="1:10">
      <c r="A2108" s="7" t="s">
        <v>2177</v>
      </c>
      <c r="B2108" s="18" t="s">
        <v>2163</v>
      </c>
      <c r="C2108" s="19" t="s">
        <v>2164</v>
      </c>
      <c r="D2108" s="22">
        <v>50000</v>
      </c>
      <c r="E2108" s="7">
        <v>49</v>
      </c>
      <c r="F2108" s="7">
        <v>2</v>
      </c>
      <c r="G2108" s="7">
        <v>2</v>
      </c>
      <c r="H2108" s="12">
        <v>1792</v>
      </c>
      <c r="I2108" s="8">
        <f t="shared" si="64"/>
        <v>27.901785714285715</v>
      </c>
      <c r="J2108" s="3" t="str">
        <f t="shared" si="65"/>
        <v>Low</v>
      </c>
    </row>
    <row r="2109" spans="1:10">
      <c r="A2109" s="4" t="s">
        <v>2178</v>
      </c>
      <c r="B2109" s="16" t="s">
        <v>2168</v>
      </c>
      <c r="C2109" s="17" t="s">
        <v>2164</v>
      </c>
      <c r="D2109" s="21">
        <v>52000</v>
      </c>
      <c r="E2109" s="4">
        <v>433</v>
      </c>
      <c r="F2109" s="4">
        <v>2</v>
      </c>
      <c r="G2109" s="4">
        <v>1</v>
      </c>
      <c r="H2109" s="4">
        <v>596</v>
      </c>
      <c r="I2109" s="5">
        <f t="shared" si="64"/>
        <v>87.24832214765101</v>
      </c>
      <c r="J2109" s="3" t="str">
        <f t="shared" si="65"/>
        <v>Low</v>
      </c>
    </row>
    <row r="2110" spans="1:10">
      <c r="A2110" s="7" t="s">
        <v>2179</v>
      </c>
      <c r="B2110" s="18" t="s">
        <v>2168</v>
      </c>
      <c r="C2110" s="19" t="s">
        <v>2164</v>
      </c>
      <c r="D2110" s="22">
        <v>55000</v>
      </c>
      <c r="E2110" s="7">
        <v>0</v>
      </c>
      <c r="F2110" s="7">
        <v>2</v>
      </c>
      <c r="G2110" s="7">
        <v>1</v>
      </c>
      <c r="H2110" s="7">
        <v>725</v>
      </c>
      <c r="I2110" s="8">
        <f t="shared" si="64"/>
        <v>75.862068965517238</v>
      </c>
      <c r="J2110" s="3" t="str">
        <f t="shared" si="65"/>
        <v>Low</v>
      </c>
    </row>
    <row r="2111" spans="1:10">
      <c r="A2111" s="4" t="s">
        <v>2180</v>
      </c>
      <c r="B2111" s="16" t="s">
        <v>2181</v>
      </c>
      <c r="C2111" s="17" t="s">
        <v>2164</v>
      </c>
      <c r="D2111" s="21">
        <v>55000</v>
      </c>
      <c r="E2111" s="4">
        <v>7</v>
      </c>
      <c r="F2111" s="4">
        <v>6</v>
      </c>
      <c r="G2111" s="4">
        <v>2</v>
      </c>
      <c r="H2111" s="10">
        <v>1524</v>
      </c>
      <c r="I2111" s="5">
        <f t="shared" si="64"/>
        <v>36.089238845144358</v>
      </c>
      <c r="J2111" s="3" t="str">
        <f t="shared" si="65"/>
        <v>Low</v>
      </c>
    </row>
    <row r="2112" spans="1:10">
      <c r="A2112" s="7" t="s">
        <v>2182</v>
      </c>
      <c r="B2112" s="18" t="s">
        <v>2183</v>
      </c>
      <c r="C2112" s="19" t="s">
        <v>2164</v>
      </c>
      <c r="D2112" s="22">
        <v>55000</v>
      </c>
      <c r="E2112" s="7">
        <v>25</v>
      </c>
      <c r="F2112" s="7">
        <v>3</v>
      </c>
      <c r="G2112" s="7">
        <v>2</v>
      </c>
      <c r="H2112" s="12">
        <v>2016</v>
      </c>
      <c r="I2112" s="8">
        <f t="shared" si="64"/>
        <v>27.281746031746032</v>
      </c>
      <c r="J2112" s="3" t="str">
        <f t="shared" si="65"/>
        <v>Low</v>
      </c>
    </row>
    <row r="2113" spans="1:10">
      <c r="A2113" s="4" t="s">
        <v>2184</v>
      </c>
      <c r="B2113" s="16" t="s">
        <v>2168</v>
      </c>
      <c r="C2113" s="17" t="s">
        <v>2164</v>
      </c>
      <c r="D2113" s="21">
        <v>55500</v>
      </c>
      <c r="E2113" s="4">
        <v>8</v>
      </c>
      <c r="F2113" s="4">
        <v>0</v>
      </c>
      <c r="G2113" s="4">
        <v>0</v>
      </c>
      <c r="H2113" s="4">
        <v>850</v>
      </c>
      <c r="I2113" s="5">
        <f t="shared" si="64"/>
        <v>65.294117647058826</v>
      </c>
      <c r="J2113" s="3" t="str">
        <f t="shared" si="65"/>
        <v>Low</v>
      </c>
    </row>
    <row r="2114" spans="1:10">
      <c r="A2114" s="7" t="s">
        <v>2185</v>
      </c>
      <c r="B2114" s="18" t="s">
        <v>2166</v>
      </c>
      <c r="C2114" s="19" t="s">
        <v>2164</v>
      </c>
      <c r="D2114" s="22">
        <v>60000</v>
      </c>
      <c r="E2114" s="7">
        <v>1</v>
      </c>
      <c r="F2114" s="7">
        <v>2</v>
      </c>
      <c r="G2114" s="7">
        <v>1</v>
      </c>
      <c r="H2114" s="7">
        <v>645</v>
      </c>
      <c r="I2114" s="8">
        <f t="shared" ref="I2114:I2177" si="66">D2114/H2114</f>
        <v>93.023255813953483</v>
      </c>
      <c r="J2114" s="3" t="str">
        <f t="shared" ref="J2114:J2177" si="67">IF(I2114 &gt; 300, "High", IF(AND(I2114 &lt;= 300, I2114 &gt; 200), "Medium", "Low"))</f>
        <v>Low</v>
      </c>
    </row>
    <row r="2115" spans="1:10">
      <c r="A2115" s="4" t="s">
        <v>2186</v>
      </c>
      <c r="B2115" s="16" t="s">
        <v>2166</v>
      </c>
      <c r="C2115" s="17" t="s">
        <v>2164</v>
      </c>
      <c r="D2115" s="21">
        <v>60500</v>
      </c>
      <c r="E2115" s="4">
        <v>17</v>
      </c>
      <c r="F2115" s="4">
        <v>3</v>
      </c>
      <c r="G2115" s="4">
        <v>1</v>
      </c>
      <c r="H2115" s="4">
        <v>924</v>
      </c>
      <c r="I2115" s="5">
        <f t="shared" si="66"/>
        <v>65.476190476190482</v>
      </c>
      <c r="J2115" s="3" t="str">
        <f t="shared" si="67"/>
        <v>Low</v>
      </c>
    </row>
    <row r="2116" spans="1:10">
      <c r="A2116" s="7" t="s">
        <v>2187</v>
      </c>
      <c r="B2116" s="18" t="s">
        <v>2168</v>
      </c>
      <c r="C2116" s="19" t="s">
        <v>2164</v>
      </c>
      <c r="D2116" s="22">
        <v>61000</v>
      </c>
      <c r="E2116" s="7">
        <v>16</v>
      </c>
      <c r="F2116" s="7">
        <v>2</v>
      </c>
      <c r="G2116" s="7">
        <v>1</v>
      </c>
      <c r="H2116" s="7">
        <v>916</v>
      </c>
      <c r="I2116" s="8">
        <f t="shared" si="66"/>
        <v>66.593886462882097</v>
      </c>
      <c r="J2116" s="3" t="str">
        <f t="shared" si="67"/>
        <v>Low</v>
      </c>
    </row>
    <row r="2117" spans="1:10">
      <c r="A2117" s="4" t="s">
        <v>2188</v>
      </c>
      <c r="B2117" s="16" t="s">
        <v>2163</v>
      </c>
      <c r="C2117" s="17" t="s">
        <v>2164</v>
      </c>
      <c r="D2117" s="21">
        <v>61000</v>
      </c>
      <c r="E2117" s="4">
        <v>72</v>
      </c>
      <c r="F2117" s="4">
        <v>3</v>
      </c>
      <c r="G2117" s="4">
        <v>2</v>
      </c>
      <c r="H2117" s="10">
        <v>1057</v>
      </c>
      <c r="I2117" s="5">
        <f t="shared" si="66"/>
        <v>57.710501419110692</v>
      </c>
      <c r="J2117" s="3" t="str">
        <f t="shared" si="67"/>
        <v>Low</v>
      </c>
    </row>
    <row r="2118" spans="1:10">
      <c r="A2118" s="7" t="s">
        <v>2189</v>
      </c>
      <c r="B2118" s="18" t="s">
        <v>2168</v>
      </c>
      <c r="C2118" s="19" t="s">
        <v>2164</v>
      </c>
      <c r="D2118" s="22">
        <v>62000</v>
      </c>
      <c r="E2118" s="7">
        <v>34</v>
      </c>
      <c r="F2118" s="7">
        <v>2</v>
      </c>
      <c r="G2118" s="7">
        <v>1</v>
      </c>
      <c r="H2118" s="7">
        <v>696</v>
      </c>
      <c r="I2118" s="8">
        <f t="shared" si="66"/>
        <v>89.080459770114942</v>
      </c>
      <c r="J2118" s="3" t="str">
        <f t="shared" si="67"/>
        <v>Low</v>
      </c>
    </row>
    <row r="2119" spans="1:10">
      <c r="A2119" s="4" t="s">
        <v>2190</v>
      </c>
      <c r="B2119" s="16" t="s">
        <v>2173</v>
      </c>
      <c r="C2119" s="17" t="s">
        <v>2164</v>
      </c>
      <c r="D2119" s="21">
        <v>63000</v>
      </c>
      <c r="E2119" s="4">
        <v>64</v>
      </c>
      <c r="F2119" s="4">
        <v>2</v>
      </c>
      <c r="G2119" s="4">
        <v>1</v>
      </c>
      <c r="H2119" s="4">
        <v>852</v>
      </c>
      <c r="I2119" s="5">
        <f t="shared" si="66"/>
        <v>73.943661971830991</v>
      </c>
      <c r="J2119" s="3" t="str">
        <f t="shared" si="67"/>
        <v>Low</v>
      </c>
    </row>
    <row r="2120" spans="1:10">
      <c r="A2120" s="7" t="s">
        <v>2191</v>
      </c>
      <c r="B2120" s="18" t="s">
        <v>2166</v>
      </c>
      <c r="C2120" s="19" t="s">
        <v>2164</v>
      </c>
      <c r="D2120" s="22">
        <v>64000</v>
      </c>
      <c r="E2120" s="7">
        <v>64</v>
      </c>
      <c r="F2120" s="7">
        <v>2</v>
      </c>
      <c r="G2120" s="7">
        <v>1</v>
      </c>
      <c r="H2120" s="7">
        <v>980</v>
      </c>
      <c r="I2120" s="8">
        <f t="shared" si="66"/>
        <v>65.306122448979593</v>
      </c>
      <c r="J2120" s="3" t="str">
        <f t="shared" si="67"/>
        <v>Low</v>
      </c>
    </row>
    <row r="2121" spans="1:10">
      <c r="A2121" s="4" t="s">
        <v>2192</v>
      </c>
      <c r="B2121" s="16" t="s">
        <v>2193</v>
      </c>
      <c r="C2121" s="17" t="s">
        <v>2164</v>
      </c>
      <c r="D2121" s="21">
        <v>65000</v>
      </c>
      <c r="E2121" s="4">
        <v>23</v>
      </c>
      <c r="F2121" s="4">
        <v>2</v>
      </c>
      <c r="G2121" s="4">
        <v>1</v>
      </c>
      <c r="H2121" s="4">
        <v>696</v>
      </c>
      <c r="I2121" s="5">
        <f t="shared" si="66"/>
        <v>93.390804597701148</v>
      </c>
      <c r="J2121" s="3" t="str">
        <f t="shared" si="67"/>
        <v>Low</v>
      </c>
    </row>
    <row r="2122" spans="1:10">
      <c r="A2122" s="7" t="s">
        <v>2194</v>
      </c>
      <c r="B2122" s="18" t="s">
        <v>2168</v>
      </c>
      <c r="C2122" s="19" t="s">
        <v>2164</v>
      </c>
      <c r="D2122" s="22">
        <v>65000</v>
      </c>
      <c r="E2122" s="7">
        <v>4</v>
      </c>
      <c r="F2122" s="7">
        <v>2</v>
      </c>
      <c r="G2122" s="7">
        <v>1</v>
      </c>
      <c r="H2122" s="7">
        <v>856</v>
      </c>
      <c r="I2122" s="8">
        <f t="shared" si="66"/>
        <v>75.934579439252332</v>
      </c>
      <c r="J2122" s="3" t="str">
        <f t="shared" si="67"/>
        <v>Low</v>
      </c>
    </row>
    <row r="2123" spans="1:10">
      <c r="A2123" s="4" t="s">
        <v>2195</v>
      </c>
      <c r="B2123" s="16" t="s">
        <v>2166</v>
      </c>
      <c r="C2123" s="17" t="s">
        <v>2164</v>
      </c>
      <c r="D2123" s="21">
        <v>65000</v>
      </c>
      <c r="E2123" s="4">
        <v>42</v>
      </c>
      <c r="F2123" s="4">
        <v>2</v>
      </c>
      <c r="G2123" s="4">
        <v>1</v>
      </c>
      <c r="H2123" s="10">
        <v>1078</v>
      </c>
      <c r="I2123" s="5">
        <f t="shared" si="66"/>
        <v>60.296846011131727</v>
      </c>
      <c r="J2123" s="3" t="str">
        <f t="shared" si="67"/>
        <v>Low</v>
      </c>
    </row>
    <row r="2124" spans="1:10">
      <c r="A2124" s="7" t="s">
        <v>2196</v>
      </c>
      <c r="B2124" s="18" t="s">
        <v>2168</v>
      </c>
      <c r="C2124" s="19" t="s">
        <v>2164</v>
      </c>
      <c r="D2124" s="22">
        <v>65000</v>
      </c>
      <c r="E2124" s="7">
        <v>50</v>
      </c>
      <c r="F2124" s="7">
        <v>2</v>
      </c>
      <c r="G2124" s="7">
        <v>1</v>
      </c>
      <c r="H2124" s="7">
        <v>696</v>
      </c>
      <c r="I2124" s="8">
        <f t="shared" si="66"/>
        <v>93.390804597701148</v>
      </c>
      <c r="J2124" s="3" t="str">
        <f t="shared" si="67"/>
        <v>Low</v>
      </c>
    </row>
    <row r="2125" spans="1:10">
      <c r="A2125" s="4" t="s">
        <v>2197</v>
      </c>
      <c r="B2125" s="16" t="s">
        <v>2168</v>
      </c>
      <c r="C2125" s="17" t="s">
        <v>2164</v>
      </c>
      <c r="D2125" s="21">
        <v>67750</v>
      </c>
      <c r="E2125" s="4">
        <v>14</v>
      </c>
      <c r="F2125" s="4">
        <v>3</v>
      </c>
      <c r="G2125" s="4">
        <v>1</v>
      </c>
      <c r="H2125" s="10">
        <v>1058</v>
      </c>
      <c r="I2125" s="5">
        <f t="shared" si="66"/>
        <v>64.03591682419659</v>
      </c>
      <c r="J2125" s="3" t="str">
        <f t="shared" si="67"/>
        <v>Low</v>
      </c>
    </row>
    <row r="2126" spans="1:10">
      <c r="A2126" s="7" t="s">
        <v>2198</v>
      </c>
      <c r="B2126" s="18" t="s">
        <v>2168</v>
      </c>
      <c r="C2126" s="19" t="s">
        <v>2164</v>
      </c>
      <c r="D2126" s="22">
        <v>68000</v>
      </c>
      <c r="E2126" s="7">
        <v>6</v>
      </c>
      <c r="F2126" s="7">
        <v>2</v>
      </c>
      <c r="G2126" s="7">
        <v>1</v>
      </c>
      <c r="H2126" s="12">
        <v>1040</v>
      </c>
      <c r="I2126" s="8">
        <f t="shared" si="66"/>
        <v>65.384615384615387</v>
      </c>
      <c r="J2126" s="3" t="str">
        <f t="shared" si="67"/>
        <v>Low</v>
      </c>
    </row>
    <row r="2127" spans="1:10">
      <c r="A2127" s="4" t="s">
        <v>2199</v>
      </c>
      <c r="B2127" s="16" t="s">
        <v>2168</v>
      </c>
      <c r="C2127" s="17" t="s">
        <v>2164</v>
      </c>
      <c r="D2127" s="21">
        <v>68168</v>
      </c>
      <c r="E2127" s="4">
        <v>10</v>
      </c>
      <c r="F2127" s="4">
        <v>3</v>
      </c>
      <c r="G2127" s="4">
        <v>1</v>
      </c>
      <c r="H2127" s="10">
        <v>1596</v>
      </c>
      <c r="I2127" s="5">
        <f t="shared" si="66"/>
        <v>42.711779448621556</v>
      </c>
      <c r="J2127" s="3" t="str">
        <f t="shared" si="67"/>
        <v>Low</v>
      </c>
    </row>
    <row r="2128" spans="1:10">
      <c r="A2128" s="7" t="s">
        <v>2200</v>
      </c>
      <c r="B2128" s="18" t="s">
        <v>2168</v>
      </c>
      <c r="C2128" s="19" t="s">
        <v>2164</v>
      </c>
      <c r="D2128" s="22">
        <v>69000</v>
      </c>
      <c r="E2128" s="7">
        <v>12</v>
      </c>
      <c r="F2128" s="7">
        <v>3</v>
      </c>
      <c r="G2128" s="7">
        <v>1</v>
      </c>
      <c r="H2128" s="7">
        <v>910</v>
      </c>
      <c r="I2128" s="8">
        <f t="shared" si="66"/>
        <v>75.824175824175825</v>
      </c>
      <c r="J2128" s="3" t="str">
        <f t="shared" si="67"/>
        <v>Low</v>
      </c>
    </row>
    <row r="2129" spans="1:10">
      <c r="A2129" s="4" t="s">
        <v>2201</v>
      </c>
      <c r="B2129" s="16" t="s">
        <v>2168</v>
      </c>
      <c r="C2129" s="17" t="s">
        <v>2164</v>
      </c>
      <c r="D2129" s="21">
        <v>69500</v>
      </c>
      <c r="E2129" s="4">
        <v>43</v>
      </c>
      <c r="F2129" s="4">
        <v>2</v>
      </c>
      <c r="G2129" s="4">
        <v>1</v>
      </c>
      <c r="H2129" s="10">
        <v>1012</v>
      </c>
      <c r="I2129" s="5">
        <f t="shared" si="66"/>
        <v>68.675889328063235</v>
      </c>
      <c r="J2129" s="3" t="str">
        <f t="shared" si="67"/>
        <v>Low</v>
      </c>
    </row>
    <row r="2130" spans="1:10">
      <c r="A2130" s="7" t="s">
        <v>2202</v>
      </c>
      <c r="B2130" s="18" t="s">
        <v>2173</v>
      </c>
      <c r="C2130" s="19" t="s">
        <v>2164</v>
      </c>
      <c r="D2130" s="22">
        <v>70000</v>
      </c>
      <c r="E2130" s="7">
        <v>3</v>
      </c>
      <c r="F2130" s="7">
        <v>2</v>
      </c>
      <c r="G2130" s="7">
        <v>1</v>
      </c>
      <c r="H2130" s="7">
        <v>866</v>
      </c>
      <c r="I2130" s="8">
        <f t="shared" si="66"/>
        <v>80.831408775981529</v>
      </c>
      <c r="J2130" s="3" t="str">
        <f t="shared" si="67"/>
        <v>Low</v>
      </c>
    </row>
    <row r="2131" spans="1:10">
      <c r="A2131" s="4" t="s">
        <v>2203</v>
      </c>
      <c r="B2131" s="16" t="s">
        <v>2168</v>
      </c>
      <c r="C2131" s="17" t="s">
        <v>2164</v>
      </c>
      <c r="D2131" s="21">
        <v>70000</v>
      </c>
      <c r="E2131" s="4">
        <v>80</v>
      </c>
      <c r="F2131" s="4">
        <v>3</v>
      </c>
      <c r="G2131" s="4">
        <v>1</v>
      </c>
      <c r="H2131" s="4">
        <v>975</v>
      </c>
      <c r="I2131" s="5">
        <f t="shared" si="66"/>
        <v>71.794871794871796</v>
      </c>
      <c r="J2131" s="3" t="str">
        <f t="shared" si="67"/>
        <v>Low</v>
      </c>
    </row>
    <row r="2132" spans="1:10">
      <c r="A2132" s="7" t="s">
        <v>2204</v>
      </c>
      <c r="B2132" s="18" t="s">
        <v>2168</v>
      </c>
      <c r="C2132" s="19" t="s">
        <v>2164</v>
      </c>
      <c r="D2132" s="22">
        <v>70000</v>
      </c>
      <c r="E2132" s="7">
        <v>136</v>
      </c>
      <c r="F2132" s="7">
        <v>2</v>
      </c>
      <c r="G2132" s="7">
        <v>1</v>
      </c>
      <c r="H2132" s="7">
        <v>704</v>
      </c>
      <c r="I2132" s="8">
        <f t="shared" si="66"/>
        <v>99.431818181818187</v>
      </c>
      <c r="J2132" s="3" t="str">
        <f t="shared" si="67"/>
        <v>Low</v>
      </c>
    </row>
    <row r="2133" spans="1:10">
      <c r="A2133" s="4" t="s">
        <v>2205</v>
      </c>
      <c r="B2133" s="16" t="s">
        <v>2173</v>
      </c>
      <c r="C2133" s="17" t="s">
        <v>2164</v>
      </c>
      <c r="D2133" s="21">
        <v>70000</v>
      </c>
      <c r="E2133" s="4">
        <v>180</v>
      </c>
      <c r="F2133" s="4">
        <v>2</v>
      </c>
      <c r="G2133" s="4">
        <v>1</v>
      </c>
      <c r="H2133" s="4">
        <v>776</v>
      </c>
      <c r="I2133" s="5">
        <f t="shared" si="66"/>
        <v>90.206185567010309</v>
      </c>
      <c r="J2133" s="3" t="str">
        <f t="shared" si="67"/>
        <v>Low</v>
      </c>
    </row>
    <row r="2134" spans="1:10">
      <c r="A2134" s="7" t="s">
        <v>2206</v>
      </c>
      <c r="B2134" s="18" t="s">
        <v>2168</v>
      </c>
      <c r="C2134" s="19" t="s">
        <v>2164</v>
      </c>
      <c r="D2134" s="22">
        <v>73750</v>
      </c>
      <c r="E2134" s="7">
        <v>192</v>
      </c>
      <c r="F2134" s="7">
        <v>3</v>
      </c>
      <c r="G2134" s="7">
        <v>1</v>
      </c>
      <c r="H2134" s="7">
        <v>891</v>
      </c>
      <c r="I2134" s="8">
        <f t="shared" si="66"/>
        <v>82.772166105499437</v>
      </c>
      <c r="J2134" s="3" t="str">
        <f t="shared" si="67"/>
        <v>Low</v>
      </c>
    </row>
    <row r="2135" spans="1:10">
      <c r="A2135" s="4" t="s">
        <v>2207</v>
      </c>
      <c r="B2135" s="16" t="s">
        <v>2173</v>
      </c>
      <c r="C2135" s="17" t="s">
        <v>2164</v>
      </c>
      <c r="D2135" s="21">
        <v>74000</v>
      </c>
      <c r="E2135" s="4">
        <v>52</v>
      </c>
      <c r="F2135" s="4">
        <v>2</v>
      </c>
      <c r="G2135" s="4">
        <v>1</v>
      </c>
      <c r="H2135" s="4">
        <v>792</v>
      </c>
      <c r="I2135" s="5">
        <f t="shared" si="66"/>
        <v>93.434343434343432</v>
      </c>
      <c r="J2135" s="3" t="str">
        <f t="shared" si="67"/>
        <v>Low</v>
      </c>
    </row>
    <row r="2136" spans="1:10">
      <c r="A2136" s="7" t="s">
        <v>2208</v>
      </c>
      <c r="B2136" s="18" t="s">
        <v>2168</v>
      </c>
      <c r="C2136" s="19" t="s">
        <v>2164</v>
      </c>
      <c r="D2136" s="22">
        <v>74900</v>
      </c>
      <c r="E2136" s="7">
        <v>26</v>
      </c>
      <c r="F2136" s="7">
        <v>3</v>
      </c>
      <c r="G2136" s="7">
        <v>2</v>
      </c>
      <c r="H2136" s="12">
        <v>1429</v>
      </c>
      <c r="I2136" s="8">
        <f t="shared" si="66"/>
        <v>52.414275717284816</v>
      </c>
      <c r="J2136" s="3" t="str">
        <f t="shared" si="67"/>
        <v>Low</v>
      </c>
    </row>
    <row r="2137" spans="1:10">
      <c r="A2137" s="4" t="s">
        <v>2209</v>
      </c>
      <c r="B2137" s="16" t="s">
        <v>2210</v>
      </c>
      <c r="C2137" s="17" t="s">
        <v>2164</v>
      </c>
      <c r="D2137" s="21">
        <v>75000</v>
      </c>
      <c r="E2137" s="4">
        <v>46</v>
      </c>
      <c r="F2137" s="4">
        <v>3</v>
      </c>
      <c r="G2137" s="4">
        <v>1.1000000000000001</v>
      </c>
      <c r="H2137" s="10">
        <v>1124</v>
      </c>
      <c r="I2137" s="5">
        <f t="shared" si="66"/>
        <v>66.72597864768683</v>
      </c>
      <c r="J2137" s="3" t="str">
        <f t="shared" si="67"/>
        <v>Low</v>
      </c>
    </row>
    <row r="2138" spans="1:10">
      <c r="A2138" s="7" t="s">
        <v>2211</v>
      </c>
      <c r="B2138" s="18" t="s">
        <v>2168</v>
      </c>
      <c r="C2138" s="19" t="s">
        <v>2164</v>
      </c>
      <c r="D2138" s="22">
        <v>75000</v>
      </c>
      <c r="E2138" s="7">
        <v>179</v>
      </c>
      <c r="F2138" s="7">
        <v>3</v>
      </c>
      <c r="G2138" s="7">
        <v>1</v>
      </c>
      <c r="H2138" s="12">
        <v>1080</v>
      </c>
      <c r="I2138" s="8">
        <f t="shared" si="66"/>
        <v>69.444444444444443</v>
      </c>
      <c r="J2138" s="3" t="str">
        <f t="shared" si="67"/>
        <v>Low</v>
      </c>
    </row>
    <row r="2139" spans="1:10">
      <c r="A2139" s="4" t="s">
        <v>2212</v>
      </c>
      <c r="B2139" s="16" t="s">
        <v>2173</v>
      </c>
      <c r="C2139" s="17" t="s">
        <v>2164</v>
      </c>
      <c r="D2139" s="21">
        <v>75200</v>
      </c>
      <c r="E2139" s="4">
        <v>5</v>
      </c>
      <c r="F2139" s="4">
        <v>2</v>
      </c>
      <c r="G2139" s="4">
        <v>1</v>
      </c>
      <c r="H2139" s="4">
        <v>781</v>
      </c>
      <c r="I2139" s="5">
        <f t="shared" si="66"/>
        <v>96.286811779769522</v>
      </c>
      <c r="J2139" s="3" t="str">
        <f t="shared" si="67"/>
        <v>Low</v>
      </c>
    </row>
    <row r="2140" spans="1:10">
      <c r="A2140" s="7" t="s">
        <v>2213</v>
      </c>
      <c r="B2140" s="18" t="s">
        <v>2168</v>
      </c>
      <c r="C2140" s="19" t="s">
        <v>2164</v>
      </c>
      <c r="D2140" s="22">
        <v>77600</v>
      </c>
      <c r="E2140" s="7">
        <v>6</v>
      </c>
      <c r="F2140" s="7">
        <v>3</v>
      </c>
      <c r="G2140" s="7">
        <v>1.1000000000000001</v>
      </c>
      <c r="H2140" s="7">
        <v>907</v>
      </c>
      <c r="I2140" s="8">
        <f t="shared" si="66"/>
        <v>85.556780595369347</v>
      </c>
      <c r="J2140" s="3" t="str">
        <f t="shared" si="67"/>
        <v>Low</v>
      </c>
    </row>
    <row r="2141" spans="1:10">
      <c r="A2141" s="4" t="s">
        <v>2214</v>
      </c>
      <c r="B2141" s="16" t="s">
        <v>2168</v>
      </c>
      <c r="C2141" s="17" t="s">
        <v>2164</v>
      </c>
      <c r="D2141" s="21">
        <v>78000</v>
      </c>
      <c r="E2141" s="4">
        <v>93</v>
      </c>
      <c r="F2141" s="4">
        <v>2</v>
      </c>
      <c r="G2141" s="4">
        <v>1</v>
      </c>
      <c r="H2141" s="4">
        <v>770</v>
      </c>
      <c r="I2141" s="5">
        <f t="shared" si="66"/>
        <v>101.2987012987013</v>
      </c>
      <c r="J2141" s="3" t="str">
        <f t="shared" si="67"/>
        <v>Low</v>
      </c>
    </row>
    <row r="2142" spans="1:10">
      <c r="A2142" s="7" t="s">
        <v>2215</v>
      </c>
      <c r="B2142" s="18" t="s">
        <v>2166</v>
      </c>
      <c r="C2142" s="19" t="s">
        <v>2164</v>
      </c>
      <c r="D2142" s="22">
        <v>80000</v>
      </c>
      <c r="E2142" s="7">
        <v>5</v>
      </c>
      <c r="F2142" s="7">
        <v>3</v>
      </c>
      <c r="G2142" s="7">
        <v>1</v>
      </c>
      <c r="H2142" s="7">
        <v>960</v>
      </c>
      <c r="I2142" s="8">
        <f t="shared" si="66"/>
        <v>83.333333333333329</v>
      </c>
      <c r="J2142" s="3" t="str">
        <f t="shared" si="67"/>
        <v>Low</v>
      </c>
    </row>
    <row r="2143" spans="1:10">
      <c r="A2143" s="4" t="s">
        <v>2216</v>
      </c>
      <c r="B2143" s="16" t="s">
        <v>2173</v>
      </c>
      <c r="C2143" s="17" t="s">
        <v>2164</v>
      </c>
      <c r="D2143" s="21">
        <v>80000</v>
      </c>
      <c r="E2143" s="4">
        <v>58</v>
      </c>
      <c r="F2143" s="4">
        <v>2</v>
      </c>
      <c r="G2143" s="4">
        <v>1</v>
      </c>
      <c r="H2143" s="4">
        <v>727</v>
      </c>
      <c r="I2143" s="5">
        <f t="shared" si="66"/>
        <v>110.04126547455296</v>
      </c>
      <c r="J2143" s="3" t="str">
        <f t="shared" si="67"/>
        <v>Low</v>
      </c>
    </row>
    <row r="2144" spans="1:10">
      <c r="A2144" s="7" t="s">
        <v>2217</v>
      </c>
      <c r="B2144" s="18" t="s">
        <v>2166</v>
      </c>
      <c r="C2144" s="19" t="s">
        <v>2164</v>
      </c>
      <c r="D2144" s="22">
        <v>82500</v>
      </c>
      <c r="E2144" s="7">
        <v>2</v>
      </c>
      <c r="F2144" s="7">
        <v>3</v>
      </c>
      <c r="G2144" s="7">
        <v>1</v>
      </c>
      <c r="H2144" s="12">
        <v>1092</v>
      </c>
      <c r="I2144" s="8">
        <f t="shared" si="66"/>
        <v>75.549450549450555</v>
      </c>
      <c r="J2144" s="3" t="str">
        <f t="shared" si="67"/>
        <v>Low</v>
      </c>
    </row>
    <row r="2145" spans="1:10">
      <c r="A2145" s="4" t="s">
        <v>2218</v>
      </c>
      <c r="B2145" s="16" t="s">
        <v>2168</v>
      </c>
      <c r="C2145" s="17" t="s">
        <v>2164</v>
      </c>
      <c r="D2145" s="21">
        <v>82500</v>
      </c>
      <c r="E2145" s="4">
        <v>2</v>
      </c>
      <c r="F2145" s="4">
        <v>3</v>
      </c>
      <c r="G2145" s="4">
        <v>1</v>
      </c>
      <c r="H2145" s="4">
        <v>750</v>
      </c>
      <c r="I2145" s="5">
        <f t="shared" si="66"/>
        <v>110</v>
      </c>
      <c r="J2145" s="3" t="str">
        <f t="shared" si="67"/>
        <v>Low</v>
      </c>
    </row>
    <row r="2146" spans="1:10">
      <c r="A2146" s="7" t="s">
        <v>2219</v>
      </c>
      <c r="B2146" s="18" t="s">
        <v>2168</v>
      </c>
      <c r="C2146" s="19" t="s">
        <v>2164</v>
      </c>
      <c r="D2146" s="22">
        <v>83750</v>
      </c>
      <c r="E2146" s="7">
        <v>100</v>
      </c>
      <c r="F2146" s="7">
        <v>2</v>
      </c>
      <c r="G2146" s="7">
        <v>1</v>
      </c>
      <c r="H2146" s="7">
        <v>984</v>
      </c>
      <c r="I2146" s="8">
        <f t="shared" si="66"/>
        <v>85.111788617886177</v>
      </c>
      <c r="J2146" s="3" t="str">
        <f t="shared" si="67"/>
        <v>Low</v>
      </c>
    </row>
    <row r="2147" spans="1:10">
      <c r="A2147" s="4" t="s">
        <v>2220</v>
      </c>
      <c r="B2147" s="16" t="s">
        <v>2166</v>
      </c>
      <c r="C2147" s="17" t="s">
        <v>2164</v>
      </c>
      <c r="D2147" s="21">
        <v>84000</v>
      </c>
      <c r="E2147" s="4">
        <v>7</v>
      </c>
      <c r="F2147" s="4">
        <v>3</v>
      </c>
      <c r="G2147" s="4">
        <v>1</v>
      </c>
      <c r="H2147" s="4">
        <v>924</v>
      </c>
      <c r="I2147" s="5">
        <f t="shared" si="66"/>
        <v>90.909090909090907</v>
      </c>
      <c r="J2147" s="3" t="str">
        <f t="shared" si="67"/>
        <v>Low</v>
      </c>
    </row>
    <row r="2148" spans="1:10">
      <c r="A2148" s="7" t="s">
        <v>2221</v>
      </c>
      <c r="B2148" s="18" t="s">
        <v>2168</v>
      </c>
      <c r="C2148" s="19" t="s">
        <v>2164</v>
      </c>
      <c r="D2148" s="22">
        <v>85000</v>
      </c>
      <c r="E2148" s="7">
        <v>10</v>
      </c>
      <c r="F2148" s="7">
        <v>2</v>
      </c>
      <c r="G2148" s="7">
        <v>1</v>
      </c>
      <c r="H2148" s="7">
        <v>696</v>
      </c>
      <c r="I2148" s="8">
        <f t="shared" si="66"/>
        <v>122.1264367816092</v>
      </c>
      <c r="J2148" s="3" t="str">
        <f t="shared" si="67"/>
        <v>Low</v>
      </c>
    </row>
    <row r="2149" spans="1:10">
      <c r="A2149" s="4" t="s">
        <v>2222</v>
      </c>
      <c r="B2149" s="16" t="s">
        <v>2168</v>
      </c>
      <c r="C2149" s="17" t="s">
        <v>2164</v>
      </c>
      <c r="D2149" s="21">
        <v>85000</v>
      </c>
      <c r="E2149" s="4">
        <v>6</v>
      </c>
      <c r="F2149" s="4">
        <v>2</v>
      </c>
      <c r="G2149" s="4">
        <v>1</v>
      </c>
      <c r="H2149" s="4">
        <v>700</v>
      </c>
      <c r="I2149" s="5">
        <f t="shared" si="66"/>
        <v>121.42857142857143</v>
      </c>
      <c r="J2149" s="3" t="str">
        <f t="shared" si="67"/>
        <v>Low</v>
      </c>
    </row>
    <row r="2150" spans="1:10">
      <c r="A2150" s="7" t="s">
        <v>2223</v>
      </c>
      <c r="B2150" s="18" t="s">
        <v>2168</v>
      </c>
      <c r="C2150" s="19" t="s">
        <v>2164</v>
      </c>
      <c r="D2150" s="22">
        <v>85000</v>
      </c>
      <c r="E2150" s="7">
        <v>2</v>
      </c>
      <c r="F2150" s="7">
        <v>2</v>
      </c>
      <c r="G2150" s="7">
        <v>1</v>
      </c>
      <c r="H2150" s="7">
        <v>700</v>
      </c>
      <c r="I2150" s="8">
        <f t="shared" si="66"/>
        <v>121.42857142857143</v>
      </c>
      <c r="J2150" s="3" t="str">
        <f t="shared" si="67"/>
        <v>Low</v>
      </c>
    </row>
    <row r="2151" spans="1:10">
      <c r="A2151" s="4" t="s">
        <v>2224</v>
      </c>
      <c r="B2151" s="16" t="s">
        <v>2173</v>
      </c>
      <c r="C2151" s="17" t="s">
        <v>2164</v>
      </c>
      <c r="D2151" s="21">
        <v>85000</v>
      </c>
      <c r="E2151" s="4">
        <v>46</v>
      </c>
      <c r="F2151" s="4">
        <v>3</v>
      </c>
      <c r="G2151" s="4">
        <v>1</v>
      </c>
      <c r="H2151" s="10">
        <v>1265</v>
      </c>
      <c r="I2151" s="5">
        <f t="shared" si="66"/>
        <v>67.193675889328063</v>
      </c>
      <c r="J2151" s="3" t="str">
        <f t="shared" si="67"/>
        <v>Low</v>
      </c>
    </row>
    <row r="2152" spans="1:10">
      <c r="A2152" s="7" t="s">
        <v>2225</v>
      </c>
      <c r="B2152" s="18" t="s">
        <v>2168</v>
      </c>
      <c r="C2152" s="19" t="s">
        <v>2164</v>
      </c>
      <c r="D2152" s="22">
        <v>85000</v>
      </c>
      <c r="E2152" s="7">
        <v>9</v>
      </c>
      <c r="F2152" s="7">
        <v>3</v>
      </c>
      <c r="G2152" s="7">
        <v>1</v>
      </c>
      <c r="H2152" s="7">
        <v>935</v>
      </c>
      <c r="I2152" s="8">
        <f t="shared" si="66"/>
        <v>90.909090909090907</v>
      </c>
      <c r="J2152" s="3" t="str">
        <f t="shared" si="67"/>
        <v>Low</v>
      </c>
    </row>
    <row r="2153" spans="1:10">
      <c r="A2153" s="4" t="s">
        <v>2226</v>
      </c>
      <c r="B2153" s="16" t="s">
        <v>2227</v>
      </c>
      <c r="C2153" s="17" t="s">
        <v>2164</v>
      </c>
      <c r="D2153" s="21">
        <v>85000</v>
      </c>
      <c r="E2153" s="4">
        <v>41</v>
      </c>
      <c r="F2153" s="4">
        <v>4</v>
      </c>
      <c r="G2153" s="4">
        <v>1</v>
      </c>
      <c r="H2153" s="10">
        <v>1100</v>
      </c>
      <c r="I2153" s="5">
        <f t="shared" si="66"/>
        <v>77.272727272727266</v>
      </c>
      <c r="J2153" s="3" t="str">
        <f t="shared" si="67"/>
        <v>Low</v>
      </c>
    </row>
    <row r="2154" spans="1:10">
      <c r="A2154" s="7" t="s">
        <v>2228</v>
      </c>
      <c r="B2154" s="18" t="s">
        <v>2168</v>
      </c>
      <c r="C2154" s="19" t="s">
        <v>2164</v>
      </c>
      <c r="D2154" s="22">
        <v>86000</v>
      </c>
      <c r="E2154" s="7">
        <v>38</v>
      </c>
      <c r="F2154" s="7">
        <v>3</v>
      </c>
      <c r="G2154" s="7">
        <v>1</v>
      </c>
      <c r="H2154" s="12">
        <v>1050</v>
      </c>
      <c r="I2154" s="8">
        <f t="shared" si="66"/>
        <v>81.904761904761898</v>
      </c>
      <c r="J2154" s="3" t="str">
        <f t="shared" si="67"/>
        <v>Low</v>
      </c>
    </row>
    <row r="2155" spans="1:10">
      <c r="A2155" s="4" t="s">
        <v>2229</v>
      </c>
      <c r="B2155" s="16" t="s">
        <v>2168</v>
      </c>
      <c r="C2155" s="17" t="s">
        <v>2164</v>
      </c>
      <c r="D2155" s="21">
        <v>86000</v>
      </c>
      <c r="E2155" s="4">
        <v>21</v>
      </c>
      <c r="F2155" s="4">
        <v>2</v>
      </c>
      <c r="G2155" s="4">
        <v>1</v>
      </c>
      <c r="H2155" s="4">
        <v>806</v>
      </c>
      <c r="I2155" s="5">
        <f t="shared" si="66"/>
        <v>106.69975186104219</v>
      </c>
      <c r="J2155" s="3" t="str">
        <f t="shared" si="67"/>
        <v>Low</v>
      </c>
    </row>
    <row r="2156" spans="1:10">
      <c r="A2156" s="7" t="s">
        <v>2230</v>
      </c>
      <c r="B2156" s="18" t="s">
        <v>2168</v>
      </c>
      <c r="C2156" s="19" t="s">
        <v>2164</v>
      </c>
      <c r="D2156" s="22">
        <v>86500</v>
      </c>
      <c r="E2156" s="7">
        <v>175</v>
      </c>
      <c r="F2156" s="7">
        <v>2</v>
      </c>
      <c r="G2156" s="7">
        <v>1</v>
      </c>
      <c r="H2156" s="7">
        <v>704</v>
      </c>
      <c r="I2156" s="8">
        <f t="shared" si="66"/>
        <v>122.86931818181819</v>
      </c>
      <c r="J2156" s="3" t="str">
        <f t="shared" si="67"/>
        <v>Low</v>
      </c>
    </row>
    <row r="2157" spans="1:10">
      <c r="A2157" s="4" t="s">
        <v>2231</v>
      </c>
      <c r="B2157" s="16" t="s">
        <v>2168</v>
      </c>
      <c r="C2157" s="17" t="s">
        <v>2164</v>
      </c>
      <c r="D2157" s="21">
        <v>87000</v>
      </c>
      <c r="E2157" s="4">
        <v>38</v>
      </c>
      <c r="F2157" s="4">
        <v>2</v>
      </c>
      <c r="G2157" s="4">
        <v>1</v>
      </c>
      <c r="H2157" s="4">
        <v>998</v>
      </c>
      <c r="I2157" s="5">
        <f t="shared" si="66"/>
        <v>87.174348697394791</v>
      </c>
      <c r="J2157" s="3" t="str">
        <f t="shared" si="67"/>
        <v>Low</v>
      </c>
    </row>
    <row r="2158" spans="1:10">
      <c r="A2158" s="7" t="s">
        <v>2232</v>
      </c>
      <c r="B2158" s="18" t="s">
        <v>2168</v>
      </c>
      <c r="C2158" s="19" t="s">
        <v>2164</v>
      </c>
      <c r="D2158" s="22">
        <v>87500</v>
      </c>
      <c r="E2158" s="7">
        <v>6</v>
      </c>
      <c r="F2158" s="7">
        <v>2</v>
      </c>
      <c r="G2158" s="7">
        <v>1</v>
      </c>
      <c r="H2158" s="7">
        <v>720</v>
      </c>
      <c r="I2158" s="8">
        <f t="shared" si="66"/>
        <v>121.52777777777777</v>
      </c>
      <c r="J2158" s="3" t="str">
        <f t="shared" si="67"/>
        <v>Low</v>
      </c>
    </row>
    <row r="2159" spans="1:10">
      <c r="A2159" s="4" t="s">
        <v>2233</v>
      </c>
      <c r="B2159" s="16" t="s">
        <v>2168</v>
      </c>
      <c r="C2159" s="17" t="s">
        <v>2164</v>
      </c>
      <c r="D2159" s="21">
        <v>88000</v>
      </c>
      <c r="E2159" s="4">
        <v>96</v>
      </c>
      <c r="F2159" s="4">
        <v>2</v>
      </c>
      <c r="G2159" s="4">
        <v>1</v>
      </c>
      <c r="H2159" s="4">
        <v>810</v>
      </c>
      <c r="I2159" s="5">
        <f t="shared" si="66"/>
        <v>108.64197530864197</v>
      </c>
      <c r="J2159" s="3" t="str">
        <f t="shared" si="67"/>
        <v>Low</v>
      </c>
    </row>
    <row r="2160" spans="1:10">
      <c r="A2160" s="7" t="s">
        <v>2234</v>
      </c>
      <c r="B2160" s="18" t="s">
        <v>2168</v>
      </c>
      <c r="C2160" s="19" t="s">
        <v>2164</v>
      </c>
      <c r="D2160" s="22">
        <v>88616</v>
      </c>
      <c r="E2160" s="7">
        <v>15</v>
      </c>
      <c r="F2160" s="7">
        <v>3</v>
      </c>
      <c r="G2160" s="7">
        <v>1.1000000000000001</v>
      </c>
      <c r="H2160" s="7">
        <v>981</v>
      </c>
      <c r="I2160" s="8">
        <f t="shared" si="66"/>
        <v>90.332313965341484</v>
      </c>
      <c r="J2160" s="3" t="str">
        <f t="shared" si="67"/>
        <v>Low</v>
      </c>
    </row>
    <row r="2161" spans="1:10">
      <c r="A2161" s="4" t="s">
        <v>2235</v>
      </c>
      <c r="B2161" s="16" t="s">
        <v>2166</v>
      </c>
      <c r="C2161" s="17" t="s">
        <v>2164</v>
      </c>
      <c r="D2161" s="21">
        <v>90000</v>
      </c>
      <c r="E2161" s="4">
        <v>6</v>
      </c>
      <c r="F2161" s="4">
        <v>2</v>
      </c>
      <c r="G2161" s="4">
        <v>1</v>
      </c>
      <c r="H2161" s="10">
        <v>1023</v>
      </c>
      <c r="I2161" s="5">
        <f t="shared" si="66"/>
        <v>87.976539589442808</v>
      </c>
      <c r="J2161" s="3" t="str">
        <f t="shared" si="67"/>
        <v>Low</v>
      </c>
    </row>
    <row r="2162" spans="1:10">
      <c r="A2162" s="7" t="s">
        <v>2236</v>
      </c>
      <c r="B2162" s="18" t="s">
        <v>2168</v>
      </c>
      <c r="C2162" s="19" t="s">
        <v>2164</v>
      </c>
      <c r="D2162" s="22">
        <v>90000</v>
      </c>
      <c r="E2162" s="7">
        <v>45</v>
      </c>
      <c r="F2162" s="7">
        <v>2</v>
      </c>
      <c r="G2162" s="7">
        <v>1</v>
      </c>
      <c r="H2162" s="7">
        <v>824</v>
      </c>
      <c r="I2162" s="8">
        <f t="shared" si="66"/>
        <v>109.22330097087378</v>
      </c>
      <c r="J2162" s="3" t="str">
        <f t="shared" si="67"/>
        <v>Low</v>
      </c>
    </row>
    <row r="2163" spans="1:10">
      <c r="A2163" s="4" t="s">
        <v>2237</v>
      </c>
      <c r="B2163" s="16" t="s">
        <v>2168</v>
      </c>
      <c r="C2163" s="17" t="s">
        <v>2164</v>
      </c>
      <c r="D2163" s="21">
        <v>90000</v>
      </c>
      <c r="E2163" s="4">
        <v>6</v>
      </c>
      <c r="F2163" s="4">
        <v>3</v>
      </c>
      <c r="G2163" s="4">
        <v>1</v>
      </c>
      <c r="H2163" s="4">
        <v>807</v>
      </c>
      <c r="I2163" s="5">
        <f t="shared" si="66"/>
        <v>111.52416356877323</v>
      </c>
      <c r="J2163" s="3" t="str">
        <f t="shared" si="67"/>
        <v>Low</v>
      </c>
    </row>
    <row r="2164" spans="1:10">
      <c r="A2164" s="7" t="s">
        <v>2238</v>
      </c>
      <c r="B2164" s="18" t="s">
        <v>2168</v>
      </c>
      <c r="C2164" s="19" t="s">
        <v>2164</v>
      </c>
      <c r="D2164" s="22">
        <v>91000</v>
      </c>
      <c r="E2164" s="7">
        <v>8</v>
      </c>
      <c r="F2164" s="7">
        <v>3</v>
      </c>
      <c r="G2164" s="7">
        <v>1</v>
      </c>
      <c r="H2164" s="7">
        <v>900</v>
      </c>
      <c r="I2164" s="8">
        <f t="shared" si="66"/>
        <v>101.11111111111111</v>
      </c>
      <c r="J2164" s="3" t="str">
        <f t="shared" si="67"/>
        <v>Low</v>
      </c>
    </row>
    <row r="2165" spans="1:10">
      <c r="A2165" s="4" t="s">
        <v>2239</v>
      </c>
      <c r="B2165" s="16" t="s">
        <v>2173</v>
      </c>
      <c r="C2165" s="17" t="s">
        <v>2164</v>
      </c>
      <c r="D2165" s="21">
        <v>91400</v>
      </c>
      <c r="E2165" s="4">
        <v>7</v>
      </c>
      <c r="F2165" s="4">
        <v>3</v>
      </c>
      <c r="G2165" s="4">
        <v>1</v>
      </c>
      <c r="H2165" s="10">
        <v>1036</v>
      </c>
      <c r="I2165" s="5">
        <f t="shared" si="66"/>
        <v>88.223938223938219</v>
      </c>
      <c r="J2165" s="3" t="str">
        <f t="shared" si="67"/>
        <v>Low</v>
      </c>
    </row>
    <row r="2166" spans="1:10">
      <c r="A2166" s="7" t="s">
        <v>2240</v>
      </c>
      <c r="B2166" s="18" t="s">
        <v>2168</v>
      </c>
      <c r="C2166" s="19" t="s">
        <v>2164</v>
      </c>
      <c r="D2166" s="22">
        <v>92000</v>
      </c>
      <c r="E2166" s="7">
        <v>4</v>
      </c>
      <c r="F2166" s="7">
        <v>4</v>
      </c>
      <c r="G2166" s="7">
        <v>1</v>
      </c>
      <c r="H2166" s="12">
        <v>1250</v>
      </c>
      <c r="I2166" s="8">
        <f t="shared" si="66"/>
        <v>73.599999999999994</v>
      </c>
      <c r="J2166" s="3" t="str">
        <f t="shared" si="67"/>
        <v>Low</v>
      </c>
    </row>
    <row r="2167" spans="1:10">
      <c r="A2167" s="4" t="s">
        <v>2241</v>
      </c>
      <c r="B2167" s="16" t="s">
        <v>2168</v>
      </c>
      <c r="C2167" s="17" t="s">
        <v>2164</v>
      </c>
      <c r="D2167" s="21">
        <v>92000</v>
      </c>
      <c r="E2167" s="4">
        <v>20</v>
      </c>
      <c r="F2167" s="4">
        <v>3</v>
      </c>
      <c r="G2167" s="4">
        <v>1</v>
      </c>
      <c r="H2167" s="4">
        <v>900</v>
      </c>
      <c r="I2167" s="5">
        <f t="shared" si="66"/>
        <v>102.22222222222223</v>
      </c>
      <c r="J2167" s="3" t="str">
        <f t="shared" si="67"/>
        <v>Low</v>
      </c>
    </row>
    <row r="2168" spans="1:10">
      <c r="A2168" s="7" t="s">
        <v>2242</v>
      </c>
      <c r="B2168" s="18" t="s">
        <v>2168</v>
      </c>
      <c r="C2168" s="19" t="s">
        <v>2164</v>
      </c>
      <c r="D2168" s="22">
        <v>93000</v>
      </c>
      <c r="E2168" s="7">
        <v>44</v>
      </c>
      <c r="F2168" s="7">
        <v>3</v>
      </c>
      <c r="G2168" s="7">
        <v>1</v>
      </c>
      <c r="H2168" s="7">
        <v>851</v>
      </c>
      <c r="I2168" s="8">
        <f t="shared" si="66"/>
        <v>109.28319623971798</v>
      </c>
      <c r="J2168" s="3" t="str">
        <f t="shared" si="67"/>
        <v>Low</v>
      </c>
    </row>
    <row r="2169" spans="1:10">
      <c r="A2169" s="4" t="s">
        <v>2243</v>
      </c>
      <c r="B2169" s="16" t="s">
        <v>2168</v>
      </c>
      <c r="C2169" s="17" t="s">
        <v>2164</v>
      </c>
      <c r="D2169" s="21">
        <v>93000</v>
      </c>
      <c r="E2169" s="4">
        <v>21</v>
      </c>
      <c r="F2169" s="4">
        <v>3</v>
      </c>
      <c r="G2169" s="4">
        <v>1</v>
      </c>
      <c r="H2169" s="10">
        <v>1200</v>
      </c>
      <c r="I2169" s="5">
        <f t="shared" si="66"/>
        <v>77.5</v>
      </c>
      <c r="J2169" s="3" t="str">
        <f t="shared" si="67"/>
        <v>Low</v>
      </c>
    </row>
    <row r="2170" spans="1:10">
      <c r="A2170" s="7" t="s">
        <v>2244</v>
      </c>
      <c r="B2170" s="18" t="s">
        <v>2168</v>
      </c>
      <c r="C2170" s="19" t="s">
        <v>2164</v>
      </c>
      <c r="D2170" s="22">
        <v>93500</v>
      </c>
      <c r="E2170" s="7">
        <v>10</v>
      </c>
      <c r="F2170" s="7">
        <v>3</v>
      </c>
      <c r="G2170" s="7">
        <v>1</v>
      </c>
      <c r="H2170" s="12">
        <v>1038</v>
      </c>
      <c r="I2170" s="8">
        <f t="shared" si="66"/>
        <v>90.077071290944119</v>
      </c>
      <c r="J2170" s="3" t="str">
        <f t="shared" si="67"/>
        <v>Low</v>
      </c>
    </row>
    <row r="2171" spans="1:10">
      <c r="A2171" s="4" t="s">
        <v>2245</v>
      </c>
      <c r="B2171" s="16" t="s">
        <v>2173</v>
      </c>
      <c r="C2171" s="17" t="s">
        <v>2164</v>
      </c>
      <c r="D2171" s="21">
        <v>93500</v>
      </c>
      <c r="E2171" s="4">
        <v>32</v>
      </c>
      <c r="F2171" s="4">
        <v>3</v>
      </c>
      <c r="G2171" s="4">
        <v>1</v>
      </c>
      <c r="H2171" s="10">
        <v>1202</v>
      </c>
      <c r="I2171" s="5">
        <f t="shared" si="66"/>
        <v>77.787021630615641</v>
      </c>
      <c r="J2171" s="3" t="str">
        <f t="shared" si="67"/>
        <v>Low</v>
      </c>
    </row>
    <row r="2172" spans="1:10">
      <c r="A2172" s="7" t="s">
        <v>2246</v>
      </c>
      <c r="B2172" s="18" t="s">
        <v>2168</v>
      </c>
      <c r="C2172" s="19" t="s">
        <v>2164</v>
      </c>
      <c r="D2172" s="22">
        <v>94000</v>
      </c>
      <c r="E2172" s="7">
        <v>68</v>
      </c>
      <c r="F2172" s="7">
        <v>2</v>
      </c>
      <c r="G2172" s="7">
        <v>1</v>
      </c>
      <c r="H2172" s="12">
        <v>1080</v>
      </c>
      <c r="I2172" s="8">
        <f t="shared" si="66"/>
        <v>87.037037037037038</v>
      </c>
      <c r="J2172" s="3" t="str">
        <f t="shared" si="67"/>
        <v>Low</v>
      </c>
    </row>
    <row r="2173" spans="1:10">
      <c r="A2173" s="4" t="s">
        <v>2247</v>
      </c>
      <c r="B2173" s="16" t="s">
        <v>2171</v>
      </c>
      <c r="C2173" s="17" t="s">
        <v>2164</v>
      </c>
      <c r="D2173" s="21">
        <v>96000</v>
      </c>
      <c r="E2173" s="4">
        <v>12</v>
      </c>
      <c r="F2173" s="4">
        <v>3</v>
      </c>
      <c r="G2173" s="4">
        <v>1</v>
      </c>
      <c r="H2173" s="10">
        <v>1000</v>
      </c>
      <c r="I2173" s="5">
        <f t="shared" si="66"/>
        <v>96</v>
      </c>
      <c r="J2173" s="3" t="str">
        <f t="shared" si="67"/>
        <v>Low</v>
      </c>
    </row>
    <row r="2174" spans="1:10">
      <c r="A2174" s="7" t="s">
        <v>2248</v>
      </c>
      <c r="B2174" s="18" t="s">
        <v>2168</v>
      </c>
      <c r="C2174" s="19" t="s">
        <v>2164</v>
      </c>
      <c r="D2174" s="22">
        <v>96500</v>
      </c>
      <c r="E2174" s="7">
        <v>17</v>
      </c>
      <c r="F2174" s="7">
        <v>3</v>
      </c>
      <c r="G2174" s="7">
        <v>1</v>
      </c>
      <c r="H2174" s="7">
        <v>888</v>
      </c>
      <c r="I2174" s="8">
        <f t="shared" si="66"/>
        <v>108.67117117117117</v>
      </c>
      <c r="J2174" s="3" t="str">
        <f t="shared" si="67"/>
        <v>Low</v>
      </c>
    </row>
    <row r="2175" spans="1:10">
      <c r="A2175" s="4" t="s">
        <v>2249</v>
      </c>
      <c r="B2175" s="16" t="s">
        <v>2168</v>
      </c>
      <c r="C2175" s="17" t="s">
        <v>2164</v>
      </c>
      <c r="D2175" s="21">
        <v>97000</v>
      </c>
      <c r="E2175" s="4">
        <v>50</v>
      </c>
      <c r="F2175" s="4">
        <v>2</v>
      </c>
      <c r="G2175" s="4">
        <v>1</v>
      </c>
      <c r="H2175" s="4">
        <v>916</v>
      </c>
      <c r="I2175" s="5">
        <f t="shared" si="66"/>
        <v>105.89519650655022</v>
      </c>
      <c r="J2175" s="3" t="str">
        <f t="shared" si="67"/>
        <v>Low</v>
      </c>
    </row>
    <row r="2176" spans="1:10">
      <c r="A2176" s="7" t="s">
        <v>2250</v>
      </c>
      <c r="B2176" s="18" t="s">
        <v>2168</v>
      </c>
      <c r="C2176" s="19" t="s">
        <v>2164</v>
      </c>
      <c r="D2176" s="22">
        <v>97000</v>
      </c>
      <c r="E2176" s="7">
        <v>31</v>
      </c>
      <c r="F2176" s="7">
        <v>2</v>
      </c>
      <c r="G2176" s="7">
        <v>1</v>
      </c>
      <c r="H2176" s="7">
        <v>720</v>
      </c>
      <c r="I2176" s="8">
        <f t="shared" si="66"/>
        <v>134.72222222222223</v>
      </c>
      <c r="J2176" s="3" t="str">
        <f t="shared" si="67"/>
        <v>Low</v>
      </c>
    </row>
    <row r="2177" spans="1:10">
      <c r="A2177" s="4" t="s">
        <v>2251</v>
      </c>
      <c r="B2177" s="16" t="s">
        <v>2252</v>
      </c>
      <c r="C2177" s="17" t="s">
        <v>2164</v>
      </c>
      <c r="D2177" s="21">
        <v>97000</v>
      </c>
      <c r="E2177" s="4">
        <v>63</v>
      </c>
      <c r="F2177" s="4">
        <v>2</v>
      </c>
      <c r="G2177" s="4">
        <v>1</v>
      </c>
      <c r="H2177" s="4">
        <v>920</v>
      </c>
      <c r="I2177" s="5">
        <f t="shared" si="66"/>
        <v>105.43478260869566</v>
      </c>
      <c r="J2177" s="3" t="str">
        <f t="shared" si="67"/>
        <v>Low</v>
      </c>
    </row>
    <row r="2178" spans="1:10">
      <c r="A2178" s="7" t="s">
        <v>2249</v>
      </c>
      <c r="B2178" s="18" t="s">
        <v>2168</v>
      </c>
      <c r="C2178" s="19" t="s">
        <v>2164</v>
      </c>
      <c r="D2178" s="22">
        <v>97000</v>
      </c>
      <c r="E2178" s="7">
        <v>98</v>
      </c>
      <c r="F2178" s="7">
        <v>2</v>
      </c>
      <c r="G2178" s="7">
        <v>1</v>
      </c>
      <c r="H2178" s="7">
        <v>916</v>
      </c>
      <c r="I2178" s="8">
        <f t="shared" ref="I2178:I2241" si="68">D2178/H2178</f>
        <v>105.89519650655022</v>
      </c>
      <c r="J2178" s="3" t="str">
        <f t="shared" ref="J2178:J2241" si="69">IF(I2178 &gt; 300, "High", IF(AND(I2178 &lt;= 300, I2178 &gt; 200), "Medium", "Low"))</f>
        <v>Low</v>
      </c>
    </row>
    <row r="2179" spans="1:10">
      <c r="A2179" s="4" t="s">
        <v>2253</v>
      </c>
      <c r="B2179" s="16" t="s">
        <v>2168</v>
      </c>
      <c r="C2179" s="17" t="s">
        <v>2164</v>
      </c>
      <c r="D2179" s="21">
        <v>97500</v>
      </c>
      <c r="E2179" s="4">
        <v>26</v>
      </c>
      <c r="F2179" s="4">
        <v>4</v>
      </c>
      <c r="G2179" s="4">
        <v>1</v>
      </c>
      <c r="H2179" s="4">
        <v>930</v>
      </c>
      <c r="I2179" s="5">
        <f t="shared" si="68"/>
        <v>104.83870967741936</v>
      </c>
      <c r="J2179" s="3" t="str">
        <f t="shared" si="69"/>
        <v>Low</v>
      </c>
    </row>
    <row r="2180" spans="1:10">
      <c r="A2180" s="7" t="s">
        <v>2254</v>
      </c>
      <c r="B2180" s="18" t="s">
        <v>2168</v>
      </c>
      <c r="C2180" s="19" t="s">
        <v>2164</v>
      </c>
      <c r="D2180" s="22">
        <v>99000</v>
      </c>
      <c r="E2180" s="7">
        <v>6</v>
      </c>
      <c r="F2180" s="7">
        <v>3</v>
      </c>
      <c r="G2180" s="7">
        <v>1</v>
      </c>
      <c r="H2180" s="7">
        <v>968</v>
      </c>
      <c r="I2180" s="8">
        <f t="shared" si="68"/>
        <v>102.27272727272727</v>
      </c>
      <c r="J2180" s="3" t="str">
        <f t="shared" si="69"/>
        <v>Low</v>
      </c>
    </row>
    <row r="2181" spans="1:10">
      <c r="A2181" s="4" t="s">
        <v>2255</v>
      </c>
      <c r="B2181" s="16" t="s">
        <v>2173</v>
      </c>
      <c r="C2181" s="17" t="s">
        <v>2164</v>
      </c>
      <c r="D2181" s="21">
        <v>100000</v>
      </c>
      <c r="E2181" s="4">
        <v>1</v>
      </c>
      <c r="F2181" s="4">
        <v>3</v>
      </c>
      <c r="G2181" s="4">
        <v>1</v>
      </c>
      <c r="H2181" s="10">
        <v>1026</v>
      </c>
      <c r="I2181" s="5">
        <f t="shared" si="68"/>
        <v>97.465886939571149</v>
      </c>
      <c r="J2181" s="3" t="str">
        <f t="shared" si="69"/>
        <v>Low</v>
      </c>
    </row>
    <row r="2182" spans="1:10">
      <c r="A2182" s="7" t="s">
        <v>2256</v>
      </c>
      <c r="B2182" s="18" t="s">
        <v>2168</v>
      </c>
      <c r="C2182" s="19" t="s">
        <v>2164</v>
      </c>
      <c r="D2182" s="22">
        <v>100000</v>
      </c>
      <c r="E2182" s="7">
        <v>0</v>
      </c>
      <c r="F2182" s="7">
        <v>2</v>
      </c>
      <c r="G2182" s="7">
        <v>1</v>
      </c>
      <c r="H2182" s="7">
        <v>700</v>
      </c>
      <c r="I2182" s="8">
        <f t="shared" si="68"/>
        <v>142.85714285714286</v>
      </c>
      <c r="J2182" s="3" t="str">
        <f t="shared" si="69"/>
        <v>Low</v>
      </c>
    </row>
    <row r="2183" spans="1:10">
      <c r="A2183" s="4" t="s">
        <v>2257</v>
      </c>
      <c r="B2183" s="16" t="s">
        <v>2168</v>
      </c>
      <c r="C2183" s="17" t="s">
        <v>2164</v>
      </c>
      <c r="D2183" s="21">
        <v>100000</v>
      </c>
      <c r="E2183" s="4">
        <v>37</v>
      </c>
      <c r="F2183" s="4">
        <v>3</v>
      </c>
      <c r="G2183" s="4">
        <v>1</v>
      </c>
      <c r="H2183" s="4">
        <v>896</v>
      </c>
      <c r="I2183" s="5">
        <f t="shared" si="68"/>
        <v>111.60714285714286</v>
      </c>
      <c r="J2183" s="3" t="str">
        <f t="shared" si="69"/>
        <v>Low</v>
      </c>
    </row>
    <row r="2184" spans="1:10">
      <c r="A2184" s="7" t="s">
        <v>2258</v>
      </c>
      <c r="B2184" s="18" t="s">
        <v>2173</v>
      </c>
      <c r="C2184" s="19" t="s">
        <v>2164</v>
      </c>
      <c r="D2184" s="22">
        <v>100000</v>
      </c>
      <c r="E2184" s="7">
        <v>10</v>
      </c>
      <c r="F2184" s="7">
        <v>2</v>
      </c>
      <c r="G2184" s="7">
        <v>1</v>
      </c>
      <c r="H2184" s="7">
        <v>681</v>
      </c>
      <c r="I2184" s="8">
        <f t="shared" si="68"/>
        <v>146.84287812041117</v>
      </c>
      <c r="J2184" s="3" t="str">
        <f t="shared" si="69"/>
        <v>Low</v>
      </c>
    </row>
    <row r="2185" spans="1:10">
      <c r="A2185" s="4" t="s">
        <v>2259</v>
      </c>
      <c r="B2185" s="16" t="s">
        <v>2210</v>
      </c>
      <c r="C2185" s="17" t="s">
        <v>2164</v>
      </c>
      <c r="D2185" s="21">
        <v>100000</v>
      </c>
      <c r="E2185" s="4">
        <v>83</v>
      </c>
      <c r="F2185" s="4">
        <v>2</v>
      </c>
      <c r="G2185" s="4">
        <v>1</v>
      </c>
      <c r="H2185" s="4">
        <v>633</v>
      </c>
      <c r="I2185" s="5">
        <f t="shared" si="68"/>
        <v>157.9778830963665</v>
      </c>
      <c r="J2185" s="3" t="str">
        <f t="shared" si="69"/>
        <v>Low</v>
      </c>
    </row>
    <row r="2186" spans="1:10">
      <c r="A2186" s="7" t="s">
        <v>2260</v>
      </c>
      <c r="B2186" s="18" t="s">
        <v>2261</v>
      </c>
      <c r="C2186" s="19" t="s">
        <v>2164</v>
      </c>
      <c r="D2186" s="22">
        <v>100000</v>
      </c>
      <c r="E2186" s="7">
        <v>80</v>
      </c>
      <c r="F2186" s="7">
        <v>3</v>
      </c>
      <c r="G2186" s="7">
        <v>1</v>
      </c>
      <c r="H2186" s="12">
        <v>1000</v>
      </c>
      <c r="I2186" s="8">
        <f t="shared" si="68"/>
        <v>100</v>
      </c>
      <c r="J2186" s="3" t="str">
        <f t="shared" si="69"/>
        <v>Low</v>
      </c>
    </row>
    <row r="2187" spans="1:10">
      <c r="A2187" s="4" t="s">
        <v>2262</v>
      </c>
      <c r="B2187" s="16" t="s">
        <v>2168</v>
      </c>
      <c r="C2187" s="17" t="s">
        <v>2164</v>
      </c>
      <c r="D2187" s="21">
        <v>101000</v>
      </c>
      <c r="E2187" s="4">
        <v>35</v>
      </c>
      <c r="F2187" s="4">
        <v>2</v>
      </c>
      <c r="G2187" s="4">
        <v>1</v>
      </c>
      <c r="H2187" s="4">
        <v>700</v>
      </c>
      <c r="I2187" s="5">
        <f t="shared" si="68"/>
        <v>144.28571428571428</v>
      </c>
      <c r="J2187" s="3" t="str">
        <f t="shared" si="69"/>
        <v>Low</v>
      </c>
    </row>
    <row r="2188" spans="1:10">
      <c r="A2188" s="7" t="s">
        <v>2263</v>
      </c>
      <c r="B2188" s="18" t="s">
        <v>2168</v>
      </c>
      <c r="C2188" s="19" t="s">
        <v>2164</v>
      </c>
      <c r="D2188" s="22">
        <v>101000</v>
      </c>
      <c r="E2188" s="7">
        <v>57</v>
      </c>
      <c r="F2188" s="7">
        <v>2</v>
      </c>
      <c r="G2188" s="7">
        <v>1</v>
      </c>
      <c r="H2188" s="7">
        <v>675</v>
      </c>
      <c r="I2188" s="8">
        <f t="shared" si="68"/>
        <v>149.62962962962962</v>
      </c>
      <c r="J2188" s="3" t="str">
        <f t="shared" si="69"/>
        <v>Low</v>
      </c>
    </row>
    <row r="2189" spans="1:10">
      <c r="A2189" s="4" t="s">
        <v>2264</v>
      </c>
      <c r="B2189" s="16" t="s">
        <v>2168</v>
      </c>
      <c r="C2189" s="17" t="s">
        <v>2164</v>
      </c>
      <c r="D2189" s="21">
        <v>101000</v>
      </c>
      <c r="E2189" s="4">
        <v>98</v>
      </c>
      <c r="F2189" s="4">
        <v>2</v>
      </c>
      <c r="G2189" s="4">
        <v>1</v>
      </c>
      <c r="H2189" s="4">
        <v>810</v>
      </c>
      <c r="I2189" s="5">
        <f t="shared" si="68"/>
        <v>124.69135802469135</v>
      </c>
      <c r="J2189" s="3" t="str">
        <f t="shared" si="69"/>
        <v>Low</v>
      </c>
    </row>
    <row r="2190" spans="1:10">
      <c r="A2190" s="7" t="s">
        <v>2265</v>
      </c>
      <c r="B2190" s="18" t="s">
        <v>2173</v>
      </c>
      <c r="C2190" s="19" t="s">
        <v>2164</v>
      </c>
      <c r="D2190" s="22">
        <v>101200</v>
      </c>
      <c r="E2190" s="7">
        <v>24</v>
      </c>
      <c r="F2190" s="7">
        <v>3</v>
      </c>
      <c r="G2190" s="7">
        <v>1</v>
      </c>
      <c r="H2190" s="7">
        <v>911</v>
      </c>
      <c r="I2190" s="8">
        <f t="shared" si="68"/>
        <v>111.08671789242591</v>
      </c>
      <c r="J2190" s="3" t="str">
        <f t="shared" si="69"/>
        <v>Low</v>
      </c>
    </row>
    <row r="2191" spans="1:10">
      <c r="A2191" s="4" t="s">
        <v>2266</v>
      </c>
      <c r="B2191" s="16" t="s">
        <v>2168</v>
      </c>
      <c r="C2191" s="17" t="s">
        <v>2164</v>
      </c>
      <c r="D2191" s="21">
        <v>102000</v>
      </c>
      <c r="E2191" s="4">
        <v>8</v>
      </c>
      <c r="F2191" s="4">
        <v>3</v>
      </c>
      <c r="G2191" s="4">
        <v>1</v>
      </c>
      <c r="H2191" s="4">
        <v>944</v>
      </c>
      <c r="I2191" s="5">
        <f t="shared" si="68"/>
        <v>108.05084745762711</v>
      </c>
      <c r="J2191" s="3" t="str">
        <f t="shared" si="69"/>
        <v>Low</v>
      </c>
    </row>
    <row r="2192" spans="1:10">
      <c r="A2192" s="7" t="s">
        <v>2267</v>
      </c>
      <c r="B2192" s="18" t="s">
        <v>2168</v>
      </c>
      <c r="C2192" s="19" t="s">
        <v>2164</v>
      </c>
      <c r="D2192" s="22">
        <v>103000</v>
      </c>
      <c r="E2192" s="7">
        <v>6</v>
      </c>
      <c r="F2192" s="7">
        <v>3</v>
      </c>
      <c r="G2192" s="7">
        <v>1</v>
      </c>
      <c r="H2192" s="7">
        <v>943</v>
      </c>
      <c r="I2192" s="8">
        <f t="shared" si="68"/>
        <v>109.22587486744433</v>
      </c>
      <c r="J2192" s="3" t="str">
        <f t="shared" si="69"/>
        <v>Low</v>
      </c>
    </row>
    <row r="2193" spans="1:10">
      <c r="A2193" s="4" t="s">
        <v>2268</v>
      </c>
      <c r="B2193" s="16" t="s">
        <v>2166</v>
      </c>
      <c r="C2193" s="17" t="s">
        <v>2164</v>
      </c>
      <c r="D2193" s="21">
        <v>103000</v>
      </c>
      <c r="E2193" s="4">
        <v>50</v>
      </c>
      <c r="F2193" s="4">
        <v>3</v>
      </c>
      <c r="G2193" s="4">
        <v>1</v>
      </c>
      <c r="H2193" s="10">
        <v>1210</v>
      </c>
      <c r="I2193" s="5">
        <f t="shared" si="68"/>
        <v>85.123966942148755</v>
      </c>
      <c r="J2193" s="3" t="str">
        <f t="shared" si="69"/>
        <v>Low</v>
      </c>
    </row>
    <row r="2194" spans="1:10">
      <c r="A2194" s="7" t="s">
        <v>2269</v>
      </c>
      <c r="B2194" s="18" t="s">
        <v>2168</v>
      </c>
      <c r="C2194" s="19" t="s">
        <v>2164</v>
      </c>
      <c r="D2194" s="22">
        <v>103000</v>
      </c>
      <c r="E2194" s="7">
        <v>10</v>
      </c>
      <c r="F2194" s="7">
        <v>3</v>
      </c>
      <c r="G2194" s="7">
        <v>1</v>
      </c>
      <c r="H2194" s="7">
        <v>971</v>
      </c>
      <c r="I2194" s="8">
        <f t="shared" si="68"/>
        <v>106.07621009268794</v>
      </c>
      <c r="J2194" s="3" t="str">
        <f t="shared" si="69"/>
        <v>Low</v>
      </c>
    </row>
    <row r="2195" spans="1:10">
      <c r="A2195" s="4" t="s">
        <v>2270</v>
      </c>
      <c r="B2195" s="16" t="s">
        <v>2168</v>
      </c>
      <c r="C2195" s="17" t="s">
        <v>2164</v>
      </c>
      <c r="D2195" s="21">
        <v>105000</v>
      </c>
      <c r="E2195" s="4">
        <v>3</v>
      </c>
      <c r="F2195" s="4">
        <v>3</v>
      </c>
      <c r="G2195" s="4">
        <v>1</v>
      </c>
      <c r="H2195" s="4">
        <v>910</v>
      </c>
      <c r="I2195" s="5">
        <f t="shared" si="68"/>
        <v>115.38461538461539</v>
      </c>
      <c r="J2195" s="3" t="str">
        <f t="shared" si="69"/>
        <v>Low</v>
      </c>
    </row>
    <row r="2196" spans="1:10">
      <c r="A2196" s="7" t="s">
        <v>2271</v>
      </c>
      <c r="B2196" s="18" t="s">
        <v>2173</v>
      </c>
      <c r="C2196" s="19" t="s">
        <v>2164</v>
      </c>
      <c r="D2196" s="22">
        <v>105000</v>
      </c>
      <c r="E2196" s="7">
        <v>29</v>
      </c>
      <c r="F2196" s="7">
        <v>3</v>
      </c>
      <c r="G2196" s="7">
        <v>1</v>
      </c>
      <c r="H2196" s="12">
        <v>1013</v>
      </c>
      <c r="I2196" s="8">
        <f t="shared" si="68"/>
        <v>103.65251727541954</v>
      </c>
      <c r="J2196" s="3" t="str">
        <f t="shared" si="69"/>
        <v>Low</v>
      </c>
    </row>
    <row r="2197" spans="1:10">
      <c r="A2197" s="4" t="s">
        <v>2272</v>
      </c>
      <c r="B2197" s="16" t="s">
        <v>2273</v>
      </c>
      <c r="C2197" s="17" t="s">
        <v>2164</v>
      </c>
      <c r="D2197" s="21">
        <v>105000</v>
      </c>
      <c r="E2197" s="4">
        <v>13</v>
      </c>
      <c r="F2197" s="4">
        <v>2</v>
      </c>
      <c r="G2197" s="4">
        <v>1</v>
      </c>
      <c r="H2197" s="4">
        <v>697</v>
      </c>
      <c r="I2197" s="5">
        <f t="shared" si="68"/>
        <v>150.64562410329987</v>
      </c>
      <c r="J2197" s="3" t="str">
        <f t="shared" si="69"/>
        <v>Low</v>
      </c>
    </row>
    <row r="2198" spans="1:10">
      <c r="A2198" s="7" t="s">
        <v>2274</v>
      </c>
      <c r="B2198" s="18" t="s">
        <v>2168</v>
      </c>
      <c r="C2198" s="19" t="s">
        <v>2164</v>
      </c>
      <c r="D2198" s="22">
        <v>105000</v>
      </c>
      <c r="E2198" s="7">
        <v>15</v>
      </c>
      <c r="F2198" s="7">
        <v>2</v>
      </c>
      <c r="G2198" s="7">
        <v>1</v>
      </c>
      <c r="H2198" s="7">
        <v>960</v>
      </c>
      <c r="I2198" s="8">
        <f t="shared" si="68"/>
        <v>109.375</v>
      </c>
      <c r="J2198" s="3" t="str">
        <f t="shared" si="69"/>
        <v>Low</v>
      </c>
    </row>
    <row r="2199" spans="1:10">
      <c r="A2199" s="4" t="s">
        <v>2275</v>
      </c>
      <c r="B2199" s="16" t="s">
        <v>2168</v>
      </c>
      <c r="C2199" s="17" t="s">
        <v>2164</v>
      </c>
      <c r="D2199" s="21">
        <v>105000</v>
      </c>
      <c r="E2199" s="4">
        <v>22</v>
      </c>
      <c r="F2199" s="4">
        <v>2</v>
      </c>
      <c r="G2199" s="4">
        <v>1</v>
      </c>
      <c r="H2199" s="4">
        <v>696</v>
      </c>
      <c r="I2199" s="5">
        <f t="shared" si="68"/>
        <v>150.86206896551724</v>
      </c>
      <c r="J2199" s="3" t="str">
        <f t="shared" si="69"/>
        <v>Low</v>
      </c>
    </row>
    <row r="2200" spans="1:10">
      <c r="A2200" s="7" t="s">
        <v>2276</v>
      </c>
      <c r="B2200" s="18" t="s">
        <v>2168</v>
      </c>
      <c r="C2200" s="19" t="s">
        <v>2164</v>
      </c>
      <c r="D2200" s="22">
        <v>105000</v>
      </c>
      <c r="E2200" s="7">
        <v>0</v>
      </c>
      <c r="F2200" s="7">
        <v>3</v>
      </c>
      <c r="G2200" s="7">
        <v>1</v>
      </c>
      <c r="H2200" s="12">
        <v>1341</v>
      </c>
      <c r="I2200" s="8">
        <f t="shared" si="68"/>
        <v>78.299776286353463</v>
      </c>
      <c r="J2200" s="3" t="str">
        <f t="shared" si="69"/>
        <v>Low</v>
      </c>
    </row>
    <row r="2201" spans="1:10">
      <c r="A2201" s="4" t="s">
        <v>2277</v>
      </c>
      <c r="B2201" s="16" t="s">
        <v>2168</v>
      </c>
      <c r="C2201" s="17" t="s">
        <v>2164</v>
      </c>
      <c r="D2201" s="21">
        <v>106500</v>
      </c>
      <c r="E2201" s="4">
        <v>26</v>
      </c>
      <c r="F2201" s="4">
        <v>2</v>
      </c>
      <c r="G2201" s="4">
        <v>1</v>
      </c>
      <c r="H2201" s="4">
        <v>720</v>
      </c>
      <c r="I2201" s="5">
        <f t="shared" si="68"/>
        <v>147.91666666666666</v>
      </c>
      <c r="J2201" s="3" t="str">
        <f t="shared" si="69"/>
        <v>Low</v>
      </c>
    </row>
    <row r="2202" spans="1:10">
      <c r="A2202" s="7" t="s">
        <v>2278</v>
      </c>
      <c r="B2202" s="18" t="s">
        <v>2168</v>
      </c>
      <c r="C2202" s="19" t="s">
        <v>2164</v>
      </c>
      <c r="D2202" s="22">
        <v>107950</v>
      </c>
      <c r="E2202" s="7">
        <v>71</v>
      </c>
      <c r="F2202" s="7">
        <v>2</v>
      </c>
      <c r="G2202" s="7">
        <v>1</v>
      </c>
      <c r="H2202" s="7">
        <v>720</v>
      </c>
      <c r="I2202" s="8">
        <f t="shared" si="68"/>
        <v>149.93055555555554</v>
      </c>
      <c r="J2202" s="3" t="str">
        <f t="shared" si="69"/>
        <v>Low</v>
      </c>
    </row>
    <row r="2203" spans="1:10">
      <c r="A2203" s="4" t="s">
        <v>2279</v>
      </c>
      <c r="B2203" s="16" t="s">
        <v>2168</v>
      </c>
      <c r="C2203" s="17" t="s">
        <v>2164</v>
      </c>
      <c r="D2203" s="21">
        <v>108000</v>
      </c>
      <c r="E2203" s="4">
        <v>2</v>
      </c>
      <c r="F2203" s="4">
        <v>3</v>
      </c>
      <c r="G2203" s="4">
        <v>1</v>
      </c>
      <c r="H2203" s="4">
        <v>984</v>
      </c>
      <c r="I2203" s="5">
        <f t="shared" si="68"/>
        <v>109.7560975609756</v>
      </c>
      <c r="J2203" s="3" t="str">
        <f t="shared" si="69"/>
        <v>Low</v>
      </c>
    </row>
    <row r="2204" spans="1:10">
      <c r="A2204" s="7" t="s">
        <v>2280</v>
      </c>
      <c r="B2204" s="18" t="s">
        <v>2173</v>
      </c>
      <c r="C2204" s="19" t="s">
        <v>2164</v>
      </c>
      <c r="D2204" s="22">
        <v>109000</v>
      </c>
      <c r="E2204" s="7">
        <v>69</v>
      </c>
      <c r="F2204" s="7">
        <v>2</v>
      </c>
      <c r="G2204" s="7">
        <v>1</v>
      </c>
      <c r="H2204" s="7">
        <v>724</v>
      </c>
      <c r="I2204" s="8">
        <f t="shared" si="68"/>
        <v>150.55248618784532</v>
      </c>
      <c r="J2204" s="3" t="str">
        <f t="shared" si="69"/>
        <v>Low</v>
      </c>
    </row>
    <row r="2205" spans="1:10">
      <c r="A2205" s="4" t="s">
        <v>2281</v>
      </c>
      <c r="B2205" s="16" t="s">
        <v>2166</v>
      </c>
      <c r="C2205" s="17" t="s">
        <v>2164</v>
      </c>
      <c r="D2205" s="21">
        <v>109000</v>
      </c>
      <c r="E2205" s="4">
        <v>26</v>
      </c>
      <c r="F2205" s="4">
        <v>2</v>
      </c>
      <c r="G2205" s="4">
        <v>1</v>
      </c>
      <c r="H2205" s="4">
        <v>754</v>
      </c>
      <c r="I2205" s="5">
        <f t="shared" si="68"/>
        <v>144.56233421750665</v>
      </c>
      <c r="J2205" s="3" t="str">
        <f t="shared" si="69"/>
        <v>Low</v>
      </c>
    </row>
    <row r="2206" spans="1:10">
      <c r="A2206" s="7" t="s">
        <v>2282</v>
      </c>
      <c r="B2206" s="18" t="s">
        <v>2168</v>
      </c>
      <c r="C2206" s="19" t="s">
        <v>2164</v>
      </c>
      <c r="D2206" s="22">
        <v>110000</v>
      </c>
      <c r="E2206" s="7">
        <v>23</v>
      </c>
      <c r="F2206" s="7">
        <v>2</v>
      </c>
      <c r="G2206" s="7">
        <v>1</v>
      </c>
      <c r="H2206" s="7">
        <v>700</v>
      </c>
      <c r="I2206" s="8">
        <f t="shared" si="68"/>
        <v>157.14285714285714</v>
      </c>
      <c r="J2206" s="3" t="str">
        <f t="shared" si="69"/>
        <v>Low</v>
      </c>
    </row>
    <row r="2207" spans="1:10">
      <c r="A2207" s="4" t="s">
        <v>2283</v>
      </c>
      <c r="B2207" s="16" t="s">
        <v>2166</v>
      </c>
      <c r="C2207" s="17" t="s">
        <v>2164</v>
      </c>
      <c r="D2207" s="21">
        <v>110000</v>
      </c>
      <c r="E2207" s="4">
        <v>1</v>
      </c>
      <c r="F2207" s="4">
        <v>5</v>
      </c>
      <c r="G2207" s="4">
        <v>2</v>
      </c>
      <c r="H2207" s="10">
        <v>1658</v>
      </c>
      <c r="I2207" s="5">
        <f t="shared" si="68"/>
        <v>66.344993968636913</v>
      </c>
      <c r="J2207" s="3" t="str">
        <f t="shared" si="69"/>
        <v>Low</v>
      </c>
    </row>
    <row r="2208" spans="1:10">
      <c r="A2208" s="7" t="s">
        <v>2284</v>
      </c>
      <c r="B2208" s="18" t="s">
        <v>2181</v>
      </c>
      <c r="C2208" s="19" t="s">
        <v>2164</v>
      </c>
      <c r="D2208" s="22">
        <v>110000</v>
      </c>
      <c r="E2208" s="7">
        <v>3</v>
      </c>
      <c r="F2208" s="7">
        <v>3</v>
      </c>
      <c r="G2208" s="7">
        <v>1</v>
      </c>
      <c r="H2208" s="12">
        <v>1000</v>
      </c>
      <c r="I2208" s="8">
        <f t="shared" si="68"/>
        <v>110</v>
      </c>
      <c r="J2208" s="3" t="str">
        <f t="shared" si="69"/>
        <v>Low</v>
      </c>
    </row>
    <row r="2209" spans="1:10">
      <c r="A2209" s="4" t="s">
        <v>2285</v>
      </c>
      <c r="B2209" s="16" t="s">
        <v>2210</v>
      </c>
      <c r="C2209" s="17" t="s">
        <v>2164</v>
      </c>
      <c r="D2209" s="21">
        <v>110000</v>
      </c>
      <c r="E2209" s="4">
        <v>20</v>
      </c>
      <c r="F2209" s="4">
        <v>4</v>
      </c>
      <c r="G2209" s="4">
        <v>1</v>
      </c>
      <c r="H2209" s="10">
        <v>1323</v>
      </c>
      <c r="I2209" s="5">
        <f t="shared" si="68"/>
        <v>83.144368858654573</v>
      </c>
      <c r="J2209" s="3" t="str">
        <f t="shared" si="69"/>
        <v>Low</v>
      </c>
    </row>
    <row r="2210" spans="1:10">
      <c r="A2210" s="7" t="s">
        <v>2286</v>
      </c>
      <c r="B2210" s="18" t="s">
        <v>2227</v>
      </c>
      <c r="C2210" s="19" t="s">
        <v>2164</v>
      </c>
      <c r="D2210" s="22">
        <v>110000</v>
      </c>
      <c r="E2210" s="7">
        <v>29</v>
      </c>
      <c r="F2210" s="7">
        <v>3</v>
      </c>
      <c r="G2210" s="7">
        <v>1</v>
      </c>
      <c r="H2210" s="7">
        <v>808</v>
      </c>
      <c r="I2210" s="8">
        <f t="shared" si="68"/>
        <v>136.13861386138615</v>
      </c>
      <c r="J2210" s="3" t="str">
        <f t="shared" si="69"/>
        <v>Low</v>
      </c>
    </row>
    <row r="2211" spans="1:10">
      <c r="A2211" s="4" t="s">
        <v>2287</v>
      </c>
      <c r="B2211" s="16" t="s">
        <v>2168</v>
      </c>
      <c r="C2211" s="17" t="s">
        <v>2164</v>
      </c>
      <c r="D2211" s="21">
        <v>112000</v>
      </c>
      <c r="E2211" s="4">
        <v>5</v>
      </c>
      <c r="F2211" s="4">
        <v>3</v>
      </c>
      <c r="G2211" s="4">
        <v>1</v>
      </c>
      <c r="H2211" s="4">
        <v>910</v>
      </c>
      <c r="I2211" s="5">
        <f t="shared" si="68"/>
        <v>123.07692307692308</v>
      </c>
      <c r="J2211" s="3" t="str">
        <f t="shared" si="69"/>
        <v>Low</v>
      </c>
    </row>
    <row r="2212" spans="1:10">
      <c r="A2212" s="7" t="s">
        <v>2288</v>
      </c>
      <c r="B2212" s="18" t="s">
        <v>2168</v>
      </c>
      <c r="C2212" s="19" t="s">
        <v>2164</v>
      </c>
      <c r="D2212" s="22">
        <v>112500</v>
      </c>
      <c r="E2212" s="7">
        <v>35</v>
      </c>
      <c r="F2212" s="7">
        <v>3</v>
      </c>
      <c r="G2212" s="7">
        <v>1</v>
      </c>
      <c r="H2212" s="7">
        <v>770</v>
      </c>
      <c r="I2212" s="8">
        <f t="shared" si="68"/>
        <v>146.10389610389609</v>
      </c>
      <c r="J2212" s="3" t="str">
        <f t="shared" si="69"/>
        <v>Low</v>
      </c>
    </row>
    <row r="2213" spans="1:10">
      <c r="A2213" s="4" t="s">
        <v>2289</v>
      </c>
      <c r="B2213" s="16" t="s">
        <v>2168</v>
      </c>
      <c r="C2213" s="17" t="s">
        <v>2164</v>
      </c>
      <c r="D2213" s="21">
        <v>113000</v>
      </c>
      <c r="E2213" s="4">
        <v>11</v>
      </c>
      <c r="F2213" s="4">
        <v>2</v>
      </c>
      <c r="G2213" s="4">
        <v>1</v>
      </c>
      <c r="H2213" s="4">
        <v>775</v>
      </c>
      <c r="I2213" s="5">
        <f t="shared" si="68"/>
        <v>145.80645161290323</v>
      </c>
      <c r="J2213" s="3" t="str">
        <f t="shared" si="69"/>
        <v>Low</v>
      </c>
    </row>
    <row r="2214" spans="1:10">
      <c r="A2214" s="7" t="s">
        <v>2290</v>
      </c>
      <c r="B2214" s="18" t="s">
        <v>2166</v>
      </c>
      <c r="C2214" s="19" t="s">
        <v>2164</v>
      </c>
      <c r="D2214" s="22">
        <v>115000</v>
      </c>
      <c r="E2214" s="7">
        <v>2</v>
      </c>
      <c r="F2214" s="7">
        <v>3</v>
      </c>
      <c r="G2214" s="7">
        <v>1.1000000000000001</v>
      </c>
      <c r="H2214" s="7">
        <v>936</v>
      </c>
      <c r="I2214" s="8">
        <f t="shared" si="68"/>
        <v>122.86324786324786</v>
      </c>
      <c r="J2214" s="3" t="str">
        <f t="shared" si="69"/>
        <v>Low</v>
      </c>
    </row>
    <row r="2215" spans="1:10">
      <c r="A2215" s="4" t="s">
        <v>2291</v>
      </c>
      <c r="B2215" s="16" t="s">
        <v>2173</v>
      </c>
      <c r="C2215" s="17" t="s">
        <v>2164</v>
      </c>
      <c r="D2215" s="21">
        <v>115000</v>
      </c>
      <c r="E2215" s="4">
        <v>48</v>
      </c>
      <c r="F2215" s="4">
        <v>3</v>
      </c>
      <c r="G2215" s="4">
        <v>1.1000000000000001</v>
      </c>
      <c r="H2215" s="10">
        <v>1206</v>
      </c>
      <c r="I2215" s="5">
        <f t="shared" si="68"/>
        <v>95.356550580431175</v>
      </c>
      <c r="J2215" s="3" t="str">
        <f t="shared" si="69"/>
        <v>Low</v>
      </c>
    </row>
    <row r="2216" spans="1:10">
      <c r="A2216" s="7" t="s">
        <v>2292</v>
      </c>
      <c r="B2216" s="18" t="s">
        <v>2173</v>
      </c>
      <c r="C2216" s="19" t="s">
        <v>2164</v>
      </c>
      <c r="D2216" s="22">
        <v>115000</v>
      </c>
      <c r="E2216" s="7">
        <v>40</v>
      </c>
      <c r="F2216" s="7">
        <v>3</v>
      </c>
      <c r="G2216" s="7">
        <v>1</v>
      </c>
      <c r="H2216" s="12">
        <v>1518</v>
      </c>
      <c r="I2216" s="8">
        <f t="shared" si="68"/>
        <v>75.757575757575751</v>
      </c>
      <c r="J2216" s="3" t="str">
        <f t="shared" si="69"/>
        <v>Low</v>
      </c>
    </row>
    <row r="2217" spans="1:10">
      <c r="A2217" s="4" t="s">
        <v>2293</v>
      </c>
      <c r="B2217" s="16" t="s">
        <v>2173</v>
      </c>
      <c r="C2217" s="17" t="s">
        <v>2164</v>
      </c>
      <c r="D2217" s="21">
        <v>115000</v>
      </c>
      <c r="E2217" s="4">
        <v>16</v>
      </c>
      <c r="F2217" s="4">
        <v>3</v>
      </c>
      <c r="G2217" s="4">
        <v>1</v>
      </c>
      <c r="H2217" s="10">
        <v>1020</v>
      </c>
      <c r="I2217" s="5">
        <f t="shared" si="68"/>
        <v>112.74509803921569</v>
      </c>
      <c r="J2217" s="3" t="str">
        <f t="shared" si="69"/>
        <v>Low</v>
      </c>
    </row>
    <row r="2218" spans="1:10">
      <c r="A2218" s="7" t="s">
        <v>2294</v>
      </c>
      <c r="B2218" s="18" t="s">
        <v>2173</v>
      </c>
      <c r="C2218" s="19" t="s">
        <v>2164</v>
      </c>
      <c r="D2218" s="22">
        <v>115000</v>
      </c>
      <c r="E2218" s="7">
        <v>10</v>
      </c>
      <c r="F2218" s="7">
        <v>2</v>
      </c>
      <c r="G2218" s="7">
        <v>1</v>
      </c>
      <c r="H2218" s="12">
        <v>1012</v>
      </c>
      <c r="I2218" s="8">
        <f t="shared" si="68"/>
        <v>113.63636363636364</v>
      </c>
      <c r="J2218" s="3" t="str">
        <f t="shared" si="69"/>
        <v>Low</v>
      </c>
    </row>
    <row r="2219" spans="1:10">
      <c r="A2219" s="4" t="s">
        <v>2295</v>
      </c>
      <c r="B2219" s="16" t="s">
        <v>2168</v>
      </c>
      <c r="C2219" s="17" t="s">
        <v>2164</v>
      </c>
      <c r="D2219" s="21">
        <v>115500</v>
      </c>
      <c r="E2219" s="4">
        <v>58</v>
      </c>
      <c r="F2219" s="4">
        <v>3</v>
      </c>
      <c r="G2219" s="4">
        <v>1</v>
      </c>
      <c r="H2219" s="4">
        <v>988</v>
      </c>
      <c r="I2219" s="5">
        <f t="shared" si="68"/>
        <v>116.90283400809717</v>
      </c>
      <c r="J2219" s="3" t="str">
        <f t="shared" si="69"/>
        <v>Low</v>
      </c>
    </row>
    <row r="2220" spans="1:10">
      <c r="A2220" s="7" t="s">
        <v>2296</v>
      </c>
      <c r="B2220" s="18" t="s">
        <v>2173</v>
      </c>
      <c r="C2220" s="19" t="s">
        <v>2164</v>
      </c>
      <c r="D2220" s="22">
        <v>117000</v>
      </c>
      <c r="E2220" s="7">
        <v>12</v>
      </c>
      <c r="F2220" s="7">
        <v>3</v>
      </c>
      <c r="G2220" s="7">
        <v>1.1000000000000001</v>
      </c>
      <c r="H2220" s="7">
        <v>950</v>
      </c>
      <c r="I2220" s="8">
        <f t="shared" si="68"/>
        <v>123.15789473684211</v>
      </c>
      <c r="J2220" s="3" t="str">
        <f t="shared" si="69"/>
        <v>Low</v>
      </c>
    </row>
    <row r="2221" spans="1:10">
      <c r="A2221" s="4" t="s">
        <v>2297</v>
      </c>
      <c r="B2221" s="16" t="s">
        <v>2166</v>
      </c>
      <c r="C2221" s="17" t="s">
        <v>2164</v>
      </c>
      <c r="D2221" s="21">
        <v>117500</v>
      </c>
      <c r="E2221" s="4">
        <v>30</v>
      </c>
      <c r="F2221" s="4">
        <v>3</v>
      </c>
      <c r="G2221" s="4">
        <v>1.1000000000000001</v>
      </c>
      <c r="H2221" s="10">
        <v>1091</v>
      </c>
      <c r="I2221" s="5">
        <f t="shared" si="68"/>
        <v>107.69935838680109</v>
      </c>
      <c r="J2221" s="3" t="str">
        <f t="shared" si="69"/>
        <v>Low</v>
      </c>
    </row>
    <row r="2222" spans="1:10">
      <c r="A2222" s="7" t="s">
        <v>2298</v>
      </c>
      <c r="B2222" s="18" t="s">
        <v>2166</v>
      </c>
      <c r="C2222" s="19" t="s">
        <v>2164</v>
      </c>
      <c r="D2222" s="22">
        <v>118000</v>
      </c>
      <c r="E2222" s="7">
        <v>12</v>
      </c>
      <c r="F2222" s="7">
        <v>2</v>
      </c>
      <c r="G2222" s="7">
        <v>1</v>
      </c>
      <c r="H2222" s="7">
        <v>696</v>
      </c>
      <c r="I2222" s="8">
        <f t="shared" si="68"/>
        <v>169.54022988505747</v>
      </c>
      <c r="J2222" s="3" t="str">
        <f t="shared" si="69"/>
        <v>Low</v>
      </c>
    </row>
    <row r="2223" spans="1:10">
      <c r="A2223" s="4" t="s">
        <v>2299</v>
      </c>
      <c r="B2223" s="16" t="s">
        <v>2168</v>
      </c>
      <c r="C2223" s="17" t="s">
        <v>2164</v>
      </c>
      <c r="D2223" s="21">
        <v>118500</v>
      </c>
      <c r="E2223" s="4">
        <v>1</v>
      </c>
      <c r="F2223" s="4">
        <v>2</v>
      </c>
      <c r="G2223" s="4">
        <v>1</v>
      </c>
      <c r="H2223" s="4">
        <v>740</v>
      </c>
      <c r="I2223" s="5">
        <f t="shared" si="68"/>
        <v>160.13513513513513</v>
      </c>
      <c r="J2223" s="3" t="str">
        <f t="shared" si="69"/>
        <v>Low</v>
      </c>
    </row>
    <row r="2224" spans="1:10">
      <c r="A2224" s="7" t="s">
        <v>2300</v>
      </c>
      <c r="B2224" s="18" t="s">
        <v>2210</v>
      </c>
      <c r="C2224" s="19" t="s">
        <v>2164</v>
      </c>
      <c r="D2224" s="22">
        <v>119900</v>
      </c>
      <c r="E2224" s="7">
        <v>3</v>
      </c>
      <c r="F2224" s="7">
        <v>2</v>
      </c>
      <c r="G2224" s="7">
        <v>1</v>
      </c>
      <c r="H2224" s="7">
        <v>806</v>
      </c>
      <c r="I2224" s="8">
        <f t="shared" si="68"/>
        <v>148.75930521091811</v>
      </c>
      <c r="J2224" s="3" t="str">
        <f t="shared" si="69"/>
        <v>Low</v>
      </c>
    </row>
    <row r="2225" spans="1:10">
      <c r="A2225" s="4" t="s">
        <v>2301</v>
      </c>
      <c r="B2225" s="16" t="s">
        <v>2168</v>
      </c>
      <c r="C2225" s="17" t="s">
        <v>2164</v>
      </c>
      <c r="D2225" s="21">
        <v>120000</v>
      </c>
      <c r="E2225" s="4">
        <v>3</v>
      </c>
      <c r="F2225" s="4">
        <v>3</v>
      </c>
      <c r="G2225" s="4">
        <v>1</v>
      </c>
      <c r="H2225" s="10">
        <v>1103</v>
      </c>
      <c r="I2225" s="5">
        <f t="shared" si="68"/>
        <v>108.79419764279238</v>
      </c>
      <c r="J2225" s="3" t="str">
        <f t="shared" si="69"/>
        <v>Low</v>
      </c>
    </row>
    <row r="2226" spans="1:10">
      <c r="A2226" s="7" t="s">
        <v>2302</v>
      </c>
      <c r="B2226" s="18" t="s">
        <v>2168</v>
      </c>
      <c r="C2226" s="19" t="s">
        <v>2164</v>
      </c>
      <c r="D2226" s="22">
        <v>120000</v>
      </c>
      <c r="E2226" s="7">
        <v>8</v>
      </c>
      <c r="F2226" s="7">
        <v>3</v>
      </c>
      <c r="G2226" s="7">
        <v>1</v>
      </c>
      <c r="H2226" s="7">
        <v>944</v>
      </c>
      <c r="I2226" s="8">
        <f t="shared" si="68"/>
        <v>127.11864406779661</v>
      </c>
      <c r="J2226" s="3" t="str">
        <f t="shared" si="69"/>
        <v>Low</v>
      </c>
    </row>
    <row r="2227" spans="1:10">
      <c r="A2227" s="4" t="s">
        <v>2303</v>
      </c>
      <c r="B2227" s="16" t="s">
        <v>2210</v>
      </c>
      <c r="C2227" s="17" t="s">
        <v>2164</v>
      </c>
      <c r="D2227" s="21">
        <v>120000</v>
      </c>
      <c r="E2227" s="4">
        <v>35</v>
      </c>
      <c r="F2227" s="4">
        <v>3</v>
      </c>
      <c r="G2227" s="4">
        <v>1</v>
      </c>
      <c r="H2227" s="10">
        <v>1033</v>
      </c>
      <c r="I2227" s="5">
        <f t="shared" si="68"/>
        <v>116.16650532429816</v>
      </c>
      <c r="J2227" s="3" t="str">
        <f t="shared" si="69"/>
        <v>Low</v>
      </c>
    </row>
    <row r="2228" spans="1:10">
      <c r="A2228" s="7" t="s">
        <v>2304</v>
      </c>
      <c r="B2228" s="18" t="s">
        <v>2168</v>
      </c>
      <c r="C2228" s="19" t="s">
        <v>2164</v>
      </c>
      <c r="D2228" s="22">
        <v>120000</v>
      </c>
      <c r="E2228" s="7">
        <v>14</v>
      </c>
      <c r="F2228" s="7">
        <v>3</v>
      </c>
      <c r="G2228" s="7">
        <v>1.1000000000000001</v>
      </c>
      <c r="H2228" s="12">
        <v>1487</v>
      </c>
      <c r="I2228" s="8">
        <f t="shared" si="68"/>
        <v>80.699394754539341</v>
      </c>
      <c r="J2228" s="3" t="str">
        <f t="shared" si="69"/>
        <v>Low</v>
      </c>
    </row>
    <row r="2229" spans="1:10">
      <c r="A2229" s="4" t="s">
        <v>2305</v>
      </c>
      <c r="B2229" s="16" t="s">
        <v>2168</v>
      </c>
      <c r="C2229" s="17" t="s">
        <v>2164</v>
      </c>
      <c r="D2229" s="21">
        <v>120000</v>
      </c>
      <c r="E2229" s="4">
        <v>19</v>
      </c>
      <c r="F2229" s="4">
        <v>3</v>
      </c>
      <c r="G2229" s="4">
        <v>1.1000000000000001</v>
      </c>
      <c r="H2229" s="10">
        <v>1556</v>
      </c>
      <c r="I2229" s="5">
        <f t="shared" si="68"/>
        <v>77.120822622107966</v>
      </c>
      <c r="J2229" s="3" t="str">
        <f t="shared" si="69"/>
        <v>Low</v>
      </c>
    </row>
    <row r="2230" spans="1:10">
      <c r="A2230" s="7" t="s">
        <v>2306</v>
      </c>
      <c r="B2230" s="18" t="s">
        <v>2168</v>
      </c>
      <c r="C2230" s="19" t="s">
        <v>2164</v>
      </c>
      <c r="D2230" s="22">
        <v>120000</v>
      </c>
      <c r="E2230" s="7">
        <v>63</v>
      </c>
      <c r="F2230" s="7">
        <v>2</v>
      </c>
      <c r="G2230" s="7">
        <v>1</v>
      </c>
      <c r="H2230" s="7">
        <v>944</v>
      </c>
      <c r="I2230" s="8">
        <f t="shared" si="68"/>
        <v>127.11864406779661</v>
      </c>
      <c r="J2230" s="3" t="str">
        <f t="shared" si="69"/>
        <v>Low</v>
      </c>
    </row>
    <row r="2231" spans="1:10">
      <c r="A2231" s="4" t="s">
        <v>2307</v>
      </c>
      <c r="B2231" s="16" t="s">
        <v>2168</v>
      </c>
      <c r="C2231" s="17" t="s">
        <v>2164</v>
      </c>
      <c r="D2231" s="21">
        <v>120500</v>
      </c>
      <c r="E2231" s="4">
        <v>1</v>
      </c>
      <c r="F2231" s="4">
        <v>4</v>
      </c>
      <c r="G2231" s="4">
        <v>1</v>
      </c>
      <c r="H2231" s="10">
        <v>1004</v>
      </c>
      <c r="I2231" s="5">
        <f t="shared" si="68"/>
        <v>120.0199203187251</v>
      </c>
      <c r="J2231" s="3" t="str">
        <f t="shared" si="69"/>
        <v>Low</v>
      </c>
    </row>
    <row r="2232" spans="1:10">
      <c r="A2232" s="7" t="s">
        <v>2308</v>
      </c>
      <c r="B2232" s="18" t="s">
        <v>2173</v>
      </c>
      <c r="C2232" s="19" t="s">
        <v>2164</v>
      </c>
      <c r="D2232" s="22">
        <v>120500</v>
      </c>
      <c r="E2232" s="7">
        <v>5</v>
      </c>
      <c r="F2232" s="7">
        <v>3</v>
      </c>
      <c r="G2232" s="7">
        <v>1.1000000000000001</v>
      </c>
      <c r="H2232" s="7">
        <v>986</v>
      </c>
      <c r="I2232" s="8">
        <f t="shared" si="68"/>
        <v>122.21095334685599</v>
      </c>
      <c r="J2232" s="3" t="str">
        <f t="shared" si="69"/>
        <v>Low</v>
      </c>
    </row>
    <row r="2233" spans="1:10">
      <c r="A2233" s="4" t="s">
        <v>2309</v>
      </c>
      <c r="B2233" s="16" t="s">
        <v>2168</v>
      </c>
      <c r="C2233" s="17" t="s">
        <v>2164</v>
      </c>
      <c r="D2233" s="21">
        <v>121000</v>
      </c>
      <c r="E2233" s="4">
        <v>9</v>
      </c>
      <c r="F2233" s="4">
        <v>2</v>
      </c>
      <c r="G2233" s="4">
        <v>1</v>
      </c>
      <c r="H2233" s="4">
        <v>725</v>
      </c>
      <c r="I2233" s="5">
        <f t="shared" si="68"/>
        <v>166.89655172413794</v>
      </c>
      <c r="J2233" s="3" t="str">
        <f t="shared" si="69"/>
        <v>Low</v>
      </c>
    </row>
    <row r="2234" spans="1:10">
      <c r="A2234" s="7" t="s">
        <v>2310</v>
      </c>
      <c r="B2234" s="18" t="s">
        <v>2168</v>
      </c>
      <c r="C2234" s="19" t="s">
        <v>2164</v>
      </c>
      <c r="D2234" s="22">
        <v>121000</v>
      </c>
      <c r="E2234" s="7">
        <v>11</v>
      </c>
      <c r="F2234" s="7">
        <v>3</v>
      </c>
      <c r="G2234" s="7">
        <v>1</v>
      </c>
      <c r="H2234" s="7">
        <v>960</v>
      </c>
      <c r="I2234" s="8">
        <f t="shared" si="68"/>
        <v>126.04166666666667</v>
      </c>
      <c r="J2234" s="3" t="str">
        <f t="shared" si="69"/>
        <v>Low</v>
      </c>
    </row>
    <row r="2235" spans="1:10">
      <c r="A2235" s="4" t="s">
        <v>2311</v>
      </c>
      <c r="B2235" s="16" t="s">
        <v>2173</v>
      </c>
      <c r="C2235" s="17" t="s">
        <v>2164</v>
      </c>
      <c r="D2235" s="21">
        <v>121000</v>
      </c>
      <c r="E2235" s="4">
        <v>13</v>
      </c>
      <c r="F2235" s="4">
        <v>3</v>
      </c>
      <c r="G2235" s="4">
        <v>1</v>
      </c>
      <c r="H2235" s="10">
        <v>1257</v>
      </c>
      <c r="I2235" s="5">
        <f t="shared" si="68"/>
        <v>96.260938743038977</v>
      </c>
      <c r="J2235" s="3" t="str">
        <f t="shared" si="69"/>
        <v>Low</v>
      </c>
    </row>
    <row r="2236" spans="1:10">
      <c r="A2236" s="7" t="s">
        <v>2312</v>
      </c>
      <c r="B2236" s="18" t="s">
        <v>2273</v>
      </c>
      <c r="C2236" s="19" t="s">
        <v>2164</v>
      </c>
      <c r="D2236" s="22">
        <v>121500</v>
      </c>
      <c r="E2236" s="7">
        <v>15</v>
      </c>
      <c r="F2236" s="7">
        <v>3</v>
      </c>
      <c r="G2236" s="7">
        <v>1.1000000000000001</v>
      </c>
      <c r="H2236" s="12">
        <v>1488</v>
      </c>
      <c r="I2236" s="8">
        <f t="shared" si="68"/>
        <v>81.653225806451616</v>
      </c>
      <c r="J2236" s="3" t="str">
        <f t="shared" si="69"/>
        <v>Low</v>
      </c>
    </row>
    <row r="2237" spans="1:10">
      <c r="A2237" s="4" t="s">
        <v>2313</v>
      </c>
      <c r="B2237" s="16" t="s">
        <v>2173</v>
      </c>
      <c r="C2237" s="17" t="s">
        <v>2164</v>
      </c>
      <c r="D2237" s="21">
        <v>122000</v>
      </c>
      <c r="E2237" s="4">
        <v>9</v>
      </c>
      <c r="F2237" s="4">
        <v>3</v>
      </c>
      <c r="G2237" s="4">
        <v>1.1000000000000001</v>
      </c>
      <c r="H2237" s="10">
        <v>1455</v>
      </c>
      <c r="I2237" s="5">
        <f t="shared" si="68"/>
        <v>83.848797250859107</v>
      </c>
      <c r="J2237" s="3" t="str">
        <f t="shared" si="69"/>
        <v>Low</v>
      </c>
    </row>
    <row r="2238" spans="1:10">
      <c r="A2238" s="7" t="s">
        <v>2314</v>
      </c>
      <c r="B2238" s="18" t="s">
        <v>2168</v>
      </c>
      <c r="C2238" s="19" t="s">
        <v>2164</v>
      </c>
      <c r="D2238" s="22">
        <v>122000</v>
      </c>
      <c r="E2238" s="7">
        <v>6</v>
      </c>
      <c r="F2238" s="7">
        <v>2</v>
      </c>
      <c r="G2238" s="7">
        <v>1</v>
      </c>
      <c r="H2238" s="12">
        <v>1005</v>
      </c>
      <c r="I2238" s="8">
        <f t="shared" si="68"/>
        <v>121.39303482587064</v>
      </c>
      <c r="J2238" s="3" t="str">
        <f t="shared" si="69"/>
        <v>Low</v>
      </c>
    </row>
    <row r="2239" spans="1:10">
      <c r="A2239" s="4" t="s">
        <v>2315</v>
      </c>
      <c r="B2239" s="16" t="s">
        <v>2316</v>
      </c>
      <c r="C2239" s="17" t="s">
        <v>2164</v>
      </c>
      <c r="D2239" s="21">
        <v>122000</v>
      </c>
      <c r="E2239" s="4">
        <v>6</v>
      </c>
      <c r="F2239" s="4">
        <v>3</v>
      </c>
      <c r="G2239" s="4">
        <v>1</v>
      </c>
      <c r="H2239" s="10">
        <v>1050</v>
      </c>
      <c r="I2239" s="5">
        <f t="shared" si="68"/>
        <v>116.19047619047619</v>
      </c>
      <c r="J2239" s="3" t="str">
        <f t="shared" si="69"/>
        <v>Low</v>
      </c>
    </row>
    <row r="2240" spans="1:10">
      <c r="A2240" s="7" t="s">
        <v>2317</v>
      </c>
      <c r="B2240" s="18" t="s">
        <v>2173</v>
      </c>
      <c r="C2240" s="19" t="s">
        <v>2164</v>
      </c>
      <c r="D2240" s="22">
        <v>122000</v>
      </c>
      <c r="E2240" s="7">
        <v>41</v>
      </c>
      <c r="F2240" s="7">
        <v>3</v>
      </c>
      <c r="G2240" s="7">
        <v>1</v>
      </c>
      <c r="H2240" s="7">
        <v>835</v>
      </c>
      <c r="I2240" s="8">
        <f t="shared" si="68"/>
        <v>146.10778443113773</v>
      </c>
      <c r="J2240" s="3" t="str">
        <f t="shared" si="69"/>
        <v>Low</v>
      </c>
    </row>
    <row r="2241" spans="1:10">
      <c r="A2241" s="4" t="s">
        <v>2318</v>
      </c>
      <c r="B2241" s="16" t="s">
        <v>2210</v>
      </c>
      <c r="C2241" s="17" t="s">
        <v>2164</v>
      </c>
      <c r="D2241" s="21">
        <v>123000</v>
      </c>
      <c r="E2241" s="4">
        <v>2</v>
      </c>
      <c r="F2241" s="4">
        <v>3</v>
      </c>
      <c r="G2241" s="4">
        <v>1.1000000000000001</v>
      </c>
      <c r="H2241" s="10">
        <v>2424</v>
      </c>
      <c r="I2241" s="5">
        <f t="shared" si="68"/>
        <v>50.742574257425744</v>
      </c>
      <c r="J2241" s="3" t="str">
        <f t="shared" si="69"/>
        <v>Low</v>
      </c>
    </row>
    <row r="2242" spans="1:10">
      <c r="A2242" s="7" t="s">
        <v>2319</v>
      </c>
      <c r="B2242" s="18" t="s">
        <v>2173</v>
      </c>
      <c r="C2242" s="19" t="s">
        <v>2164</v>
      </c>
      <c r="D2242" s="22">
        <v>123501</v>
      </c>
      <c r="E2242" s="7">
        <v>51</v>
      </c>
      <c r="F2242" s="7">
        <v>3</v>
      </c>
      <c r="G2242" s="7">
        <v>1.1000000000000001</v>
      </c>
      <c r="H2242" s="12">
        <v>1086</v>
      </c>
      <c r="I2242" s="8">
        <f t="shared" ref="I2242:I2305" si="70">D2242/H2242</f>
        <v>113.72099447513813</v>
      </c>
      <c r="J2242" s="3" t="str">
        <f t="shared" ref="J2242:J2305" si="71">IF(I2242 &gt; 300, "High", IF(AND(I2242 &lt;= 300, I2242 &gt; 200), "Medium", "Low"))</f>
        <v>Low</v>
      </c>
    </row>
    <row r="2243" spans="1:10">
      <c r="A2243" s="4" t="s">
        <v>2320</v>
      </c>
      <c r="B2243" s="16" t="s">
        <v>2210</v>
      </c>
      <c r="C2243" s="17" t="s">
        <v>2164</v>
      </c>
      <c r="D2243" s="21">
        <v>124000</v>
      </c>
      <c r="E2243" s="4">
        <v>4</v>
      </c>
      <c r="F2243" s="4">
        <v>2</v>
      </c>
      <c r="G2243" s="4">
        <v>1</v>
      </c>
      <c r="H2243" s="4">
        <v>750</v>
      </c>
      <c r="I2243" s="5">
        <f t="shared" si="70"/>
        <v>165.33333333333334</v>
      </c>
      <c r="J2243" s="3" t="str">
        <f t="shared" si="71"/>
        <v>Low</v>
      </c>
    </row>
    <row r="2244" spans="1:10">
      <c r="A2244" s="7" t="s">
        <v>2321</v>
      </c>
      <c r="B2244" s="18" t="s">
        <v>2210</v>
      </c>
      <c r="C2244" s="19" t="s">
        <v>2164</v>
      </c>
      <c r="D2244" s="22">
        <v>124000</v>
      </c>
      <c r="E2244" s="7">
        <v>4</v>
      </c>
      <c r="F2244" s="7">
        <v>3</v>
      </c>
      <c r="G2244" s="7">
        <v>1</v>
      </c>
      <c r="H2244" s="7">
        <v>965</v>
      </c>
      <c r="I2244" s="8">
        <f t="shared" si="70"/>
        <v>128.49740932642487</v>
      </c>
      <c r="J2244" s="3" t="str">
        <f t="shared" si="71"/>
        <v>Low</v>
      </c>
    </row>
    <row r="2245" spans="1:10">
      <c r="A2245" s="4" t="s">
        <v>2322</v>
      </c>
      <c r="B2245" s="16" t="s">
        <v>2173</v>
      </c>
      <c r="C2245" s="17" t="s">
        <v>2164</v>
      </c>
      <c r="D2245" s="21">
        <v>124900</v>
      </c>
      <c r="E2245" s="4">
        <v>1</v>
      </c>
      <c r="F2245" s="4">
        <v>3</v>
      </c>
      <c r="G2245" s="4">
        <v>1</v>
      </c>
      <c r="H2245" s="4">
        <v>950</v>
      </c>
      <c r="I2245" s="5">
        <f t="shared" si="70"/>
        <v>131.47368421052633</v>
      </c>
      <c r="J2245" s="3" t="str">
        <f t="shared" si="71"/>
        <v>Low</v>
      </c>
    </row>
    <row r="2246" spans="1:10">
      <c r="A2246" s="7" t="s">
        <v>2323</v>
      </c>
      <c r="B2246" s="18" t="s">
        <v>2173</v>
      </c>
      <c r="C2246" s="19" t="s">
        <v>2164</v>
      </c>
      <c r="D2246" s="22">
        <v>124900</v>
      </c>
      <c r="E2246" s="7">
        <v>96</v>
      </c>
      <c r="F2246" s="7">
        <v>3</v>
      </c>
      <c r="G2246" s="7">
        <v>1</v>
      </c>
      <c r="H2246" s="12">
        <v>1084</v>
      </c>
      <c r="I2246" s="8">
        <f t="shared" si="70"/>
        <v>115.22140221402213</v>
      </c>
      <c r="J2246" s="3" t="str">
        <f t="shared" si="71"/>
        <v>Low</v>
      </c>
    </row>
    <row r="2247" spans="1:10">
      <c r="A2247" s="4" t="s">
        <v>2324</v>
      </c>
      <c r="B2247" s="16" t="s">
        <v>2210</v>
      </c>
      <c r="C2247" s="17" t="s">
        <v>2164</v>
      </c>
      <c r="D2247" s="21">
        <v>125000</v>
      </c>
      <c r="E2247" s="4">
        <v>5</v>
      </c>
      <c r="F2247" s="4">
        <v>3</v>
      </c>
      <c r="G2247" s="4">
        <v>1</v>
      </c>
      <c r="H2247" s="4">
        <v>950</v>
      </c>
      <c r="I2247" s="5">
        <f t="shared" si="70"/>
        <v>131.57894736842104</v>
      </c>
      <c r="J2247" s="3" t="str">
        <f t="shared" si="71"/>
        <v>Low</v>
      </c>
    </row>
    <row r="2248" spans="1:10">
      <c r="A2248" s="7" t="s">
        <v>2325</v>
      </c>
      <c r="B2248" s="18" t="s">
        <v>2168</v>
      </c>
      <c r="C2248" s="19" t="s">
        <v>2164</v>
      </c>
      <c r="D2248" s="22">
        <v>125000</v>
      </c>
      <c r="E2248" s="7">
        <v>6</v>
      </c>
      <c r="F2248" s="7">
        <v>3</v>
      </c>
      <c r="G2248" s="7">
        <v>1</v>
      </c>
      <c r="H2248" s="7">
        <v>936</v>
      </c>
      <c r="I2248" s="8">
        <f t="shared" si="70"/>
        <v>133.54700854700855</v>
      </c>
      <c r="J2248" s="3" t="str">
        <f t="shared" si="71"/>
        <v>Low</v>
      </c>
    </row>
    <row r="2249" spans="1:10">
      <c r="A2249" s="4" t="s">
        <v>2326</v>
      </c>
      <c r="B2249" s="16" t="s">
        <v>2166</v>
      </c>
      <c r="C2249" s="17" t="s">
        <v>2164</v>
      </c>
      <c r="D2249" s="21">
        <v>125000</v>
      </c>
      <c r="E2249" s="4">
        <v>57</v>
      </c>
      <c r="F2249" s="4">
        <v>3</v>
      </c>
      <c r="G2249" s="4">
        <v>1</v>
      </c>
      <c r="H2249" s="4">
        <v>986</v>
      </c>
      <c r="I2249" s="5">
        <f t="shared" si="70"/>
        <v>126.77484787018255</v>
      </c>
      <c r="J2249" s="3" t="str">
        <f t="shared" si="71"/>
        <v>Low</v>
      </c>
    </row>
    <row r="2250" spans="1:10">
      <c r="A2250" s="7" t="s">
        <v>2327</v>
      </c>
      <c r="B2250" s="18" t="s">
        <v>2171</v>
      </c>
      <c r="C2250" s="19" t="s">
        <v>2164</v>
      </c>
      <c r="D2250" s="22">
        <v>125000</v>
      </c>
      <c r="E2250" s="7">
        <v>97</v>
      </c>
      <c r="F2250" s="7">
        <v>3</v>
      </c>
      <c r="G2250" s="7">
        <v>1</v>
      </c>
      <c r="H2250" s="7">
        <v>800</v>
      </c>
      <c r="I2250" s="8">
        <f t="shared" si="70"/>
        <v>156.25</v>
      </c>
      <c r="J2250" s="3" t="str">
        <f t="shared" si="71"/>
        <v>Low</v>
      </c>
    </row>
    <row r="2251" spans="1:10">
      <c r="A2251" s="4" t="s">
        <v>2328</v>
      </c>
      <c r="B2251" s="16" t="s">
        <v>2168</v>
      </c>
      <c r="C2251" s="17" t="s">
        <v>2164</v>
      </c>
      <c r="D2251" s="21">
        <v>126500</v>
      </c>
      <c r="E2251" s="4">
        <v>4</v>
      </c>
      <c r="F2251" s="4">
        <v>2</v>
      </c>
      <c r="G2251" s="4">
        <v>1</v>
      </c>
      <c r="H2251" s="4">
        <v>875</v>
      </c>
      <c r="I2251" s="5">
        <f t="shared" si="70"/>
        <v>144.57142857142858</v>
      </c>
      <c r="J2251" s="3" t="str">
        <f t="shared" si="71"/>
        <v>Low</v>
      </c>
    </row>
    <row r="2252" spans="1:10">
      <c r="A2252" s="7" t="s">
        <v>2329</v>
      </c>
      <c r="B2252" s="18" t="s">
        <v>2173</v>
      </c>
      <c r="C2252" s="19" t="s">
        <v>2164</v>
      </c>
      <c r="D2252" s="22">
        <v>126500</v>
      </c>
      <c r="E2252" s="7">
        <v>51</v>
      </c>
      <c r="F2252" s="7">
        <v>3</v>
      </c>
      <c r="G2252" s="7">
        <v>1</v>
      </c>
      <c r="H2252" s="7">
        <v>966</v>
      </c>
      <c r="I2252" s="8">
        <f t="shared" si="70"/>
        <v>130.95238095238096</v>
      </c>
      <c r="J2252" s="3" t="str">
        <f t="shared" si="71"/>
        <v>Low</v>
      </c>
    </row>
    <row r="2253" spans="1:10">
      <c r="A2253" s="4" t="s">
        <v>2330</v>
      </c>
      <c r="B2253" s="16" t="s">
        <v>2166</v>
      </c>
      <c r="C2253" s="17" t="s">
        <v>2164</v>
      </c>
      <c r="D2253" s="21">
        <v>127000</v>
      </c>
      <c r="E2253" s="4">
        <v>5</v>
      </c>
      <c r="F2253" s="4">
        <v>3</v>
      </c>
      <c r="G2253" s="4">
        <v>1</v>
      </c>
      <c r="H2253" s="4">
        <v>924</v>
      </c>
      <c r="I2253" s="5">
        <f t="shared" si="70"/>
        <v>137.44588744588745</v>
      </c>
      <c r="J2253" s="3" t="str">
        <f t="shared" si="71"/>
        <v>Low</v>
      </c>
    </row>
    <row r="2254" spans="1:10">
      <c r="A2254" s="7" t="s">
        <v>2331</v>
      </c>
      <c r="B2254" s="18" t="s">
        <v>2168</v>
      </c>
      <c r="C2254" s="19" t="s">
        <v>2164</v>
      </c>
      <c r="D2254" s="22">
        <v>127000</v>
      </c>
      <c r="E2254" s="7">
        <v>0</v>
      </c>
      <c r="F2254" s="7">
        <v>3</v>
      </c>
      <c r="G2254" s="7">
        <v>1</v>
      </c>
      <c r="H2254" s="7">
        <v>942</v>
      </c>
      <c r="I2254" s="8">
        <f t="shared" si="70"/>
        <v>134.81953290870487</v>
      </c>
      <c r="J2254" s="3" t="str">
        <f t="shared" si="71"/>
        <v>Low</v>
      </c>
    </row>
    <row r="2255" spans="1:10">
      <c r="A2255" s="4" t="s">
        <v>2332</v>
      </c>
      <c r="B2255" s="16" t="s">
        <v>2168</v>
      </c>
      <c r="C2255" s="17" t="s">
        <v>2164</v>
      </c>
      <c r="D2255" s="21">
        <v>127000</v>
      </c>
      <c r="E2255" s="4">
        <v>0</v>
      </c>
      <c r="F2255" s="4">
        <v>4</v>
      </c>
      <c r="G2255" s="4">
        <v>2</v>
      </c>
      <c r="H2255" s="10">
        <v>1556</v>
      </c>
      <c r="I2255" s="5">
        <f t="shared" si="70"/>
        <v>81.61953727506426</v>
      </c>
      <c r="J2255" s="3" t="str">
        <f t="shared" si="71"/>
        <v>Low</v>
      </c>
    </row>
    <row r="2256" spans="1:10">
      <c r="A2256" s="7" t="s">
        <v>2333</v>
      </c>
      <c r="B2256" s="18" t="s">
        <v>2173</v>
      </c>
      <c r="C2256" s="19" t="s">
        <v>2164</v>
      </c>
      <c r="D2256" s="22">
        <v>127500</v>
      </c>
      <c r="E2256" s="7">
        <v>28</v>
      </c>
      <c r="F2256" s="7">
        <v>2</v>
      </c>
      <c r="G2256" s="7">
        <v>1</v>
      </c>
      <c r="H2256" s="7">
        <v>891</v>
      </c>
      <c r="I2256" s="8">
        <f t="shared" si="70"/>
        <v>143.0976430976431</v>
      </c>
      <c r="J2256" s="3" t="str">
        <f t="shared" si="71"/>
        <v>Low</v>
      </c>
    </row>
    <row r="2257" spans="1:10">
      <c r="A2257" s="4" t="s">
        <v>2334</v>
      </c>
      <c r="B2257" s="16" t="s">
        <v>2335</v>
      </c>
      <c r="C2257" s="17" t="s">
        <v>2164</v>
      </c>
      <c r="D2257" s="21">
        <v>127500</v>
      </c>
      <c r="E2257" s="4">
        <v>62</v>
      </c>
      <c r="F2257" s="4">
        <v>3</v>
      </c>
      <c r="G2257" s="4">
        <v>1.1000000000000001</v>
      </c>
      <c r="H2257" s="10">
        <v>1696</v>
      </c>
      <c r="I2257" s="5">
        <f t="shared" si="70"/>
        <v>75.176886792452834</v>
      </c>
      <c r="J2257" s="3" t="str">
        <f t="shared" si="71"/>
        <v>Low</v>
      </c>
    </row>
    <row r="2258" spans="1:10">
      <c r="A2258" s="7" t="s">
        <v>2336</v>
      </c>
      <c r="B2258" s="18" t="s">
        <v>2173</v>
      </c>
      <c r="C2258" s="19" t="s">
        <v>2164</v>
      </c>
      <c r="D2258" s="22">
        <v>128000</v>
      </c>
      <c r="E2258" s="7">
        <v>28</v>
      </c>
      <c r="F2258" s="7">
        <v>3</v>
      </c>
      <c r="G2258" s="7">
        <v>1</v>
      </c>
      <c r="H2258" s="7">
        <v>985</v>
      </c>
      <c r="I2258" s="8">
        <f t="shared" si="70"/>
        <v>129.94923857868019</v>
      </c>
      <c r="J2258" s="3" t="str">
        <f t="shared" si="71"/>
        <v>Low</v>
      </c>
    </row>
    <row r="2259" spans="1:10">
      <c r="A2259" s="4" t="s">
        <v>2337</v>
      </c>
      <c r="B2259" s="16" t="s">
        <v>2171</v>
      </c>
      <c r="C2259" s="17" t="s">
        <v>2164</v>
      </c>
      <c r="D2259" s="21">
        <v>129900</v>
      </c>
      <c r="E2259" s="4">
        <v>16</v>
      </c>
      <c r="F2259" s="4">
        <v>3</v>
      </c>
      <c r="G2259" s="4">
        <v>1</v>
      </c>
      <c r="H2259" s="10">
        <v>1255</v>
      </c>
      <c r="I2259" s="5">
        <f t="shared" si="70"/>
        <v>103.50597609561753</v>
      </c>
      <c r="J2259" s="3" t="str">
        <f t="shared" si="71"/>
        <v>Low</v>
      </c>
    </row>
    <row r="2260" spans="1:10">
      <c r="A2260" s="7" t="s">
        <v>2338</v>
      </c>
      <c r="B2260" s="18" t="s">
        <v>2168</v>
      </c>
      <c r="C2260" s="19" t="s">
        <v>2164</v>
      </c>
      <c r="D2260" s="22">
        <v>129900</v>
      </c>
      <c r="E2260" s="7">
        <v>54</v>
      </c>
      <c r="F2260" s="7">
        <v>3</v>
      </c>
      <c r="G2260" s="7">
        <v>1</v>
      </c>
      <c r="H2260" s="7">
        <v>910</v>
      </c>
      <c r="I2260" s="8">
        <f t="shared" si="70"/>
        <v>142.74725274725276</v>
      </c>
      <c r="J2260" s="3" t="str">
        <f t="shared" si="71"/>
        <v>Low</v>
      </c>
    </row>
    <row r="2261" spans="1:10">
      <c r="A2261" s="4" t="s">
        <v>2339</v>
      </c>
      <c r="B2261" s="16" t="s">
        <v>2168</v>
      </c>
      <c r="C2261" s="17" t="s">
        <v>2164</v>
      </c>
      <c r="D2261" s="21">
        <v>130000</v>
      </c>
      <c r="E2261" s="4">
        <v>18</v>
      </c>
      <c r="F2261" s="4">
        <v>3</v>
      </c>
      <c r="G2261" s="4">
        <v>1</v>
      </c>
      <c r="H2261" s="10">
        <v>1044</v>
      </c>
      <c r="I2261" s="5">
        <f t="shared" si="70"/>
        <v>124.52107279693486</v>
      </c>
      <c r="J2261" s="3" t="str">
        <f t="shared" si="71"/>
        <v>Low</v>
      </c>
    </row>
    <row r="2262" spans="1:10">
      <c r="A2262" s="7" t="s">
        <v>2340</v>
      </c>
      <c r="B2262" s="18" t="s">
        <v>2166</v>
      </c>
      <c r="C2262" s="19" t="s">
        <v>2164</v>
      </c>
      <c r="D2262" s="22">
        <v>130000</v>
      </c>
      <c r="E2262" s="7">
        <v>16</v>
      </c>
      <c r="F2262" s="7">
        <v>3</v>
      </c>
      <c r="G2262" s="7">
        <v>1</v>
      </c>
      <c r="H2262" s="12">
        <v>1090</v>
      </c>
      <c r="I2262" s="8">
        <f t="shared" si="70"/>
        <v>119.26605504587155</v>
      </c>
      <c r="J2262" s="3" t="str">
        <f t="shared" si="71"/>
        <v>Low</v>
      </c>
    </row>
    <row r="2263" spans="1:10">
      <c r="A2263" s="4" t="s">
        <v>2341</v>
      </c>
      <c r="B2263" s="16" t="s">
        <v>2171</v>
      </c>
      <c r="C2263" s="17" t="s">
        <v>2164</v>
      </c>
      <c r="D2263" s="21">
        <v>130000</v>
      </c>
      <c r="E2263" s="4">
        <v>10</v>
      </c>
      <c r="F2263" s="4">
        <v>0</v>
      </c>
      <c r="G2263" s="4">
        <v>0.1</v>
      </c>
      <c r="H2263" s="10">
        <v>1284</v>
      </c>
      <c r="I2263" s="5">
        <f t="shared" si="70"/>
        <v>101.24610591900311</v>
      </c>
      <c r="J2263" s="3" t="str">
        <f t="shared" si="71"/>
        <v>Low</v>
      </c>
    </row>
    <row r="2264" spans="1:10">
      <c r="A2264" s="7" t="s">
        <v>2342</v>
      </c>
      <c r="B2264" s="18" t="s">
        <v>2168</v>
      </c>
      <c r="C2264" s="19" t="s">
        <v>2164</v>
      </c>
      <c r="D2264" s="22">
        <v>130000</v>
      </c>
      <c r="E2264" s="7">
        <v>39</v>
      </c>
      <c r="F2264" s="7">
        <v>3</v>
      </c>
      <c r="G2264" s="7">
        <v>1</v>
      </c>
      <c r="H2264" s="7">
        <v>853</v>
      </c>
      <c r="I2264" s="8">
        <f t="shared" si="70"/>
        <v>152.40328253223916</v>
      </c>
      <c r="J2264" s="3" t="str">
        <f t="shared" si="71"/>
        <v>Low</v>
      </c>
    </row>
    <row r="2265" spans="1:10">
      <c r="A2265" s="4" t="s">
        <v>2343</v>
      </c>
      <c r="B2265" s="16" t="s">
        <v>2168</v>
      </c>
      <c r="C2265" s="17" t="s">
        <v>2164</v>
      </c>
      <c r="D2265" s="21">
        <v>130000</v>
      </c>
      <c r="E2265" s="4">
        <v>44</v>
      </c>
      <c r="F2265" s="4">
        <v>3</v>
      </c>
      <c r="G2265" s="4">
        <v>1</v>
      </c>
      <c r="H2265" s="4">
        <v>908</v>
      </c>
      <c r="I2265" s="5">
        <f t="shared" si="70"/>
        <v>143.17180616740089</v>
      </c>
      <c r="J2265" s="3" t="str">
        <f t="shared" si="71"/>
        <v>Low</v>
      </c>
    </row>
    <row r="2266" spans="1:10">
      <c r="A2266" s="7" t="s">
        <v>2344</v>
      </c>
      <c r="B2266" s="18" t="s">
        <v>2171</v>
      </c>
      <c r="C2266" s="19" t="s">
        <v>2164</v>
      </c>
      <c r="D2266" s="22">
        <v>130000</v>
      </c>
      <c r="E2266" s="7">
        <v>76</v>
      </c>
      <c r="F2266" s="7">
        <v>3</v>
      </c>
      <c r="G2266" s="7">
        <v>1</v>
      </c>
      <c r="H2266" s="12">
        <v>1284</v>
      </c>
      <c r="I2266" s="8">
        <f t="shared" si="70"/>
        <v>101.24610591900311</v>
      </c>
      <c r="J2266" s="3" t="str">
        <f t="shared" si="71"/>
        <v>Low</v>
      </c>
    </row>
    <row r="2267" spans="1:10">
      <c r="A2267" s="4" t="s">
        <v>2345</v>
      </c>
      <c r="B2267" s="16" t="s">
        <v>2173</v>
      </c>
      <c r="C2267" s="17" t="s">
        <v>2164</v>
      </c>
      <c r="D2267" s="21">
        <v>130000</v>
      </c>
      <c r="E2267" s="4">
        <v>66</v>
      </c>
      <c r="F2267" s="4">
        <v>3</v>
      </c>
      <c r="G2267" s="4">
        <v>1.1000000000000001</v>
      </c>
      <c r="H2267" s="10">
        <v>1398</v>
      </c>
      <c r="I2267" s="5">
        <f t="shared" si="70"/>
        <v>92.989985693848354</v>
      </c>
      <c r="J2267" s="3" t="str">
        <f t="shared" si="71"/>
        <v>Low</v>
      </c>
    </row>
    <row r="2268" spans="1:10">
      <c r="A2268" s="7" t="s">
        <v>2346</v>
      </c>
      <c r="B2268" s="18" t="s">
        <v>2173</v>
      </c>
      <c r="C2268" s="19" t="s">
        <v>2164</v>
      </c>
      <c r="D2268" s="22">
        <v>130000</v>
      </c>
      <c r="E2268" s="7">
        <v>182</v>
      </c>
      <c r="F2268" s="7">
        <v>3</v>
      </c>
      <c r="G2268" s="7">
        <v>1</v>
      </c>
      <c r="H2268" s="12">
        <v>1041</v>
      </c>
      <c r="I2268" s="8">
        <f t="shared" si="70"/>
        <v>124.87992315081652</v>
      </c>
      <c r="J2268" s="3" t="str">
        <f t="shared" si="71"/>
        <v>Low</v>
      </c>
    </row>
    <row r="2269" spans="1:10">
      <c r="A2269" s="4" t="s">
        <v>2347</v>
      </c>
      <c r="B2269" s="16" t="s">
        <v>2168</v>
      </c>
      <c r="C2269" s="17" t="s">
        <v>2164</v>
      </c>
      <c r="D2269" s="21">
        <v>131000</v>
      </c>
      <c r="E2269" s="4">
        <v>5</v>
      </c>
      <c r="F2269" s="4">
        <v>4</v>
      </c>
      <c r="G2269" s="4">
        <v>1.1000000000000001</v>
      </c>
      <c r="H2269" s="10">
        <v>1360</v>
      </c>
      <c r="I2269" s="5">
        <f t="shared" si="70"/>
        <v>96.32352941176471</v>
      </c>
      <c r="J2269" s="3" t="str">
        <f t="shared" si="71"/>
        <v>Low</v>
      </c>
    </row>
    <row r="2270" spans="1:10">
      <c r="A2270" s="7" t="s">
        <v>2348</v>
      </c>
      <c r="B2270" s="18" t="s">
        <v>2171</v>
      </c>
      <c r="C2270" s="19" t="s">
        <v>2164</v>
      </c>
      <c r="D2270" s="22">
        <v>131000</v>
      </c>
      <c r="E2270" s="7">
        <v>3</v>
      </c>
      <c r="F2270" s="7">
        <v>2</v>
      </c>
      <c r="G2270" s="7">
        <v>1</v>
      </c>
      <c r="H2270" s="7">
        <v>728</v>
      </c>
      <c r="I2270" s="8">
        <f t="shared" si="70"/>
        <v>179.94505494505495</v>
      </c>
      <c r="J2270" s="3" t="str">
        <f t="shared" si="71"/>
        <v>Low</v>
      </c>
    </row>
    <row r="2271" spans="1:10">
      <c r="A2271" s="4" t="s">
        <v>2349</v>
      </c>
      <c r="B2271" s="16" t="s">
        <v>2166</v>
      </c>
      <c r="C2271" s="17" t="s">
        <v>2164</v>
      </c>
      <c r="D2271" s="21">
        <v>132000</v>
      </c>
      <c r="E2271" s="4">
        <v>74</v>
      </c>
      <c r="F2271" s="4">
        <v>3</v>
      </c>
      <c r="G2271" s="4">
        <v>1</v>
      </c>
      <c r="H2271" s="4">
        <v>924</v>
      </c>
      <c r="I2271" s="5">
        <f t="shared" si="70"/>
        <v>142.85714285714286</v>
      </c>
      <c r="J2271" s="3" t="str">
        <f t="shared" si="71"/>
        <v>Low</v>
      </c>
    </row>
    <row r="2272" spans="1:10">
      <c r="A2272" s="7" t="s">
        <v>2350</v>
      </c>
      <c r="B2272" s="18" t="s">
        <v>2168</v>
      </c>
      <c r="C2272" s="19" t="s">
        <v>2164</v>
      </c>
      <c r="D2272" s="22">
        <v>133000</v>
      </c>
      <c r="E2272" s="7">
        <v>18</v>
      </c>
      <c r="F2272" s="7">
        <v>3</v>
      </c>
      <c r="G2272" s="7">
        <v>1</v>
      </c>
      <c r="H2272" s="7">
        <v>902</v>
      </c>
      <c r="I2272" s="8">
        <f t="shared" si="70"/>
        <v>147.450110864745</v>
      </c>
      <c r="J2272" s="3" t="str">
        <f t="shared" si="71"/>
        <v>Low</v>
      </c>
    </row>
    <row r="2273" spans="1:10">
      <c r="A2273" s="4" t="s">
        <v>2351</v>
      </c>
      <c r="B2273" s="16" t="s">
        <v>2252</v>
      </c>
      <c r="C2273" s="17" t="s">
        <v>2164</v>
      </c>
      <c r="D2273" s="21">
        <v>133000</v>
      </c>
      <c r="E2273" s="4">
        <v>13</v>
      </c>
      <c r="F2273" s="4">
        <v>3</v>
      </c>
      <c r="G2273" s="4">
        <v>1</v>
      </c>
      <c r="H2273" s="10">
        <v>1014</v>
      </c>
      <c r="I2273" s="5">
        <f t="shared" si="70"/>
        <v>131.16370808678502</v>
      </c>
      <c r="J2273" s="3" t="str">
        <f t="shared" si="71"/>
        <v>Low</v>
      </c>
    </row>
    <row r="2274" spans="1:10">
      <c r="A2274" s="7" t="s">
        <v>2352</v>
      </c>
      <c r="B2274" s="18" t="s">
        <v>2168</v>
      </c>
      <c r="C2274" s="19" t="s">
        <v>2164</v>
      </c>
      <c r="D2274" s="22">
        <v>134000</v>
      </c>
      <c r="E2274" s="7">
        <v>16</v>
      </c>
      <c r="F2274" s="7">
        <v>2</v>
      </c>
      <c r="G2274" s="7">
        <v>1</v>
      </c>
      <c r="H2274" s="7">
        <v>900</v>
      </c>
      <c r="I2274" s="8">
        <f t="shared" si="70"/>
        <v>148.88888888888889</v>
      </c>
      <c r="J2274" s="3" t="str">
        <f t="shared" si="71"/>
        <v>Low</v>
      </c>
    </row>
    <row r="2275" spans="1:10">
      <c r="A2275" s="4" t="s">
        <v>2353</v>
      </c>
      <c r="B2275" s="16" t="s">
        <v>2173</v>
      </c>
      <c r="C2275" s="17" t="s">
        <v>2164</v>
      </c>
      <c r="D2275" s="21">
        <v>134000</v>
      </c>
      <c r="E2275" s="4">
        <v>11</v>
      </c>
      <c r="F2275" s="4">
        <v>3</v>
      </c>
      <c r="G2275" s="4">
        <v>1</v>
      </c>
      <c r="H2275" s="10">
        <v>1251</v>
      </c>
      <c r="I2275" s="5">
        <f t="shared" si="70"/>
        <v>107.11430855315747</v>
      </c>
      <c r="J2275" s="3" t="str">
        <f t="shared" si="71"/>
        <v>Low</v>
      </c>
    </row>
    <row r="2276" spans="1:10">
      <c r="A2276" s="7" t="s">
        <v>2354</v>
      </c>
      <c r="B2276" s="18" t="s">
        <v>2168</v>
      </c>
      <c r="C2276" s="19" t="s">
        <v>2164</v>
      </c>
      <c r="D2276" s="22">
        <v>134800</v>
      </c>
      <c r="E2276" s="7">
        <v>29</v>
      </c>
      <c r="F2276" s="7">
        <v>3</v>
      </c>
      <c r="G2276" s="7">
        <v>1</v>
      </c>
      <c r="H2276" s="12">
        <v>1085</v>
      </c>
      <c r="I2276" s="8">
        <f t="shared" si="70"/>
        <v>124.23963133640552</v>
      </c>
      <c r="J2276" s="3" t="str">
        <f t="shared" si="71"/>
        <v>Low</v>
      </c>
    </row>
    <row r="2277" spans="1:10">
      <c r="A2277" s="4" t="s">
        <v>2355</v>
      </c>
      <c r="B2277" s="16" t="s">
        <v>2166</v>
      </c>
      <c r="C2277" s="17" t="s">
        <v>2164</v>
      </c>
      <c r="D2277" s="21">
        <v>135000</v>
      </c>
      <c r="E2277" s="4">
        <v>3</v>
      </c>
      <c r="F2277" s="4">
        <v>2</v>
      </c>
      <c r="G2277" s="4">
        <v>1</v>
      </c>
      <c r="H2277" s="10">
        <v>1102</v>
      </c>
      <c r="I2277" s="5">
        <f t="shared" si="70"/>
        <v>122.50453720508168</v>
      </c>
      <c r="J2277" s="3" t="str">
        <f t="shared" si="71"/>
        <v>Low</v>
      </c>
    </row>
    <row r="2278" spans="1:10">
      <c r="A2278" s="7" t="s">
        <v>2356</v>
      </c>
      <c r="B2278" s="18" t="s">
        <v>2168</v>
      </c>
      <c r="C2278" s="19" t="s">
        <v>2164</v>
      </c>
      <c r="D2278" s="22">
        <v>135000</v>
      </c>
      <c r="E2278" s="7">
        <v>16</v>
      </c>
      <c r="F2278" s="7">
        <v>2</v>
      </c>
      <c r="G2278" s="7">
        <v>1</v>
      </c>
      <c r="H2278" s="7">
        <v>900</v>
      </c>
      <c r="I2278" s="8">
        <f t="shared" si="70"/>
        <v>150</v>
      </c>
      <c r="J2278" s="3" t="str">
        <f t="shared" si="71"/>
        <v>Low</v>
      </c>
    </row>
    <row r="2279" spans="1:10">
      <c r="A2279" s="4" t="s">
        <v>2357</v>
      </c>
      <c r="B2279" s="16" t="s">
        <v>2166</v>
      </c>
      <c r="C2279" s="17" t="s">
        <v>2164</v>
      </c>
      <c r="D2279" s="21">
        <v>135000</v>
      </c>
      <c r="E2279" s="4">
        <v>18</v>
      </c>
      <c r="F2279" s="4">
        <v>3</v>
      </c>
      <c r="G2279" s="4">
        <v>1</v>
      </c>
      <c r="H2279" s="10">
        <v>1122</v>
      </c>
      <c r="I2279" s="5">
        <f t="shared" si="70"/>
        <v>120.32085561497327</v>
      </c>
      <c r="J2279" s="3" t="str">
        <f t="shared" si="71"/>
        <v>Low</v>
      </c>
    </row>
    <row r="2280" spans="1:10">
      <c r="A2280" s="7" t="s">
        <v>2358</v>
      </c>
      <c r="B2280" s="18" t="s">
        <v>2210</v>
      </c>
      <c r="C2280" s="19" t="s">
        <v>2164</v>
      </c>
      <c r="D2280" s="22">
        <v>135000</v>
      </c>
      <c r="E2280" s="7">
        <v>67</v>
      </c>
      <c r="F2280" s="7">
        <v>3</v>
      </c>
      <c r="G2280" s="7">
        <v>1</v>
      </c>
      <c r="H2280" s="12">
        <v>1125</v>
      </c>
      <c r="I2280" s="8">
        <f t="shared" si="70"/>
        <v>120</v>
      </c>
      <c r="J2280" s="3" t="str">
        <f t="shared" si="71"/>
        <v>Low</v>
      </c>
    </row>
    <row r="2281" spans="1:10">
      <c r="A2281" s="4" t="s">
        <v>2359</v>
      </c>
      <c r="B2281" s="16" t="s">
        <v>2168</v>
      </c>
      <c r="C2281" s="17" t="s">
        <v>2164</v>
      </c>
      <c r="D2281" s="21">
        <v>135000</v>
      </c>
      <c r="E2281" s="4">
        <v>4</v>
      </c>
      <c r="F2281" s="4">
        <v>3</v>
      </c>
      <c r="G2281" s="4">
        <v>1</v>
      </c>
      <c r="H2281" s="4">
        <v>888</v>
      </c>
      <c r="I2281" s="5">
        <f t="shared" si="70"/>
        <v>152.02702702702703</v>
      </c>
      <c r="J2281" s="3" t="str">
        <f t="shared" si="71"/>
        <v>Low</v>
      </c>
    </row>
    <row r="2282" spans="1:10">
      <c r="A2282" s="7" t="s">
        <v>2360</v>
      </c>
      <c r="B2282" s="18" t="s">
        <v>2173</v>
      </c>
      <c r="C2282" s="19" t="s">
        <v>2164</v>
      </c>
      <c r="D2282" s="22">
        <v>135000</v>
      </c>
      <c r="E2282" s="7">
        <v>31</v>
      </c>
      <c r="F2282" s="7">
        <v>0</v>
      </c>
      <c r="G2282" s="7">
        <v>0.1</v>
      </c>
      <c r="H2282" s="12">
        <v>1192</v>
      </c>
      <c r="I2282" s="8">
        <f t="shared" si="70"/>
        <v>113.25503355704699</v>
      </c>
      <c r="J2282" s="3" t="str">
        <f t="shared" si="71"/>
        <v>Low</v>
      </c>
    </row>
    <row r="2283" spans="1:10">
      <c r="A2283" s="4" t="s">
        <v>2361</v>
      </c>
      <c r="B2283" s="16" t="s">
        <v>2173</v>
      </c>
      <c r="C2283" s="17" t="s">
        <v>2164</v>
      </c>
      <c r="D2283" s="21">
        <v>135000</v>
      </c>
      <c r="E2283" s="4">
        <v>3</v>
      </c>
      <c r="F2283" s="4">
        <v>2</v>
      </c>
      <c r="G2283" s="4">
        <v>1.1000000000000001</v>
      </c>
      <c r="H2283" s="4">
        <v>936</v>
      </c>
      <c r="I2283" s="5">
        <f t="shared" si="70"/>
        <v>144.23076923076923</v>
      </c>
      <c r="J2283" s="3" t="str">
        <f t="shared" si="71"/>
        <v>Low</v>
      </c>
    </row>
    <row r="2284" spans="1:10">
      <c r="A2284" s="7" t="s">
        <v>2362</v>
      </c>
      <c r="B2284" s="18" t="s">
        <v>2168</v>
      </c>
      <c r="C2284" s="19" t="s">
        <v>2164</v>
      </c>
      <c r="D2284" s="22">
        <v>135000</v>
      </c>
      <c r="E2284" s="7">
        <v>43</v>
      </c>
      <c r="F2284" s="7">
        <v>3</v>
      </c>
      <c r="G2284" s="7">
        <v>1</v>
      </c>
      <c r="H2284" s="12">
        <v>1181</v>
      </c>
      <c r="I2284" s="8">
        <f t="shared" si="70"/>
        <v>114.30990685859442</v>
      </c>
      <c r="J2284" s="3" t="str">
        <f t="shared" si="71"/>
        <v>Low</v>
      </c>
    </row>
    <row r="2285" spans="1:10">
      <c r="A2285" s="4" t="s">
        <v>2363</v>
      </c>
      <c r="B2285" s="16" t="s">
        <v>2173</v>
      </c>
      <c r="C2285" s="17" t="s">
        <v>2164</v>
      </c>
      <c r="D2285" s="21">
        <v>135000</v>
      </c>
      <c r="E2285" s="4">
        <v>15</v>
      </c>
      <c r="F2285" s="4">
        <v>3</v>
      </c>
      <c r="G2285" s="4">
        <v>1</v>
      </c>
      <c r="H2285" s="10">
        <v>1192</v>
      </c>
      <c r="I2285" s="5">
        <f t="shared" si="70"/>
        <v>113.25503355704699</v>
      </c>
      <c r="J2285" s="3" t="str">
        <f t="shared" si="71"/>
        <v>Low</v>
      </c>
    </row>
    <row r="2286" spans="1:10">
      <c r="A2286" s="7" t="s">
        <v>2364</v>
      </c>
      <c r="B2286" s="18" t="s">
        <v>2168</v>
      </c>
      <c r="C2286" s="19" t="s">
        <v>2164</v>
      </c>
      <c r="D2286" s="22">
        <v>135000</v>
      </c>
      <c r="E2286" s="7">
        <v>61</v>
      </c>
      <c r="F2286" s="7">
        <v>2</v>
      </c>
      <c r="G2286" s="7">
        <v>1</v>
      </c>
      <c r="H2286" s="12">
        <v>1037</v>
      </c>
      <c r="I2286" s="8">
        <f t="shared" si="70"/>
        <v>130.18322082931533</v>
      </c>
      <c r="J2286" s="3" t="str">
        <f t="shared" si="71"/>
        <v>Low</v>
      </c>
    </row>
    <row r="2287" spans="1:10">
      <c r="A2287" s="4" t="s">
        <v>2365</v>
      </c>
      <c r="B2287" s="16" t="s">
        <v>2181</v>
      </c>
      <c r="C2287" s="17" t="s">
        <v>2164</v>
      </c>
      <c r="D2287" s="21">
        <v>136000</v>
      </c>
      <c r="E2287" s="4">
        <v>51</v>
      </c>
      <c r="F2287" s="4">
        <v>3</v>
      </c>
      <c r="G2287" s="4">
        <v>1</v>
      </c>
      <c r="H2287" s="4">
        <v>864</v>
      </c>
      <c r="I2287" s="5">
        <f t="shared" si="70"/>
        <v>157.40740740740742</v>
      </c>
      <c r="J2287" s="3" t="str">
        <f t="shared" si="71"/>
        <v>Low</v>
      </c>
    </row>
    <row r="2288" spans="1:10">
      <c r="A2288" s="7" t="s">
        <v>2366</v>
      </c>
      <c r="B2288" s="18" t="s">
        <v>2173</v>
      </c>
      <c r="C2288" s="19" t="s">
        <v>2164</v>
      </c>
      <c r="D2288" s="22">
        <v>137000</v>
      </c>
      <c r="E2288" s="7">
        <v>3</v>
      </c>
      <c r="F2288" s="7">
        <v>3</v>
      </c>
      <c r="G2288" s="7">
        <v>1.1000000000000001</v>
      </c>
      <c r="H2288" s="7">
        <v>955</v>
      </c>
      <c r="I2288" s="8">
        <f t="shared" si="70"/>
        <v>143.45549738219896</v>
      </c>
      <c r="J2288" s="3" t="str">
        <f t="shared" si="71"/>
        <v>Low</v>
      </c>
    </row>
    <row r="2289" spans="1:10">
      <c r="A2289" s="4" t="s">
        <v>2367</v>
      </c>
      <c r="B2289" s="16" t="s">
        <v>2166</v>
      </c>
      <c r="C2289" s="17" t="s">
        <v>2164</v>
      </c>
      <c r="D2289" s="21">
        <v>137000</v>
      </c>
      <c r="E2289" s="4">
        <v>3</v>
      </c>
      <c r="F2289" s="4">
        <v>3</v>
      </c>
      <c r="G2289" s="4">
        <v>1</v>
      </c>
      <c r="H2289" s="10">
        <v>1339</v>
      </c>
      <c r="I2289" s="5">
        <f t="shared" si="70"/>
        <v>102.31516056758775</v>
      </c>
      <c r="J2289" s="3" t="str">
        <f t="shared" si="71"/>
        <v>Low</v>
      </c>
    </row>
    <row r="2290" spans="1:10">
      <c r="A2290" s="7" t="s">
        <v>2368</v>
      </c>
      <c r="B2290" s="18" t="s">
        <v>2166</v>
      </c>
      <c r="C2290" s="19" t="s">
        <v>2164</v>
      </c>
      <c r="D2290" s="22">
        <v>138000</v>
      </c>
      <c r="E2290" s="7">
        <v>7</v>
      </c>
      <c r="F2290" s="7">
        <v>3</v>
      </c>
      <c r="G2290" s="7">
        <v>1</v>
      </c>
      <c r="H2290" s="12">
        <v>1135</v>
      </c>
      <c r="I2290" s="8">
        <f t="shared" si="70"/>
        <v>121.58590308370044</v>
      </c>
      <c r="J2290" s="3" t="str">
        <f t="shared" si="71"/>
        <v>Low</v>
      </c>
    </row>
    <row r="2291" spans="1:10">
      <c r="A2291" s="4" t="s">
        <v>2369</v>
      </c>
      <c r="B2291" s="16" t="s">
        <v>2173</v>
      </c>
      <c r="C2291" s="17" t="s">
        <v>2164</v>
      </c>
      <c r="D2291" s="21">
        <v>138000</v>
      </c>
      <c r="E2291" s="4">
        <v>57</v>
      </c>
      <c r="F2291" s="4">
        <v>2</v>
      </c>
      <c r="G2291" s="4">
        <v>1</v>
      </c>
      <c r="H2291" s="4">
        <v>905</v>
      </c>
      <c r="I2291" s="5">
        <f t="shared" si="70"/>
        <v>152.48618784530387</v>
      </c>
      <c r="J2291" s="3" t="str">
        <f t="shared" si="71"/>
        <v>Low</v>
      </c>
    </row>
    <row r="2292" spans="1:10">
      <c r="A2292" s="7" t="s">
        <v>2370</v>
      </c>
      <c r="B2292" s="18" t="s">
        <v>2166</v>
      </c>
      <c r="C2292" s="19" t="s">
        <v>2164</v>
      </c>
      <c r="D2292" s="22">
        <v>138000</v>
      </c>
      <c r="E2292" s="7">
        <v>100</v>
      </c>
      <c r="F2292" s="7">
        <v>3</v>
      </c>
      <c r="G2292" s="7">
        <v>1</v>
      </c>
      <c r="H2292" s="7">
        <v>960</v>
      </c>
      <c r="I2292" s="8">
        <f t="shared" si="70"/>
        <v>143.75</v>
      </c>
      <c r="J2292" s="3" t="str">
        <f t="shared" si="71"/>
        <v>Low</v>
      </c>
    </row>
    <row r="2293" spans="1:10">
      <c r="A2293" s="4" t="s">
        <v>2371</v>
      </c>
      <c r="B2293" s="16" t="s">
        <v>2171</v>
      </c>
      <c r="C2293" s="17" t="s">
        <v>2164</v>
      </c>
      <c r="D2293" s="21">
        <v>139500</v>
      </c>
      <c r="E2293" s="4">
        <v>17</v>
      </c>
      <c r="F2293" s="4">
        <v>2</v>
      </c>
      <c r="G2293" s="4">
        <v>1</v>
      </c>
      <c r="H2293" s="4">
        <v>864</v>
      </c>
      <c r="I2293" s="5">
        <f t="shared" si="70"/>
        <v>161.45833333333334</v>
      </c>
      <c r="J2293" s="3" t="str">
        <f t="shared" si="71"/>
        <v>Low</v>
      </c>
    </row>
    <row r="2294" spans="1:10">
      <c r="A2294" s="7" t="s">
        <v>2372</v>
      </c>
      <c r="B2294" s="18" t="s">
        <v>2166</v>
      </c>
      <c r="C2294" s="19" t="s">
        <v>2164</v>
      </c>
      <c r="D2294" s="22">
        <v>140000</v>
      </c>
      <c r="E2294" s="7">
        <v>3</v>
      </c>
      <c r="F2294" s="7">
        <v>3</v>
      </c>
      <c r="G2294" s="7">
        <v>1</v>
      </c>
      <c r="H2294" s="7">
        <v>960</v>
      </c>
      <c r="I2294" s="8">
        <f t="shared" si="70"/>
        <v>145.83333333333334</v>
      </c>
      <c r="J2294" s="3" t="str">
        <f t="shared" si="71"/>
        <v>Low</v>
      </c>
    </row>
    <row r="2295" spans="1:10">
      <c r="A2295" s="4" t="s">
        <v>2373</v>
      </c>
      <c r="B2295" s="16" t="s">
        <v>2173</v>
      </c>
      <c r="C2295" s="17" t="s">
        <v>2164</v>
      </c>
      <c r="D2295" s="21">
        <v>140000</v>
      </c>
      <c r="E2295" s="4">
        <v>6</v>
      </c>
      <c r="F2295" s="4">
        <v>3</v>
      </c>
      <c r="G2295" s="4">
        <v>2</v>
      </c>
      <c r="H2295" s="10">
        <v>1150</v>
      </c>
      <c r="I2295" s="5">
        <f t="shared" si="70"/>
        <v>121.73913043478261</v>
      </c>
      <c r="J2295" s="3" t="str">
        <f t="shared" si="71"/>
        <v>Low</v>
      </c>
    </row>
    <row r="2296" spans="1:10">
      <c r="A2296" s="7" t="s">
        <v>2374</v>
      </c>
      <c r="B2296" s="18" t="s">
        <v>2173</v>
      </c>
      <c r="C2296" s="19" t="s">
        <v>2164</v>
      </c>
      <c r="D2296" s="22">
        <v>140000</v>
      </c>
      <c r="E2296" s="7">
        <v>2</v>
      </c>
      <c r="F2296" s="7">
        <v>4</v>
      </c>
      <c r="G2296" s="7">
        <v>2.1</v>
      </c>
      <c r="H2296" s="12">
        <v>1953</v>
      </c>
      <c r="I2296" s="8">
        <f t="shared" si="70"/>
        <v>71.68458781362007</v>
      </c>
      <c r="J2296" s="3" t="str">
        <f t="shared" si="71"/>
        <v>Low</v>
      </c>
    </row>
    <row r="2297" spans="1:10">
      <c r="A2297" s="4" t="s">
        <v>2375</v>
      </c>
      <c r="B2297" s="16" t="s">
        <v>2168</v>
      </c>
      <c r="C2297" s="17" t="s">
        <v>2164</v>
      </c>
      <c r="D2297" s="21">
        <v>140000</v>
      </c>
      <c r="E2297" s="4">
        <v>10</v>
      </c>
      <c r="F2297" s="4">
        <v>3</v>
      </c>
      <c r="G2297" s="4">
        <v>1</v>
      </c>
      <c r="H2297" s="10">
        <v>1000</v>
      </c>
      <c r="I2297" s="5">
        <f t="shared" si="70"/>
        <v>140</v>
      </c>
      <c r="J2297" s="3" t="str">
        <f t="shared" si="71"/>
        <v>Low</v>
      </c>
    </row>
    <row r="2298" spans="1:10">
      <c r="A2298" s="7" t="s">
        <v>2376</v>
      </c>
      <c r="B2298" s="18" t="s">
        <v>2181</v>
      </c>
      <c r="C2298" s="19" t="s">
        <v>2164</v>
      </c>
      <c r="D2298" s="22">
        <v>140000</v>
      </c>
      <c r="E2298" s="7">
        <v>4</v>
      </c>
      <c r="F2298" s="7">
        <v>3</v>
      </c>
      <c r="G2298" s="7">
        <v>1.1000000000000001</v>
      </c>
      <c r="H2298" s="12">
        <v>1564</v>
      </c>
      <c r="I2298" s="8">
        <f t="shared" si="70"/>
        <v>89.514066496163679</v>
      </c>
      <c r="J2298" s="3" t="str">
        <f t="shared" si="71"/>
        <v>Low</v>
      </c>
    </row>
    <row r="2299" spans="1:10">
      <c r="A2299" s="4" t="s">
        <v>2377</v>
      </c>
      <c r="B2299" s="16" t="s">
        <v>2173</v>
      </c>
      <c r="C2299" s="17" t="s">
        <v>2164</v>
      </c>
      <c r="D2299" s="21">
        <v>140000</v>
      </c>
      <c r="E2299" s="4">
        <v>36</v>
      </c>
      <c r="F2299" s="4">
        <v>3</v>
      </c>
      <c r="G2299" s="4">
        <v>1</v>
      </c>
      <c r="H2299" s="4">
        <v>972</v>
      </c>
      <c r="I2299" s="5">
        <f t="shared" si="70"/>
        <v>144.03292181069958</v>
      </c>
      <c r="J2299" s="3" t="str">
        <f t="shared" si="71"/>
        <v>Low</v>
      </c>
    </row>
    <row r="2300" spans="1:10">
      <c r="A2300" s="7" t="s">
        <v>2378</v>
      </c>
      <c r="B2300" s="18" t="s">
        <v>2168</v>
      </c>
      <c r="C2300" s="19" t="s">
        <v>2164</v>
      </c>
      <c r="D2300" s="22">
        <v>141000</v>
      </c>
      <c r="E2300" s="7">
        <v>6</v>
      </c>
      <c r="F2300" s="7">
        <v>2</v>
      </c>
      <c r="G2300" s="7">
        <v>1</v>
      </c>
      <c r="H2300" s="7">
        <v>720</v>
      </c>
      <c r="I2300" s="8">
        <f t="shared" si="70"/>
        <v>195.83333333333334</v>
      </c>
      <c r="J2300" s="3" t="str">
        <f t="shared" si="71"/>
        <v>Low</v>
      </c>
    </row>
    <row r="2301" spans="1:10">
      <c r="A2301" s="4" t="s">
        <v>2379</v>
      </c>
      <c r="B2301" s="16" t="s">
        <v>2168</v>
      </c>
      <c r="C2301" s="17" t="s">
        <v>2164</v>
      </c>
      <c r="D2301" s="21">
        <v>141000</v>
      </c>
      <c r="E2301" s="4">
        <v>69</v>
      </c>
      <c r="F2301" s="4">
        <v>3</v>
      </c>
      <c r="G2301" s="4">
        <v>1</v>
      </c>
      <c r="H2301" s="10">
        <v>1275</v>
      </c>
      <c r="I2301" s="5">
        <f t="shared" si="70"/>
        <v>110.58823529411765</v>
      </c>
      <c r="J2301" s="3" t="str">
        <f t="shared" si="71"/>
        <v>Low</v>
      </c>
    </row>
    <row r="2302" spans="1:10">
      <c r="A2302" s="7" t="s">
        <v>2380</v>
      </c>
      <c r="B2302" s="18" t="s">
        <v>2166</v>
      </c>
      <c r="C2302" s="19" t="s">
        <v>2164</v>
      </c>
      <c r="D2302" s="22">
        <v>141500</v>
      </c>
      <c r="E2302" s="7">
        <v>24</v>
      </c>
      <c r="F2302" s="7">
        <v>3</v>
      </c>
      <c r="G2302" s="7">
        <v>1</v>
      </c>
      <c r="H2302" s="7">
        <v>960</v>
      </c>
      <c r="I2302" s="8">
        <f t="shared" si="70"/>
        <v>147.39583333333334</v>
      </c>
      <c r="J2302" s="3" t="str">
        <f t="shared" si="71"/>
        <v>Low</v>
      </c>
    </row>
    <row r="2303" spans="1:10">
      <c r="A2303" s="4" t="s">
        <v>2381</v>
      </c>
      <c r="B2303" s="16" t="s">
        <v>2168</v>
      </c>
      <c r="C2303" s="17" t="s">
        <v>2164</v>
      </c>
      <c r="D2303" s="21">
        <v>142500</v>
      </c>
      <c r="E2303" s="4">
        <v>5</v>
      </c>
      <c r="F2303" s="4">
        <v>3</v>
      </c>
      <c r="G2303" s="4">
        <v>1</v>
      </c>
      <c r="H2303" s="10">
        <v>1107</v>
      </c>
      <c r="I2303" s="5">
        <f t="shared" si="70"/>
        <v>128.72628726287263</v>
      </c>
      <c r="J2303" s="3" t="str">
        <f t="shared" si="71"/>
        <v>Low</v>
      </c>
    </row>
    <row r="2304" spans="1:10">
      <c r="A2304" s="7" t="s">
        <v>2382</v>
      </c>
      <c r="B2304" s="18" t="s">
        <v>2173</v>
      </c>
      <c r="C2304" s="19" t="s">
        <v>2164</v>
      </c>
      <c r="D2304" s="22">
        <v>143000</v>
      </c>
      <c r="E2304" s="7">
        <v>4</v>
      </c>
      <c r="F2304" s="7">
        <v>3</v>
      </c>
      <c r="G2304" s="7">
        <v>1.1000000000000001</v>
      </c>
      <c r="H2304" s="12">
        <v>1224</v>
      </c>
      <c r="I2304" s="8">
        <f t="shared" si="70"/>
        <v>116.83006535947712</v>
      </c>
      <c r="J2304" s="3" t="str">
        <f t="shared" si="71"/>
        <v>Low</v>
      </c>
    </row>
    <row r="2305" spans="1:10">
      <c r="A2305" s="4" t="s">
        <v>2383</v>
      </c>
      <c r="B2305" s="16" t="s">
        <v>2227</v>
      </c>
      <c r="C2305" s="17" t="s">
        <v>2164</v>
      </c>
      <c r="D2305" s="21">
        <v>143000</v>
      </c>
      <c r="E2305" s="4">
        <v>47</v>
      </c>
      <c r="F2305" s="4">
        <v>2</v>
      </c>
      <c r="G2305" s="4">
        <v>1.1000000000000001</v>
      </c>
      <c r="H2305" s="4">
        <v>936</v>
      </c>
      <c r="I2305" s="5">
        <f t="shared" si="70"/>
        <v>152.77777777777777</v>
      </c>
      <c r="J2305" s="3" t="str">
        <f t="shared" si="71"/>
        <v>Low</v>
      </c>
    </row>
    <row r="2306" spans="1:10">
      <c r="A2306" s="7" t="s">
        <v>2384</v>
      </c>
      <c r="B2306" s="18" t="s">
        <v>2168</v>
      </c>
      <c r="C2306" s="19" t="s">
        <v>2164</v>
      </c>
      <c r="D2306" s="22">
        <v>143500</v>
      </c>
      <c r="E2306" s="7">
        <v>9</v>
      </c>
      <c r="F2306" s="7">
        <v>3</v>
      </c>
      <c r="G2306" s="7">
        <v>2</v>
      </c>
      <c r="H2306" s="12">
        <v>1087</v>
      </c>
      <c r="I2306" s="8">
        <f t="shared" ref="I2306:I2369" si="72">D2306/H2306</f>
        <v>132.01471941122355</v>
      </c>
      <c r="J2306" s="3" t="str">
        <f t="shared" ref="J2306:J2369" si="73">IF(I2306 &gt; 300, "High", IF(AND(I2306 &lt;= 300, I2306 &gt; 200), "Medium", "Low"))</f>
        <v>Low</v>
      </c>
    </row>
    <row r="2307" spans="1:10">
      <c r="A2307" s="4" t="s">
        <v>2385</v>
      </c>
      <c r="B2307" s="16" t="s">
        <v>2181</v>
      </c>
      <c r="C2307" s="17" t="s">
        <v>2164</v>
      </c>
      <c r="D2307" s="21">
        <v>143500</v>
      </c>
      <c r="E2307" s="4">
        <v>4</v>
      </c>
      <c r="F2307" s="4">
        <v>2</v>
      </c>
      <c r="G2307" s="4">
        <v>1</v>
      </c>
      <c r="H2307" s="4">
        <v>718</v>
      </c>
      <c r="I2307" s="5">
        <f t="shared" si="72"/>
        <v>199.86072423398329</v>
      </c>
      <c r="J2307" s="3" t="str">
        <f t="shared" si="73"/>
        <v>Low</v>
      </c>
    </row>
    <row r="2308" spans="1:10">
      <c r="A2308" s="7" t="s">
        <v>2386</v>
      </c>
      <c r="B2308" s="18" t="s">
        <v>2168</v>
      </c>
      <c r="C2308" s="19" t="s">
        <v>2164</v>
      </c>
      <c r="D2308" s="22">
        <v>144000</v>
      </c>
      <c r="E2308" s="7">
        <v>71</v>
      </c>
      <c r="F2308" s="7">
        <v>3</v>
      </c>
      <c r="G2308" s="7">
        <v>1.1000000000000001</v>
      </c>
      <c r="H2308" s="7">
        <v>859</v>
      </c>
      <c r="I2308" s="8">
        <f t="shared" si="72"/>
        <v>167.63678696158323</v>
      </c>
      <c r="J2308" s="3" t="str">
        <f t="shared" si="73"/>
        <v>Low</v>
      </c>
    </row>
    <row r="2309" spans="1:10">
      <c r="A2309" s="4" t="s">
        <v>2387</v>
      </c>
      <c r="B2309" s="16" t="s">
        <v>2168</v>
      </c>
      <c r="C2309" s="17" t="s">
        <v>2164</v>
      </c>
      <c r="D2309" s="21">
        <v>144900</v>
      </c>
      <c r="E2309" s="4">
        <v>5</v>
      </c>
      <c r="F2309" s="4">
        <v>4</v>
      </c>
      <c r="G2309" s="4">
        <v>2.1</v>
      </c>
      <c r="H2309" s="10">
        <v>1089</v>
      </c>
      <c r="I2309" s="5">
        <f t="shared" si="72"/>
        <v>133.05785123966942</v>
      </c>
      <c r="J2309" s="3" t="str">
        <f t="shared" si="73"/>
        <v>Low</v>
      </c>
    </row>
    <row r="2310" spans="1:10">
      <c r="A2310" s="7" t="s">
        <v>2388</v>
      </c>
      <c r="B2310" s="18" t="s">
        <v>2181</v>
      </c>
      <c r="C2310" s="19" t="s">
        <v>2164</v>
      </c>
      <c r="D2310" s="22">
        <v>145000</v>
      </c>
      <c r="E2310" s="7">
        <v>1</v>
      </c>
      <c r="F2310" s="7">
        <v>3</v>
      </c>
      <c r="G2310" s="7">
        <v>1</v>
      </c>
      <c r="H2310" s="12">
        <v>1008</v>
      </c>
      <c r="I2310" s="8">
        <f t="shared" si="72"/>
        <v>143.84920634920636</v>
      </c>
      <c r="J2310" s="3" t="str">
        <f t="shared" si="73"/>
        <v>Low</v>
      </c>
    </row>
    <row r="2311" spans="1:10">
      <c r="A2311" s="4" t="s">
        <v>2389</v>
      </c>
      <c r="B2311" s="16" t="s">
        <v>2166</v>
      </c>
      <c r="C2311" s="17" t="s">
        <v>2164</v>
      </c>
      <c r="D2311" s="21">
        <v>145000</v>
      </c>
      <c r="E2311" s="4">
        <v>3</v>
      </c>
      <c r="F2311" s="4">
        <v>2</v>
      </c>
      <c r="G2311" s="4">
        <v>1</v>
      </c>
      <c r="H2311" s="10">
        <v>1014</v>
      </c>
      <c r="I2311" s="5">
        <f t="shared" si="72"/>
        <v>142.99802761341223</v>
      </c>
      <c r="J2311" s="3" t="str">
        <f t="shared" si="73"/>
        <v>Low</v>
      </c>
    </row>
    <row r="2312" spans="1:10">
      <c r="A2312" s="7" t="s">
        <v>2390</v>
      </c>
      <c r="B2312" s="18" t="s">
        <v>2181</v>
      </c>
      <c r="C2312" s="19" t="s">
        <v>2164</v>
      </c>
      <c r="D2312" s="22">
        <v>145000</v>
      </c>
      <c r="E2312" s="7">
        <v>7</v>
      </c>
      <c r="F2312" s="7">
        <v>3</v>
      </c>
      <c r="G2312" s="7">
        <v>2.1</v>
      </c>
      <c r="H2312" s="12">
        <v>1103</v>
      </c>
      <c r="I2312" s="8">
        <f t="shared" si="72"/>
        <v>131.4596554850408</v>
      </c>
      <c r="J2312" s="3" t="str">
        <f t="shared" si="73"/>
        <v>Low</v>
      </c>
    </row>
    <row r="2313" spans="1:10">
      <c r="A2313" s="4" t="s">
        <v>2391</v>
      </c>
      <c r="B2313" s="16" t="s">
        <v>2166</v>
      </c>
      <c r="C2313" s="17" t="s">
        <v>2164</v>
      </c>
      <c r="D2313" s="21">
        <v>145000</v>
      </c>
      <c r="E2313" s="4">
        <v>9</v>
      </c>
      <c r="F2313" s="4">
        <v>3</v>
      </c>
      <c r="G2313" s="4">
        <v>1</v>
      </c>
      <c r="H2313" s="10">
        <v>1025</v>
      </c>
      <c r="I2313" s="5">
        <f t="shared" si="72"/>
        <v>141.46341463414635</v>
      </c>
      <c r="J2313" s="3" t="str">
        <f t="shared" si="73"/>
        <v>Low</v>
      </c>
    </row>
    <row r="2314" spans="1:10">
      <c r="A2314" s="7" t="s">
        <v>2392</v>
      </c>
      <c r="B2314" s="18" t="s">
        <v>2168</v>
      </c>
      <c r="C2314" s="19" t="s">
        <v>2164</v>
      </c>
      <c r="D2314" s="22">
        <v>145000</v>
      </c>
      <c r="E2314" s="7">
        <v>6</v>
      </c>
      <c r="F2314" s="7">
        <v>3</v>
      </c>
      <c r="G2314" s="7">
        <v>1</v>
      </c>
      <c r="H2314" s="7">
        <v>960</v>
      </c>
      <c r="I2314" s="8">
        <f t="shared" si="72"/>
        <v>151.04166666666666</v>
      </c>
      <c r="J2314" s="3" t="str">
        <f t="shared" si="73"/>
        <v>Low</v>
      </c>
    </row>
    <row r="2315" spans="1:10">
      <c r="A2315" s="4" t="s">
        <v>2393</v>
      </c>
      <c r="B2315" s="16" t="s">
        <v>2166</v>
      </c>
      <c r="C2315" s="17" t="s">
        <v>2164</v>
      </c>
      <c r="D2315" s="21">
        <v>145000</v>
      </c>
      <c r="E2315" s="4">
        <v>30</v>
      </c>
      <c r="F2315" s="4">
        <v>3</v>
      </c>
      <c r="G2315" s="4">
        <v>1.1000000000000001</v>
      </c>
      <c r="H2315" s="10">
        <v>1290</v>
      </c>
      <c r="I2315" s="5">
        <f t="shared" si="72"/>
        <v>112.40310077519379</v>
      </c>
      <c r="J2315" s="3" t="str">
        <f t="shared" si="73"/>
        <v>Low</v>
      </c>
    </row>
    <row r="2316" spans="1:10">
      <c r="A2316" s="7" t="s">
        <v>2394</v>
      </c>
      <c r="B2316" s="18" t="s">
        <v>2395</v>
      </c>
      <c r="C2316" s="19" t="s">
        <v>2164</v>
      </c>
      <c r="D2316" s="22">
        <v>145000</v>
      </c>
      <c r="E2316" s="7">
        <v>3</v>
      </c>
      <c r="F2316" s="7">
        <v>2</v>
      </c>
      <c r="G2316" s="7">
        <v>1</v>
      </c>
      <c r="H2316" s="7">
        <v>600</v>
      </c>
      <c r="I2316" s="8">
        <f t="shared" si="72"/>
        <v>241.66666666666666</v>
      </c>
      <c r="J2316" s="3" t="str">
        <f t="shared" si="73"/>
        <v>Medium</v>
      </c>
    </row>
    <row r="2317" spans="1:10">
      <c r="A2317" s="4" t="s">
        <v>2396</v>
      </c>
      <c r="B2317" s="16" t="s">
        <v>2183</v>
      </c>
      <c r="C2317" s="17" t="s">
        <v>2164</v>
      </c>
      <c r="D2317" s="21">
        <v>145921</v>
      </c>
      <c r="E2317" s="4">
        <v>4</v>
      </c>
      <c r="F2317" s="4">
        <v>3</v>
      </c>
      <c r="G2317" s="4">
        <v>1.1000000000000001</v>
      </c>
      <c r="H2317" s="10">
        <v>1300</v>
      </c>
      <c r="I2317" s="5">
        <f t="shared" si="72"/>
        <v>112.24692307692308</v>
      </c>
      <c r="J2317" s="3" t="str">
        <f t="shared" si="73"/>
        <v>Low</v>
      </c>
    </row>
    <row r="2318" spans="1:10">
      <c r="A2318" s="7" t="s">
        <v>2397</v>
      </c>
      <c r="B2318" s="18" t="s">
        <v>2166</v>
      </c>
      <c r="C2318" s="19" t="s">
        <v>2164</v>
      </c>
      <c r="D2318" s="22">
        <v>146000</v>
      </c>
      <c r="E2318" s="7">
        <v>25</v>
      </c>
      <c r="F2318" s="7">
        <v>3</v>
      </c>
      <c r="G2318" s="7">
        <v>1</v>
      </c>
      <c r="H2318" s="12">
        <v>1082</v>
      </c>
      <c r="I2318" s="8">
        <f t="shared" si="72"/>
        <v>134.93530499075786</v>
      </c>
      <c r="J2318" s="3" t="str">
        <f t="shared" si="73"/>
        <v>Low</v>
      </c>
    </row>
    <row r="2319" spans="1:10">
      <c r="A2319" s="4" t="s">
        <v>2398</v>
      </c>
      <c r="B2319" s="16" t="s">
        <v>2181</v>
      </c>
      <c r="C2319" s="17" t="s">
        <v>2164</v>
      </c>
      <c r="D2319" s="21">
        <v>147000</v>
      </c>
      <c r="E2319" s="4">
        <v>8</v>
      </c>
      <c r="F2319" s="4">
        <v>3</v>
      </c>
      <c r="G2319" s="4">
        <v>1</v>
      </c>
      <c r="H2319" s="10">
        <v>1000</v>
      </c>
      <c r="I2319" s="5">
        <f t="shared" si="72"/>
        <v>147</v>
      </c>
      <c r="J2319" s="3" t="str">
        <f t="shared" si="73"/>
        <v>Low</v>
      </c>
    </row>
    <row r="2320" spans="1:10">
      <c r="A2320" s="7" t="s">
        <v>2399</v>
      </c>
      <c r="B2320" s="18" t="s">
        <v>2166</v>
      </c>
      <c r="C2320" s="19" t="s">
        <v>2164</v>
      </c>
      <c r="D2320" s="22">
        <v>147000</v>
      </c>
      <c r="E2320" s="7">
        <v>12</v>
      </c>
      <c r="F2320" s="7">
        <v>3</v>
      </c>
      <c r="G2320" s="7">
        <v>1</v>
      </c>
      <c r="H2320" s="12">
        <v>1015</v>
      </c>
      <c r="I2320" s="8">
        <f t="shared" si="72"/>
        <v>144.82758620689654</v>
      </c>
      <c r="J2320" s="3" t="str">
        <f t="shared" si="73"/>
        <v>Low</v>
      </c>
    </row>
    <row r="2321" spans="1:10">
      <c r="A2321" s="4" t="s">
        <v>2400</v>
      </c>
      <c r="B2321" s="16" t="s">
        <v>2168</v>
      </c>
      <c r="C2321" s="17" t="s">
        <v>2164</v>
      </c>
      <c r="D2321" s="21">
        <v>147000</v>
      </c>
      <c r="E2321" s="4">
        <v>71</v>
      </c>
      <c r="F2321" s="4">
        <v>3</v>
      </c>
      <c r="G2321" s="4">
        <v>1</v>
      </c>
      <c r="H2321" s="10">
        <v>1000</v>
      </c>
      <c r="I2321" s="5">
        <f t="shared" si="72"/>
        <v>147</v>
      </c>
      <c r="J2321" s="3" t="str">
        <f t="shared" si="73"/>
        <v>Low</v>
      </c>
    </row>
    <row r="2322" spans="1:10">
      <c r="A2322" s="7" t="s">
        <v>2401</v>
      </c>
      <c r="B2322" s="18" t="s">
        <v>2173</v>
      </c>
      <c r="C2322" s="19" t="s">
        <v>2164</v>
      </c>
      <c r="D2322" s="22">
        <v>147500</v>
      </c>
      <c r="E2322" s="7">
        <v>14</v>
      </c>
      <c r="F2322" s="7">
        <v>3</v>
      </c>
      <c r="G2322" s="7">
        <v>2</v>
      </c>
      <c r="H2322" s="12">
        <v>1301</v>
      </c>
      <c r="I2322" s="8">
        <f t="shared" si="72"/>
        <v>113.37432744043043</v>
      </c>
      <c r="J2322" s="3" t="str">
        <f t="shared" si="73"/>
        <v>Low</v>
      </c>
    </row>
    <row r="2323" spans="1:10">
      <c r="A2323" s="4" t="s">
        <v>2402</v>
      </c>
      <c r="B2323" s="16" t="s">
        <v>2210</v>
      </c>
      <c r="C2323" s="17" t="s">
        <v>2164</v>
      </c>
      <c r="D2323" s="21">
        <v>149000</v>
      </c>
      <c r="E2323" s="4">
        <v>110</v>
      </c>
      <c r="F2323" s="4">
        <v>2</v>
      </c>
      <c r="G2323" s="4">
        <v>1.1000000000000001</v>
      </c>
      <c r="H2323" s="4">
        <v>984</v>
      </c>
      <c r="I2323" s="5">
        <f t="shared" si="72"/>
        <v>151.42276422764229</v>
      </c>
      <c r="J2323" s="3" t="str">
        <f t="shared" si="73"/>
        <v>Low</v>
      </c>
    </row>
    <row r="2324" spans="1:10">
      <c r="A2324" s="7" t="s">
        <v>2403</v>
      </c>
      <c r="B2324" s="18" t="s">
        <v>2252</v>
      </c>
      <c r="C2324" s="19" t="s">
        <v>2164</v>
      </c>
      <c r="D2324" s="22">
        <v>149896</v>
      </c>
      <c r="E2324" s="7">
        <v>46</v>
      </c>
      <c r="F2324" s="7">
        <v>2</v>
      </c>
      <c r="G2324" s="7">
        <v>2</v>
      </c>
      <c r="H2324" s="12">
        <v>1320</v>
      </c>
      <c r="I2324" s="8">
        <f t="shared" si="72"/>
        <v>113.55757575757576</v>
      </c>
      <c r="J2324" s="3" t="str">
        <f t="shared" si="73"/>
        <v>Low</v>
      </c>
    </row>
    <row r="2325" spans="1:10">
      <c r="A2325" s="4" t="s">
        <v>2404</v>
      </c>
      <c r="B2325" s="16" t="s">
        <v>2168</v>
      </c>
      <c r="C2325" s="17" t="s">
        <v>2164</v>
      </c>
      <c r="D2325" s="21">
        <v>149900</v>
      </c>
      <c r="E2325" s="4">
        <v>27</v>
      </c>
      <c r="F2325" s="4">
        <v>3</v>
      </c>
      <c r="G2325" s="4">
        <v>1</v>
      </c>
      <c r="H2325" s="10">
        <v>1000</v>
      </c>
      <c r="I2325" s="5">
        <f t="shared" si="72"/>
        <v>149.9</v>
      </c>
      <c r="J2325" s="3" t="str">
        <f t="shared" si="73"/>
        <v>Low</v>
      </c>
    </row>
    <row r="2326" spans="1:10">
      <c r="A2326" s="7" t="s">
        <v>2405</v>
      </c>
      <c r="B2326" s="18" t="s">
        <v>2166</v>
      </c>
      <c r="C2326" s="19" t="s">
        <v>2164</v>
      </c>
      <c r="D2326" s="22">
        <v>149900</v>
      </c>
      <c r="E2326" s="7">
        <v>15</v>
      </c>
      <c r="F2326" s="7">
        <v>3</v>
      </c>
      <c r="G2326" s="7">
        <v>1</v>
      </c>
      <c r="H2326" s="12">
        <v>1000</v>
      </c>
      <c r="I2326" s="8">
        <f t="shared" si="72"/>
        <v>149.9</v>
      </c>
      <c r="J2326" s="3" t="str">
        <f t="shared" si="73"/>
        <v>Low</v>
      </c>
    </row>
    <row r="2327" spans="1:10">
      <c r="A2327" s="4" t="s">
        <v>2405</v>
      </c>
      <c r="B2327" s="16" t="s">
        <v>2166</v>
      </c>
      <c r="C2327" s="17" t="s">
        <v>2164</v>
      </c>
      <c r="D2327" s="21">
        <v>149900</v>
      </c>
      <c r="E2327" s="4">
        <v>11</v>
      </c>
      <c r="F2327" s="4">
        <v>3</v>
      </c>
      <c r="G2327" s="4">
        <v>1</v>
      </c>
      <c r="H2327" s="10">
        <v>1000</v>
      </c>
      <c r="I2327" s="5">
        <f t="shared" si="72"/>
        <v>149.9</v>
      </c>
      <c r="J2327" s="3" t="str">
        <f t="shared" si="73"/>
        <v>Low</v>
      </c>
    </row>
    <row r="2328" spans="1:10">
      <c r="A2328" s="7" t="s">
        <v>2406</v>
      </c>
      <c r="B2328" s="18" t="s">
        <v>2407</v>
      </c>
      <c r="C2328" s="19" t="s">
        <v>2164</v>
      </c>
      <c r="D2328" s="22">
        <v>150000</v>
      </c>
      <c r="E2328" s="7">
        <v>5</v>
      </c>
      <c r="F2328" s="7">
        <v>2</v>
      </c>
      <c r="G2328" s="7">
        <v>1</v>
      </c>
      <c r="H2328" s="7">
        <v>900</v>
      </c>
      <c r="I2328" s="8">
        <f t="shared" si="72"/>
        <v>166.66666666666666</v>
      </c>
      <c r="J2328" s="3" t="str">
        <f t="shared" si="73"/>
        <v>Low</v>
      </c>
    </row>
    <row r="2329" spans="1:10">
      <c r="A2329" s="4" t="s">
        <v>2408</v>
      </c>
      <c r="B2329" s="16" t="s">
        <v>2173</v>
      </c>
      <c r="C2329" s="17" t="s">
        <v>2164</v>
      </c>
      <c r="D2329" s="21">
        <v>150000</v>
      </c>
      <c r="E2329" s="4">
        <v>8</v>
      </c>
      <c r="F2329" s="4">
        <v>3</v>
      </c>
      <c r="G2329" s="4">
        <v>1.1000000000000001</v>
      </c>
      <c r="H2329" s="10">
        <v>1172</v>
      </c>
      <c r="I2329" s="5">
        <f t="shared" si="72"/>
        <v>127.9863481228669</v>
      </c>
      <c r="J2329" s="3" t="str">
        <f t="shared" si="73"/>
        <v>Low</v>
      </c>
    </row>
    <row r="2330" spans="1:10">
      <c r="A2330" s="7" t="s">
        <v>2409</v>
      </c>
      <c r="B2330" s="18" t="s">
        <v>2166</v>
      </c>
      <c r="C2330" s="19" t="s">
        <v>2164</v>
      </c>
      <c r="D2330" s="22">
        <v>150000</v>
      </c>
      <c r="E2330" s="7">
        <v>4</v>
      </c>
      <c r="F2330" s="7">
        <v>3</v>
      </c>
      <c r="G2330" s="7">
        <v>1.1000000000000001</v>
      </c>
      <c r="H2330" s="12">
        <v>1358</v>
      </c>
      <c r="I2330" s="8">
        <f t="shared" si="72"/>
        <v>110.45655375552283</v>
      </c>
      <c r="J2330" s="3" t="str">
        <f t="shared" si="73"/>
        <v>Low</v>
      </c>
    </row>
    <row r="2331" spans="1:10">
      <c r="A2331" s="4" t="s">
        <v>2410</v>
      </c>
      <c r="B2331" s="16" t="s">
        <v>2168</v>
      </c>
      <c r="C2331" s="17" t="s">
        <v>2164</v>
      </c>
      <c r="D2331" s="21">
        <v>150000</v>
      </c>
      <c r="E2331" s="4">
        <v>99</v>
      </c>
      <c r="F2331" s="4">
        <v>3</v>
      </c>
      <c r="G2331" s="4">
        <v>1</v>
      </c>
      <c r="H2331" s="4">
        <v>956</v>
      </c>
      <c r="I2331" s="5">
        <f t="shared" si="72"/>
        <v>156.90376569037656</v>
      </c>
      <c r="J2331" s="3" t="str">
        <f t="shared" si="73"/>
        <v>Low</v>
      </c>
    </row>
    <row r="2332" spans="1:10">
      <c r="A2332" s="7" t="s">
        <v>2411</v>
      </c>
      <c r="B2332" s="18" t="s">
        <v>2168</v>
      </c>
      <c r="C2332" s="19" t="s">
        <v>2164</v>
      </c>
      <c r="D2332" s="22">
        <v>150000</v>
      </c>
      <c r="E2332" s="7">
        <v>2</v>
      </c>
      <c r="F2332" s="7">
        <v>3</v>
      </c>
      <c r="G2332" s="7">
        <v>2</v>
      </c>
      <c r="H2332" s="7">
        <v>944</v>
      </c>
      <c r="I2332" s="8">
        <f t="shared" si="72"/>
        <v>158.89830508474577</v>
      </c>
      <c r="J2332" s="3" t="str">
        <f t="shared" si="73"/>
        <v>Low</v>
      </c>
    </row>
    <row r="2333" spans="1:10">
      <c r="A2333" s="4" t="s">
        <v>2412</v>
      </c>
      <c r="B2333" s="16" t="s">
        <v>2227</v>
      </c>
      <c r="C2333" s="17" t="s">
        <v>2164</v>
      </c>
      <c r="D2333" s="21">
        <v>150000</v>
      </c>
      <c r="E2333" s="4">
        <v>44</v>
      </c>
      <c r="F2333" s="4">
        <v>3</v>
      </c>
      <c r="G2333" s="4">
        <v>1</v>
      </c>
      <c r="H2333" s="10">
        <v>1026</v>
      </c>
      <c r="I2333" s="5">
        <f t="shared" si="72"/>
        <v>146.19883040935673</v>
      </c>
      <c r="J2333" s="3" t="str">
        <f t="shared" si="73"/>
        <v>Low</v>
      </c>
    </row>
    <row r="2334" spans="1:10">
      <c r="A2334" s="7" t="s">
        <v>2413</v>
      </c>
      <c r="B2334" s="18" t="s">
        <v>2166</v>
      </c>
      <c r="C2334" s="19" t="s">
        <v>2164</v>
      </c>
      <c r="D2334" s="22">
        <v>150000</v>
      </c>
      <c r="E2334" s="7">
        <v>47</v>
      </c>
      <c r="F2334" s="7">
        <v>3</v>
      </c>
      <c r="G2334" s="7">
        <v>1</v>
      </c>
      <c r="H2334" s="12">
        <v>1000</v>
      </c>
      <c r="I2334" s="8">
        <f t="shared" si="72"/>
        <v>150</v>
      </c>
      <c r="J2334" s="3" t="str">
        <f t="shared" si="73"/>
        <v>Low</v>
      </c>
    </row>
    <row r="2335" spans="1:10">
      <c r="A2335" s="4" t="s">
        <v>2414</v>
      </c>
      <c r="B2335" s="16" t="s">
        <v>2173</v>
      </c>
      <c r="C2335" s="17" t="s">
        <v>2164</v>
      </c>
      <c r="D2335" s="21">
        <v>150000</v>
      </c>
      <c r="E2335" s="4">
        <v>14</v>
      </c>
      <c r="F2335" s="4">
        <v>3</v>
      </c>
      <c r="G2335" s="4">
        <v>1</v>
      </c>
      <c r="H2335" s="10">
        <v>1106</v>
      </c>
      <c r="I2335" s="5">
        <f t="shared" si="72"/>
        <v>135.62386980108499</v>
      </c>
      <c r="J2335" s="3" t="str">
        <f t="shared" si="73"/>
        <v>Low</v>
      </c>
    </row>
    <row r="2336" spans="1:10">
      <c r="A2336" s="7" t="s">
        <v>2415</v>
      </c>
      <c r="B2336" s="18" t="s">
        <v>2181</v>
      </c>
      <c r="C2336" s="19" t="s">
        <v>2164</v>
      </c>
      <c r="D2336" s="22">
        <v>150000</v>
      </c>
      <c r="E2336" s="7">
        <v>109</v>
      </c>
      <c r="F2336" s="7">
        <v>3</v>
      </c>
      <c r="G2336" s="7">
        <v>1</v>
      </c>
      <c r="H2336" s="12">
        <v>1120</v>
      </c>
      <c r="I2336" s="8">
        <f t="shared" si="72"/>
        <v>133.92857142857142</v>
      </c>
      <c r="J2336" s="3" t="str">
        <f t="shared" si="73"/>
        <v>Low</v>
      </c>
    </row>
    <row r="2337" spans="1:10">
      <c r="A2337" s="4" t="s">
        <v>2416</v>
      </c>
      <c r="B2337" s="16" t="s">
        <v>2407</v>
      </c>
      <c r="C2337" s="17" t="s">
        <v>2164</v>
      </c>
      <c r="D2337" s="21">
        <v>150000</v>
      </c>
      <c r="E2337" s="4">
        <v>188</v>
      </c>
      <c r="F2337" s="4">
        <v>4</v>
      </c>
      <c r="G2337" s="4">
        <v>2</v>
      </c>
      <c r="H2337" s="10">
        <v>1824</v>
      </c>
      <c r="I2337" s="5">
        <f t="shared" si="72"/>
        <v>82.236842105263165</v>
      </c>
      <c r="J2337" s="3" t="str">
        <f t="shared" si="73"/>
        <v>Low</v>
      </c>
    </row>
    <row r="2338" spans="1:10">
      <c r="A2338" s="7" t="s">
        <v>2417</v>
      </c>
      <c r="B2338" s="18" t="s">
        <v>2166</v>
      </c>
      <c r="C2338" s="19" t="s">
        <v>2164</v>
      </c>
      <c r="D2338" s="22">
        <v>151000</v>
      </c>
      <c r="E2338" s="7">
        <v>12</v>
      </c>
      <c r="F2338" s="7">
        <v>2</v>
      </c>
      <c r="G2338" s="7">
        <v>1</v>
      </c>
      <c r="H2338" s="12">
        <v>1000</v>
      </c>
      <c r="I2338" s="8">
        <f t="shared" si="72"/>
        <v>151</v>
      </c>
      <c r="J2338" s="3" t="str">
        <f t="shared" si="73"/>
        <v>Low</v>
      </c>
    </row>
    <row r="2339" spans="1:10">
      <c r="A2339" s="4" t="s">
        <v>2418</v>
      </c>
      <c r="B2339" s="16" t="s">
        <v>2168</v>
      </c>
      <c r="C2339" s="17" t="s">
        <v>2164</v>
      </c>
      <c r="D2339" s="21">
        <v>151100</v>
      </c>
      <c r="E2339" s="4">
        <v>40</v>
      </c>
      <c r="F2339" s="4">
        <v>4</v>
      </c>
      <c r="G2339" s="4">
        <v>1</v>
      </c>
      <c r="H2339" s="10">
        <v>1000</v>
      </c>
      <c r="I2339" s="5">
        <f t="shared" si="72"/>
        <v>151.1</v>
      </c>
      <c r="J2339" s="3" t="str">
        <f t="shared" si="73"/>
        <v>Low</v>
      </c>
    </row>
    <row r="2340" spans="1:10">
      <c r="A2340" s="7" t="s">
        <v>2419</v>
      </c>
      <c r="B2340" s="18" t="s">
        <v>2173</v>
      </c>
      <c r="C2340" s="19" t="s">
        <v>2164</v>
      </c>
      <c r="D2340" s="22">
        <v>152000</v>
      </c>
      <c r="E2340" s="7">
        <v>5</v>
      </c>
      <c r="F2340" s="7">
        <v>3</v>
      </c>
      <c r="G2340" s="7">
        <v>1.1000000000000001</v>
      </c>
      <c r="H2340" s="12">
        <v>1040</v>
      </c>
      <c r="I2340" s="8">
        <f t="shared" si="72"/>
        <v>146.15384615384616</v>
      </c>
      <c r="J2340" s="3" t="str">
        <f t="shared" si="73"/>
        <v>Low</v>
      </c>
    </row>
    <row r="2341" spans="1:10">
      <c r="A2341" s="4" t="s">
        <v>2420</v>
      </c>
      <c r="B2341" s="16" t="s">
        <v>2210</v>
      </c>
      <c r="C2341" s="17" t="s">
        <v>2164</v>
      </c>
      <c r="D2341" s="21">
        <v>152100</v>
      </c>
      <c r="E2341" s="4">
        <v>6</v>
      </c>
      <c r="F2341" s="4">
        <v>3</v>
      </c>
      <c r="G2341" s="4">
        <v>1</v>
      </c>
      <c r="H2341" s="10">
        <v>1330</v>
      </c>
      <c r="I2341" s="5">
        <f t="shared" si="72"/>
        <v>114.3609022556391</v>
      </c>
      <c r="J2341" s="3" t="str">
        <f t="shared" si="73"/>
        <v>Low</v>
      </c>
    </row>
    <row r="2342" spans="1:10">
      <c r="A2342" s="7" t="s">
        <v>2421</v>
      </c>
      <c r="B2342" s="18" t="s">
        <v>2166</v>
      </c>
      <c r="C2342" s="19" t="s">
        <v>2164</v>
      </c>
      <c r="D2342" s="22">
        <v>152900</v>
      </c>
      <c r="E2342" s="7">
        <v>10</v>
      </c>
      <c r="F2342" s="7">
        <v>3</v>
      </c>
      <c r="G2342" s="7">
        <v>1.1000000000000001</v>
      </c>
      <c r="H2342" s="7">
        <v>936</v>
      </c>
      <c r="I2342" s="8">
        <f t="shared" si="72"/>
        <v>163.35470085470087</v>
      </c>
      <c r="J2342" s="3" t="str">
        <f t="shared" si="73"/>
        <v>Low</v>
      </c>
    </row>
    <row r="2343" spans="1:10">
      <c r="A2343" s="4" t="s">
        <v>2422</v>
      </c>
      <c r="B2343" s="16" t="s">
        <v>2168</v>
      </c>
      <c r="C2343" s="17" t="s">
        <v>2164</v>
      </c>
      <c r="D2343" s="21">
        <v>154000</v>
      </c>
      <c r="E2343" s="4">
        <v>38</v>
      </c>
      <c r="F2343" s="4">
        <v>3</v>
      </c>
      <c r="G2343" s="4">
        <v>1</v>
      </c>
      <c r="H2343" s="4">
        <v>976</v>
      </c>
      <c r="I2343" s="5">
        <f t="shared" si="72"/>
        <v>157.78688524590163</v>
      </c>
      <c r="J2343" s="3" t="str">
        <f t="shared" si="73"/>
        <v>Low</v>
      </c>
    </row>
    <row r="2344" spans="1:10">
      <c r="A2344" s="7" t="s">
        <v>2423</v>
      </c>
      <c r="B2344" s="18" t="s">
        <v>2171</v>
      </c>
      <c r="C2344" s="19" t="s">
        <v>2164</v>
      </c>
      <c r="D2344" s="22">
        <v>154500</v>
      </c>
      <c r="E2344" s="7">
        <v>11</v>
      </c>
      <c r="F2344" s="7">
        <v>4</v>
      </c>
      <c r="G2344" s="7">
        <v>1.1000000000000001</v>
      </c>
      <c r="H2344" s="12">
        <v>1700</v>
      </c>
      <c r="I2344" s="8">
        <f t="shared" si="72"/>
        <v>90.882352941176464</v>
      </c>
      <c r="J2344" s="3" t="str">
        <f t="shared" si="73"/>
        <v>Low</v>
      </c>
    </row>
    <row r="2345" spans="1:10">
      <c r="A2345" s="4" t="s">
        <v>2424</v>
      </c>
      <c r="B2345" s="16" t="s">
        <v>2168</v>
      </c>
      <c r="C2345" s="17" t="s">
        <v>2164</v>
      </c>
      <c r="D2345" s="21">
        <v>154900</v>
      </c>
      <c r="E2345" s="4">
        <v>4</v>
      </c>
      <c r="F2345" s="4">
        <v>3</v>
      </c>
      <c r="G2345" s="4">
        <v>1</v>
      </c>
      <c r="H2345" s="4">
        <v>859</v>
      </c>
      <c r="I2345" s="5">
        <f t="shared" si="72"/>
        <v>180.32596041909196</v>
      </c>
      <c r="J2345" s="3" t="str">
        <f t="shared" si="73"/>
        <v>Low</v>
      </c>
    </row>
    <row r="2346" spans="1:10">
      <c r="A2346" s="7" t="s">
        <v>2425</v>
      </c>
      <c r="B2346" s="18" t="s">
        <v>2166</v>
      </c>
      <c r="C2346" s="19" t="s">
        <v>2164</v>
      </c>
      <c r="D2346" s="22">
        <v>155000</v>
      </c>
      <c r="E2346" s="7">
        <v>10</v>
      </c>
      <c r="F2346" s="7">
        <v>3</v>
      </c>
      <c r="G2346" s="7">
        <v>1</v>
      </c>
      <c r="H2346" s="7">
        <v>912</v>
      </c>
      <c r="I2346" s="8">
        <f t="shared" si="72"/>
        <v>169.95614035087721</v>
      </c>
      <c r="J2346" s="3" t="str">
        <f t="shared" si="73"/>
        <v>Low</v>
      </c>
    </row>
    <row r="2347" spans="1:10">
      <c r="A2347" s="4" t="s">
        <v>2426</v>
      </c>
      <c r="B2347" s="16" t="s">
        <v>2168</v>
      </c>
      <c r="C2347" s="17" t="s">
        <v>2164</v>
      </c>
      <c r="D2347" s="21">
        <v>155000</v>
      </c>
      <c r="E2347" s="4">
        <v>35</v>
      </c>
      <c r="F2347" s="4">
        <v>3</v>
      </c>
      <c r="G2347" s="4">
        <v>1</v>
      </c>
      <c r="H2347" s="10">
        <v>1052</v>
      </c>
      <c r="I2347" s="5">
        <f t="shared" si="72"/>
        <v>147.3384030418251</v>
      </c>
      <c r="J2347" s="3" t="str">
        <f t="shared" si="73"/>
        <v>Low</v>
      </c>
    </row>
    <row r="2348" spans="1:10">
      <c r="A2348" s="7" t="s">
        <v>2427</v>
      </c>
      <c r="B2348" s="18" t="s">
        <v>2168</v>
      </c>
      <c r="C2348" s="19" t="s">
        <v>2164</v>
      </c>
      <c r="D2348" s="22">
        <v>155000</v>
      </c>
      <c r="E2348" s="7">
        <v>4</v>
      </c>
      <c r="F2348" s="7">
        <v>3</v>
      </c>
      <c r="G2348" s="7">
        <v>1</v>
      </c>
      <c r="H2348" s="12">
        <v>1000</v>
      </c>
      <c r="I2348" s="8">
        <f t="shared" si="72"/>
        <v>155</v>
      </c>
      <c r="J2348" s="3" t="str">
        <f t="shared" si="73"/>
        <v>Low</v>
      </c>
    </row>
    <row r="2349" spans="1:10">
      <c r="A2349" s="4" t="s">
        <v>2428</v>
      </c>
      <c r="B2349" s="16" t="s">
        <v>2210</v>
      </c>
      <c r="C2349" s="17" t="s">
        <v>2164</v>
      </c>
      <c r="D2349" s="21">
        <v>155000</v>
      </c>
      <c r="E2349" s="4">
        <v>21</v>
      </c>
      <c r="F2349" s="4">
        <v>3</v>
      </c>
      <c r="G2349" s="4">
        <v>1.1000000000000001</v>
      </c>
      <c r="H2349" s="4">
        <v>957</v>
      </c>
      <c r="I2349" s="5">
        <f t="shared" si="72"/>
        <v>161.96447230929991</v>
      </c>
      <c r="J2349" s="3" t="str">
        <f t="shared" si="73"/>
        <v>Low</v>
      </c>
    </row>
    <row r="2350" spans="1:10">
      <c r="A2350" s="7" t="s">
        <v>2429</v>
      </c>
      <c r="B2350" s="18" t="s">
        <v>2168</v>
      </c>
      <c r="C2350" s="19" t="s">
        <v>2164</v>
      </c>
      <c r="D2350" s="22">
        <v>155000</v>
      </c>
      <c r="E2350" s="7">
        <v>30</v>
      </c>
      <c r="F2350" s="7">
        <v>3</v>
      </c>
      <c r="G2350" s="7">
        <v>1</v>
      </c>
      <c r="H2350" s="12">
        <v>1092</v>
      </c>
      <c r="I2350" s="8">
        <f t="shared" si="72"/>
        <v>141.94139194139194</v>
      </c>
      <c r="J2350" s="3" t="str">
        <f t="shared" si="73"/>
        <v>Low</v>
      </c>
    </row>
    <row r="2351" spans="1:10">
      <c r="A2351" s="4" t="s">
        <v>2430</v>
      </c>
      <c r="B2351" s="16" t="s">
        <v>2168</v>
      </c>
      <c r="C2351" s="17" t="s">
        <v>2164</v>
      </c>
      <c r="D2351" s="21">
        <v>155000</v>
      </c>
      <c r="E2351" s="4">
        <v>17</v>
      </c>
      <c r="F2351" s="4">
        <v>3</v>
      </c>
      <c r="G2351" s="4">
        <v>1</v>
      </c>
      <c r="H2351" s="10">
        <v>1496</v>
      </c>
      <c r="I2351" s="5">
        <f t="shared" si="72"/>
        <v>103.6096256684492</v>
      </c>
      <c r="J2351" s="3" t="str">
        <f t="shared" si="73"/>
        <v>Low</v>
      </c>
    </row>
    <row r="2352" spans="1:10">
      <c r="A2352" s="7" t="s">
        <v>2431</v>
      </c>
      <c r="B2352" s="18" t="s">
        <v>2173</v>
      </c>
      <c r="C2352" s="19" t="s">
        <v>2164</v>
      </c>
      <c r="D2352" s="22">
        <v>155000</v>
      </c>
      <c r="E2352" s="7">
        <v>7</v>
      </c>
      <c r="F2352" s="7">
        <v>3</v>
      </c>
      <c r="G2352" s="7">
        <v>1</v>
      </c>
      <c r="H2352" s="12">
        <v>1050</v>
      </c>
      <c r="I2352" s="8">
        <f t="shared" si="72"/>
        <v>147.61904761904762</v>
      </c>
      <c r="J2352" s="3" t="str">
        <f t="shared" si="73"/>
        <v>Low</v>
      </c>
    </row>
    <row r="2353" spans="1:10">
      <c r="A2353" s="4" t="s">
        <v>2432</v>
      </c>
      <c r="B2353" s="16" t="s">
        <v>2168</v>
      </c>
      <c r="C2353" s="17" t="s">
        <v>2164</v>
      </c>
      <c r="D2353" s="21">
        <v>155000</v>
      </c>
      <c r="E2353" s="4">
        <v>113</v>
      </c>
      <c r="F2353" s="4">
        <v>3</v>
      </c>
      <c r="G2353" s="4">
        <v>1</v>
      </c>
      <c r="H2353" s="10">
        <v>1085</v>
      </c>
      <c r="I2353" s="5">
        <f t="shared" si="72"/>
        <v>142.85714285714286</v>
      </c>
      <c r="J2353" s="3" t="str">
        <f t="shared" si="73"/>
        <v>Low</v>
      </c>
    </row>
    <row r="2354" spans="1:10">
      <c r="A2354" s="7" t="s">
        <v>2433</v>
      </c>
      <c r="B2354" s="18" t="s">
        <v>2166</v>
      </c>
      <c r="C2354" s="19" t="s">
        <v>2164</v>
      </c>
      <c r="D2354" s="22">
        <v>155000</v>
      </c>
      <c r="E2354" s="7">
        <v>41</v>
      </c>
      <c r="F2354" s="7">
        <v>3</v>
      </c>
      <c r="G2354" s="7">
        <v>2</v>
      </c>
      <c r="H2354" s="12">
        <v>1285</v>
      </c>
      <c r="I2354" s="8">
        <f t="shared" si="72"/>
        <v>120.62256809338521</v>
      </c>
      <c r="J2354" s="3" t="str">
        <f t="shared" si="73"/>
        <v>Low</v>
      </c>
    </row>
    <row r="2355" spans="1:10">
      <c r="A2355" s="4" t="s">
        <v>2434</v>
      </c>
      <c r="B2355" s="16" t="s">
        <v>2168</v>
      </c>
      <c r="C2355" s="17" t="s">
        <v>2164</v>
      </c>
      <c r="D2355" s="21">
        <v>155000</v>
      </c>
      <c r="E2355" s="4">
        <v>18</v>
      </c>
      <c r="F2355" s="4">
        <v>2</v>
      </c>
      <c r="G2355" s="4">
        <v>1</v>
      </c>
      <c r="H2355" s="10">
        <v>1002</v>
      </c>
      <c r="I2355" s="5">
        <f t="shared" si="72"/>
        <v>154.69061876247505</v>
      </c>
      <c r="J2355" s="3" t="str">
        <f t="shared" si="73"/>
        <v>Low</v>
      </c>
    </row>
    <row r="2356" spans="1:10">
      <c r="A2356" s="7" t="s">
        <v>2435</v>
      </c>
      <c r="B2356" s="18" t="s">
        <v>2173</v>
      </c>
      <c r="C2356" s="19" t="s">
        <v>2164</v>
      </c>
      <c r="D2356" s="22">
        <v>155500</v>
      </c>
      <c r="E2356" s="7">
        <v>3</v>
      </c>
      <c r="F2356" s="7">
        <v>3</v>
      </c>
      <c r="G2356" s="7">
        <v>1.1000000000000001</v>
      </c>
      <c r="H2356" s="7">
        <v>948</v>
      </c>
      <c r="I2356" s="8">
        <f t="shared" si="72"/>
        <v>164.0295358649789</v>
      </c>
      <c r="J2356" s="3" t="str">
        <f t="shared" si="73"/>
        <v>Low</v>
      </c>
    </row>
    <row r="2357" spans="1:10">
      <c r="A2357" s="4" t="s">
        <v>2436</v>
      </c>
      <c r="B2357" s="16" t="s">
        <v>2173</v>
      </c>
      <c r="C2357" s="17" t="s">
        <v>2164</v>
      </c>
      <c r="D2357" s="21">
        <v>156000</v>
      </c>
      <c r="E2357" s="4">
        <v>10</v>
      </c>
      <c r="F2357" s="4">
        <v>3</v>
      </c>
      <c r="G2357" s="4">
        <v>1</v>
      </c>
      <c r="H2357" s="10">
        <v>1043</v>
      </c>
      <c r="I2357" s="5">
        <f t="shared" si="72"/>
        <v>149.56855225311602</v>
      </c>
      <c r="J2357" s="3" t="str">
        <f t="shared" si="73"/>
        <v>Low</v>
      </c>
    </row>
    <row r="2358" spans="1:10">
      <c r="A2358" s="7" t="s">
        <v>2437</v>
      </c>
      <c r="B2358" s="18" t="s">
        <v>2166</v>
      </c>
      <c r="C2358" s="19" t="s">
        <v>2164</v>
      </c>
      <c r="D2358" s="22">
        <v>156000</v>
      </c>
      <c r="E2358" s="7">
        <v>16</v>
      </c>
      <c r="F2358" s="7">
        <v>3</v>
      </c>
      <c r="G2358" s="7">
        <v>1</v>
      </c>
      <c r="H2358" s="7">
        <v>999</v>
      </c>
      <c r="I2358" s="8">
        <f t="shared" si="72"/>
        <v>156.15615615615616</v>
      </c>
      <c r="J2358" s="3" t="str">
        <f t="shared" si="73"/>
        <v>Low</v>
      </c>
    </row>
    <row r="2359" spans="1:10">
      <c r="A2359" s="4" t="s">
        <v>2438</v>
      </c>
      <c r="B2359" s="16" t="s">
        <v>2166</v>
      </c>
      <c r="C2359" s="17" t="s">
        <v>2164</v>
      </c>
      <c r="D2359" s="21">
        <v>156000</v>
      </c>
      <c r="E2359" s="4">
        <v>22</v>
      </c>
      <c r="F2359" s="4">
        <v>3</v>
      </c>
      <c r="G2359" s="4">
        <v>1</v>
      </c>
      <c r="H2359" s="4">
        <v>960</v>
      </c>
      <c r="I2359" s="5">
        <f t="shared" si="72"/>
        <v>162.5</v>
      </c>
      <c r="J2359" s="3" t="str">
        <f t="shared" si="73"/>
        <v>Low</v>
      </c>
    </row>
    <row r="2360" spans="1:10">
      <c r="A2360" s="7" t="s">
        <v>2439</v>
      </c>
      <c r="B2360" s="18" t="s">
        <v>2173</v>
      </c>
      <c r="C2360" s="19" t="s">
        <v>2164</v>
      </c>
      <c r="D2360" s="22">
        <v>157000</v>
      </c>
      <c r="E2360" s="7">
        <v>43</v>
      </c>
      <c r="F2360" s="7">
        <v>3</v>
      </c>
      <c r="G2360" s="7">
        <v>1.1000000000000001</v>
      </c>
      <c r="H2360" s="7">
        <v>705</v>
      </c>
      <c r="I2360" s="8">
        <f t="shared" si="72"/>
        <v>222.6950354609929</v>
      </c>
      <c r="J2360" s="3" t="str">
        <f t="shared" si="73"/>
        <v>Medium</v>
      </c>
    </row>
    <row r="2361" spans="1:10">
      <c r="A2361" s="4" t="s">
        <v>2440</v>
      </c>
      <c r="B2361" s="16" t="s">
        <v>2166</v>
      </c>
      <c r="C2361" s="17" t="s">
        <v>2164</v>
      </c>
      <c r="D2361" s="21">
        <v>157000</v>
      </c>
      <c r="E2361" s="4">
        <v>12</v>
      </c>
      <c r="F2361" s="4">
        <v>3</v>
      </c>
      <c r="G2361" s="4">
        <v>1</v>
      </c>
      <c r="H2361" s="4">
        <v>960</v>
      </c>
      <c r="I2361" s="5">
        <f t="shared" si="72"/>
        <v>163.54166666666666</v>
      </c>
      <c r="J2361" s="3" t="str">
        <f t="shared" si="73"/>
        <v>Low</v>
      </c>
    </row>
    <row r="2362" spans="1:10">
      <c r="A2362" s="7" t="s">
        <v>2441</v>
      </c>
      <c r="B2362" s="18" t="s">
        <v>2181</v>
      </c>
      <c r="C2362" s="19" t="s">
        <v>2164</v>
      </c>
      <c r="D2362" s="22">
        <v>157100</v>
      </c>
      <c r="E2362" s="7">
        <v>9</v>
      </c>
      <c r="F2362" s="7">
        <v>3</v>
      </c>
      <c r="G2362" s="7">
        <v>1</v>
      </c>
      <c r="H2362" s="12">
        <v>1032</v>
      </c>
      <c r="I2362" s="8">
        <f t="shared" si="72"/>
        <v>152.22868217054264</v>
      </c>
      <c r="J2362" s="3" t="str">
        <f t="shared" si="73"/>
        <v>Low</v>
      </c>
    </row>
    <row r="2363" spans="1:10">
      <c r="A2363" s="4" t="s">
        <v>2442</v>
      </c>
      <c r="B2363" s="16" t="s">
        <v>2166</v>
      </c>
      <c r="C2363" s="17" t="s">
        <v>2164</v>
      </c>
      <c r="D2363" s="21">
        <v>157400</v>
      </c>
      <c r="E2363" s="4">
        <v>24</v>
      </c>
      <c r="F2363" s="4">
        <v>2</v>
      </c>
      <c r="G2363" s="4">
        <v>1.1000000000000001</v>
      </c>
      <c r="H2363" s="4">
        <v>890</v>
      </c>
      <c r="I2363" s="5">
        <f t="shared" si="72"/>
        <v>176.85393258426967</v>
      </c>
      <c r="J2363" s="3" t="str">
        <f t="shared" si="73"/>
        <v>Low</v>
      </c>
    </row>
    <row r="2364" spans="1:10">
      <c r="A2364" s="7" t="s">
        <v>2443</v>
      </c>
      <c r="B2364" s="18" t="s">
        <v>2168</v>
      </c>
      <c r="C2364" s="19" t="s">
        <v>2164</v>
      </c>
      <c r="D2364" s="22">
        <v>157900</v>
      </c>
      <c r="E2364" s="7">
        <v>50</v>
      </c>
      <c r="F2364" s="7">
        <v>3</v>
      </c>
      <c r="G2364" s="7">
        <v>1.1000000000000001</v>
      </c>
      <c r="H2364" s="12">
        <v>1000</v>
      </c>
      <c r="I2364" s="8">
        <f t="shared" si="72"/>
        <v>157.9</v>
      </c>
      <c r="J2364" s="3" t="str">
        <f t="shared" si="73"/>
        <v>Low</v>
      </c>
    </row>
    <row r="2365" spans="1:10">
      <c r="A2365" s="4" t="s">
        <v>2444</v>
      </c>
      <c r="B2365" s="16" t="s">
        <v>2168</v>
      </c>
      <c r="C2365" s="17" t="s">
        <v>2164</v>
      </c>
      <c r="D2365" s="21">
        <v>158300</v>
      </c>
      <c r="E2365" s="4">
        <v>8</v>
      </c>
      <c r="F2365" s="4">
        <v>3</v>
      </c>
      <c r="G2365" s="4">
        <v>1.1000000000000001</v>
      </c>
      <c r="H2365" s="10">
        <v>1112</v>
      </c>
      <c r="I2365" s="5">
        <f t="shared" si="72"/>
        <v>142.35611510791367</v>
      </c>
      <c r="J2365" s="3" t="str">
        <f t="shared" si="73"/>
        <v>Low</v>
      </c>
    </row>
    <row r="2366" spans="1:10">
      <c r="A2366" s="7" t="s">
        <v>2445</v>
      </c>
      <c r="B2366" s="18" t="s">
        <v>2166</v>
      </c>
      <c r="C2366" s="19" t="s">
        <v>2164</v>
      </c>
      <c r="D2366" s="22">
        <v>158800</v>
      </c>
      <c r="E2366" s="7">
        <v>0</v>
      </c>
      <c r="F2366" s="7">
        <v>4</v>
      </c>
      <c r="G2366" s="7">
        <v>1</v>
      </c>
      <c r="H2366" s="12">
        <v>1104</v>
      </c>
      <c r="I2366" s="8">
        <f t="shared" si="72"/>
        <v>143.84057971014494</v>
      </c>
      <c r="J2366" s="3" t="str">
        <f t="shared" si="73"/>
        <v>Low</v>
      </c>
    </row>
    <row r="2367" spans="1:10">
      <c r="A2367" s="4" t="s">
        <v>2446</v>
      </c>
      <c r="B2367" s="16" t="s">
        <v>2173</v>
      </c>
      <c r="C2367" s="17" t="s">
        <v>2164</v>
      </c>
      <c r="D2367" s="21">
        <v>159000</v>
      </c>
      <c r="E2367" s="4">
        <v>133</v>
      </c>
      <c r="F2367" s="4">
        <v>3</v>
      </c>
      <c r="G2367" s="4">
        <v>1</v>
      </c>
      <c r="H2367" s="4">
        <v>917</v>
      </c>
      <c r="I2367" s="5">
        <f t="shared" si="72"/>
        <v>173.39149400218102</v>
      </c>
      <c r="J2367" s="3" t="str">
        <f t="shared" si="73"/>
        <v>Low</v>
      </c>
    </row>
    <row r="2368" spans="1:10">
      <c r="A2368" s="7" t="s">
        <v>2447</v>
      </c>
      <c r="B2368" s="18" t="s">
        <v>2168</v>
      </c>
      <c r="C2368" s="19" t="s">
        <v>2164</v>
      </c>
      <c r="D2368" s="22">
        <v>159900</v>
      </c>
      <c r="E2368" s="7">
        <v>8</v>
      </c>
      <c r="F2368" s="7">
        <v>3</v>
      </c>
      <c r="G2368" s="7">
        <v>1</v>
      </c>
      <c r="H2368" s="12">
        <v>1000</v>
      </c>
      <c r="I2368" s="8">
        <f t="shared" si="72"/>
        <v>159.9</v>
      </c>
      <c r="J2368" s="3" t="str">
        <f t="shared" si="73"/>
        <v>Low</v>
      </c>
    </row>
    <row r="2369" spans="1:10">
      <c r="A2369" s="4" t="s">
        <v>2448</v>
      </c>
      <c r="B2369" s="16" t="s">
        <v>2173</v>
      </c>
      <c r="C2369" s="17" t="s">
        <v>2164</v>
      </c>
      <c r="D2369" s="21">
        <v>160000</v>
      </c>
      <c r="E2369" s="4">
        <v>4</v>
      </c>
      <c r="F2369" s="4">
        <v>3</v>
      </c>
      <c r="G2369" s="4">
        <v>1.1000000000000001</v>
      </c>
      <c r="H2369" s="10">
        <v>1234</v>
      </c>
      <c r="I2369" s="5">
        <f t="shared" si="72"/>
        <v>129.65964343598054</v>
      </c>
      <c r="J2369" s="3" t="str">
        <f t="shared" si="73"/>
        <v>Low</v>
      </c>
    </row>
    <row r="2370" spans="1:10">
      <c r="A2370" s="7" t="s">
        <v>2449</v>
      </c>
      <c r="B2370" s="18" t="s">
        <v>2173</v>
      </c>
      <c r="C2370" s="19" t="s">
        <v>2164</v>
      </c>
      <c r="D2370" s="22">
        <v>160000</v>
      </c>
      <c r="E2370" s="7">
        <v>3</v>
      </c>
      <c r="F2370" s="7">
        <v>3</v>
      </c>
      <c r="G2370" s="7">
        <v>2</v>
      </c>
      <c r="H2370" s="12">
        <v>1133</v>
      </c>
      <c r="I2370" s="8">
        <f t="shared" ref="I2370:I2433" si="74">D2370/H2370</f>
        <v>141.2180052956752</v>
      </c>
      <c r="J2370" s="3" t="str">
        <f t="shared" ref="J2370:J2433" si="75">IF(I2370 &gt; 300, "High", IF(AND(I2370 &lt;= 300, I2370 &gt; 200), "Medium", "Low"))</f>
        <v>Low</v>
      </c>
    </row>
    <row r="2371" spans="1:10">
      <c r="A2371" s="4" t="s">
        <v>2450</v>
      </c>
      <c r="B2371" s="16" t="s">
        <v>2168</v>
      </c>
      <c r="C2371" s="17" t="s">
        <v>2164</v>
      </c>
      <c r="D2371" s="21">
        <v>160000</v>
      </c>
      <c r="E2371" s="4">
        <v>9</v>
      </c>
      <c r="F2371" s="4">
        <v>3</v>
      </c>
      <c r="G2371" s="4">
        <v>1</v>
      </c>
      <c r="H2371" s="4">
        <v>906</v>
      </c>
      <c r="I2371" s="5">
        <f t="shared" si="74"/>
        <v>176.60044150110375</v>
      </c>
      <c r="J2371" s="3" t="str">
        <f t="shared" si="75"/>
        <v>Low</v>
      </c>
    </row>
    <row r="2372" spans="1:10">
      <c r="A2372" s="7" t="s">
        <v>2451</v>
      </c>
      <c r="B2372" s="18" t="s">
        <v>2168</v>
      </c>
      <c r="C2372" s="19" t="s">
        <v>2164</v>
      </c>
      <c r="D2372" s="22">
        <v>160000</v>
      </c>
      <c r="E2372" s="7">
        <v>55</v>
      </c>
      <c r="F2372" s="7">
        <v>3</v>
      </c>
      <c r="G2372" s="7">
        <v>1</v>
      </c>
      <c r="H2372" s="7">
        <v>888</v>
      </c>
      <c r="I2372" s="8">
        <f t="shared" si="74"/>
        <v>180.18018018018017</v>
      </c>
      <c r="J2372" s="3" t="str">
        <f t="shared" si="75"/>
        <v>Low</v>
      </c>
    </row>
    <row r="2373" spans="1:10">
      <c r="A2373" s="4" t="s">
        <v>2452</v>
      </c>
      <c r="B2373" s="16" t="s">
        <v>2168</v>
      </c>
      <c r="C2373" s="17" t="s">
        <v>2164</v>
      </c>
      <c r="D2373" s="21">
        <v>160000</v>
      </c>
      <c r="E2373" s="4">
        <v>5</v>
      </c>
      <c r="F2373" s="4">
        <v>3</v>
      </c>
      <c r="G2373" s="4">
        <v>1.1000000000000001</v>
      </c>
      <c r="H2373" s="10">
        <v>1214</v>
      </c>
      <c r="I2373" s="5">
        <f t="shared" si="74"/>
        <v>131.79571663920922</v>
      </c>
      <c r="J2373" s="3" t="str">
        <f t="shared" si="75"/>
        <v>Low</v>
      </c>
    </row>
    <row r="2374" spans="1:10">
      <c r="A2374" s="7" t="s">
        <v>2453</v>
      </c>
      <c r="B2374" s="18" t="s">
        <v>2168</v>
      </c>
      <c r="C2374" s="19" t="s">
        <v>2164</v>
      </c>
      <c r="D2374" s="22">
        <v>160000</v>
      </c>
      <c r="E2374" s="7">
        <v>6</v>
      </c>
      <c r="F2374" s="7">
        <v>3</v>
      </c>
      <c r="G2374" s="7">
        <v>1.1000000000000001</v>
      </c>
      <c r="H2374" s="12">
        <v>1214</v>
      </c>
      <c r="I2374" s="8">
        <f t="shared" si="74"/>
        <v>131.79571663920922</v>
      </c>
      <c r="J2374" s="3" t="str">
        <f t="shared" si="75"/>
        <v>Low</v>
      </c>
    </row>
    <row r="2375" spans="1:10">
      <c r="A2375" s="4" t="s">
        <v>2454</v>
      </c>
      <c r="B2375" s="16" t="s">
        <v>2166</v>
      </c>
      <c r="C2375" s="17" t="s">
        <v>2164</v>
      </c>
      <c r="D2375" s="21">
        <v>160000</v>
      </c>
      <c r="E2375" s="4">
        <v>18</v>
      </c>
      <c r="F2375" s="4">
        <v>3</v>
      </c>
      <c r="G2375" s="4">
        <v>1</v>
      </c>
      <c r="H2375" s="4">
        <v>938</v>
      </c>
      <c r="I2375" s="5">
        <f t="shared" si="74"/>
        <v>170.57569296375266</v>
      </c>
      <c r="J2375" s="3" t="str">
        <f t="shared" si="75"/>
        <v>Low</v>
      </c>
    </row>
    <row r="2376" spans="1:10">
      <c r="A2376" s="7" t="s">
        <v>2455</v>
      </c>
      <c r="B2376" s="18" t="s">
        <v>2173</v>
      </c>
      <c r="C2376" s="19" t="s">
        <v>2164</v>
      </c>
      <c r="D2376" s="22">
        <v>160000</v>
      </c>
      <c r="E2376" s="7">
        <v>64</v>
      </c>
      <c r="F2376" s="7">
        <v>3</v>
      </c>
      <c r="G2376" s="7">
        <v>1</v>
      </c>
      <c r="H2376" s="12">
        <v>1042</v>
      </c>
      <c r="I2376" s="8">
        <f t="shared" si="74"/>
        <v>153.55086372360844</v>
      </c>
      <c r="J2376" s="3" t="str">
        <f t="shared" si="75"/>
        <v>Low</v>
      </c>
    </row>
    <row r="2377" spans="1:10">
      <c r="A2377" s="4" t="s">
        <v>2456</v>
      </c>
      <c r="B2377" s="16" t="s">
        <v>2166</v>
      </c>
      <c r="C2377" s="17" t="s">
        <v>2164</v>
      </c>
      <c r="D2377" s="21">
        <v>160000</v>
      </c>
      <c r="E2377" s="4">
        <v>66</v>
      </c>
      <c r="F2377" s="4">
        <v>0</v>
      </c>
      <c r="G2377" s="4">
        <v>0</v>
      </c>
      <c r="H2377" s="10">
        <v>1100</v>
      </c>
      <c r="I2377" s="5">
        <f t="shared" si="74"/>
        <v>145.45454545454547</v>
      </c>
      <c r="J2377" s="3" t="str">
        <f t="shared" si="75"/>
        <v>Low</v>
      </c>
    </row>
    <row r="2378" spans="1:10">
      <c r="A2378" s="7" t="s">
        <v>2457</v>
      </c>
      <c r="B2378" s="18" t="s">
        <v>2173</v>
      </c>
      <c r="C2378" s="19" t="s">
        <v>2164</v>
      </c>
      <c r="D2378" s="22">
        <v>160000</v>
      </c>
      <c r="E2378" s="7">
        <v>59</v>
      </c>
      <c r="F2378" s="7">
        <v>3</v>
      </c>
      <c r="G2378" s="7">
        <v>2</v>
      </c>
      <c r="H2378" s="7">
        <v>949</v>
      </c>
      <c r="I2378" s="8">
        <f t="shared" si="74"/>
        <v>168.59852476290831</v>
      </c>
      <c r="J2378" s="3" t="str">
        <f t="shared" si="75"/>
        <v>Low</v>
      </c>
    </row>
    <row r="2379" spans="1:10">
      <c r="A2379" s="4" t="s">
        <v>2458</v>
      </c>
      <c r="B2379" s="16" t="s">
        <v>2173</v>
      </c>
      <c r="C2379" s="17" t="s">
        <v>2164</v>
      </c>
      <c r="D2379" s="21">
        <v>160000</v>
      </c>
      <c r="E2379" s="4">
        <v>13</v>
      </c>
      <c r="F2379" s="4">
        <v>3</v>
      </c>
      <c r="G2379" s="4">
        <v>1.1000000000000001</v>
      </c>
      <c r="H2379" s="10">
        <v>1420</v>
      </c>
      <c r="I2379" s="5">
        <f t="shared" si="74"/>
        <v>112.67605633802818</v>
      </c>
      <c r="J2379" s="3" t="str">
        <f t="shared" si="75"/>
        <v>Low</v>
      </c>
    </row>
    <row r="2380" spans="1:10">
      <c r="A2380" s="7" t="s">
        <v>2459</v>
      </c>
      <c r="B2380" s="18" t="s">
        <v>2168</v>
      </c>
      <c r="C2380" s="19" t="s">
        <v>2164</v>
      </c>
      <c r="D2380" s="22">
        <v>160000</v>
      </c>
      <c r="E2380" s="7">
        <v>5</v>
      </c>
      <c r="F2380" s="7">
        <v>3</v>
      </c>
      <c r="G2380" s="7">
        <v>1</v>
      </c>
      <c r="H2380" s="7">
        <v>912</v>
      </c>
      <c r="I2380" s="8">
        <f t="shared" si="74"/>
        <v>175.43859649122808</v>
      </c>
      <c r="J2380" s="3" t="str">
        <f t="shared" si="75"/>
        <v>Low</v>
      </c>
    </row>
    <row r="2381" spans="1:10">
      <c r="A2381" s="4" t="s">
        <v>2460</v>
      </c>
      <c r="B2381" s="16" t="s">
        <v>2183</v>
      </c>
      <c r="C2381" s="17" t="s">
        <v>2164</v>
      </c>
      <c r="D2381" s="21">
        <v>160000</v>
      </c>
      <c r="E2381" s="4">
        <v>9</v>
      </c>
      <c r="F2381" s="4">
        <v>3</v>
      </c>
      <c r="G2381" s="4">
        <v>1</v>
      </c>
      <c r="H2381" s="10">
        <v>1000</v>
      </c>
      <c r="I2381" s="5">
        <f t="shared" si="74"/>
        <v>160</v>
      </c>
      <c r="J2381" s="3" t="str">
        <f t="shared" si="75"/>
        <v>Low</v>
      </c>
    </row>
    <row r="2382" spans="1:10">
      <c r="A2382" s="7" t="s">
        <v>2461</v>
      </c>
      <c r="B2382" s="18" t="s">
        <v>2173</v>
      </c>
      <c r="C2382" s="19" t="s">
        <v>2164</v>
      </c>
      <c r="D2382" s="22">
        <v>160000</v>
      </c>
      <c r="E2382" s="7">
        <v>64</v>
      </c>
      <c r="F2382" s="7">
        <v>3</v>
      </c>
      <c r="G2382" s="7">
        <v>1.1000000000000001</v>
      </c>
      <c r="H2382" s="12">
        <v>1208</v>
      </c>
      <c r="I2382" s="8">
        <f t="shared" si="74"/>
        <v>132.4503311258278</v>
      </c>
      <c r="J2382" s="3" t="str">
        <f t="shared" si="75"/>
        <v>Low</v>
      </c>
    </row>
    <row r="2383" spans="1:10">
      <c r="A2383" s="4" t="s">
        <v>2462</v>
      </c>
      <c r="B2383" s="16" t="s">
        <v>2168</v>
      </c>
      <c r="C2383" s="17" t="s">
        <v>2164</v>
      </c>
      <c r="D2383" s="21">
        <v>160000</v>
      </c>
      <c r="E2383" s="4">
        <v>15</v>
      </c>
      <c r="F2383" s="4">
        <v>5</v>
      </c>
      <c r="G2383" s="4">
        <v>2</v>
      </c>
      <c r="H2383" s="10">
        <v>1701</v>
      </c>
      <c r="I2383" s="5">
        <f t="shared" si="74"/>
        <v>94.062316284538511</v>
      </c>
      <c r="J2383" s="3" t="str">
        <f t="shared" si="75"/>
        <v>Low</v>
      </c>
    </row>
    <row r="2384" spans="1:10">
      <c r="A2384" s="7" t="s">
        <v>2463</v>
      </c>
      <c r="B2384" s="18" t="s">
        <v>2210</v>
      </c>
      <c r="C2384" s="19" t="s">
        <v>2164</v>
      </c>
      <c r="D2384" s="22">
        <v>160000</v>
      </c>
      <c r="E2384" s="7">
        <v>36</v>
      </c>
      <c r="F2384" s="7">
        <v>4</v>
      </c>
      <c r="G2384" s="7">
        <v>2</v>
      </c>
      <c r="H2384" s="12">
        <v>1800</v>
      </c>
      <c r="I2384" s="8">
        <f t="shared" si="74"/>
        <v>88.888888888888886</v>
      </c>
      <c r="J2384" s="3" t="str">
        <f t="shared" si="75"/>
        <v>Low</v>
      </c>
    </row>
    <row r="2385" spans="1:10">
      <c r="A2385" s="4" t="s">
        <v>2464</v>
      </c>
      <c r="B2385" s="16" t="s">
        <v>2171</v>
      </c>
      <c r="C2385" s="17" t="s">
        <v>2164</v>
      </c>
      <c r="D2385" s="21">
        <v>160000</v>
      </c>
      <c r="E2385" s="4">
        <v>40</v>
      </c>
      <c r="F2385" s="4">
        <v>4</v>
      </c>
      <c r="G2385" s="4">
        <v>2</v>
      </c>
      <c r="H2385" s="10">
        <v>1498</v>
      </c>
      <c r="I2385" s="5">
        <f t="shared" si="74"/>
        <v>106.8090787716956</v>
      </c>
      <c r="J2385" s="3" t="str">
        <f t="shared" si="75"/>
        <v>Low</v>
      </c>
    </row>
    <row r="2386" spans="1:10">
      <c r="A2386" s="7" t="s">
        <v>2465</v>
      </c>
      <c r="B2386" s="18" t="s">
        <v>2168</v>
      </c>
      <c r="C2386" s="19" t="s">
        <v>2164</v>
      </c>
      <c r="D2386" s="22">
        <v>160000</v>
      </c>
      <c r="E2386" s="7">
        <v>0</v>
      </c>
      <c r="F2386" s="7">
        <v>3</v>
      </c>
      <c r="G2386" s="7">
        <v>1</v>
      </c>
      <c r="H2386" s="7">
        <v>988</v>
      </c>
      <c r="I2386" s="8">
        <f t="shared" si="74"/>
        <v>161.94331983805668</v>
      </c>
      <c r="J2386" s="3" t="str">
        <f t="shared" si="75"/>
        <v>Low</v>
      </c>
    </row>
    <row r="2387" spans="1:10">
      <c r="A2387" s="4" t="s">
        <v>2466</v>
      </c>
      <c r="B2387" s="16" t="s">
        <v>2173</v>
      </c>
      <c r="C2387" s="17" t="s">
        <v>2164</v>
      </c>
      <c r="D2387" s="21">
        <v>160000</v>
      </c>
      <c r="E2387" s="4">
        <v>158</v>
      </c>
      <c r="F2387" s="4">
        <v>5</v>
      </c>
      <c r="G2387" s="4">
        <v>1.1000000000000001</v>
      </c>
      <c r="H2387" s="10">
        <v>2337</v>
      </c>
      <c r="I2387" s="5">
        <f t="shared" si="74"/>
        <v>68.463842533162179</v>
      </c>
      <c r="J2387" s="3" t="str">
        <f t="shared" si="75"/>
        <v>Low</v>
      </c>
    </row>
    <row r="2388" spans="1:10">
      <c r="A2388" s="7" t="s">
        <v>2467</v>
      </c>
      <c r="B2388" s="18" t="s">
        <v>2166</v>
      </c>
      <c r="C2388" s="19" t="s">
        <v>2164</v>
      </c>
      <c r="D2388" s="22">
        <v>160500</v>
      </c>
      <c r="E2388" s="7">
        <v>7</v>
      </c>
      <c r="F2388" s="7">
        <v>3</v>
      </c>
      <c r="G2388" s="7">
        <v>1</v>
      </c>
      <c r="H2388" s="12">
        <v>1120</v>
      </c>
      <c r="I2388" s="8">
        <f t="shared" si="74"/>
        <v>143.30357142857142</v>
      </c>
      <c r="J2388" s="3" t="str">
        <f t="shared" si="75"/>
        <v>Low</v>
      </c>
    </row>
    <row r="2389" spans="1:10">
      <c r="A2389" s="4" t="s">
        <v>2468</v>
      </c>
      <c r="B2389" s="16" t="s">
        <v>2181</v>
      </c>
      <c r="C2389" s="17" t="s">
        <v>2164</v>
      </c>
      <c r="D2389" s="21">
        <v>160500</v>
      </c>
      <c r="E2389" s="4">
        <v>21</v>
      </c>
      <c r="F2389" s="4">
        <v>3</v>
      </c>
      <c r="G2389" s="4">
        <v>1</v>
      </c>
      <c r="H2389" s="10">
        <v>1205</v>
      </c>
      <c r="I2389" s="5">
        <f t="shared" si="74"/>
        <v>133.19502074688796</v>
      </c>
      <c r="J2389" s="3" t="str">
        <f t="shared" si="75"/>
        <v>Low</v>
      </c>
    </row>
    <row r="2390" spans="1:10">
      <c r="A2390" s="7" t="s">
        <v>2469</v>
      </c>
      <c r="B2390" s="18" t="s">
        <v>2166</v>
      </c>
      <c r="C2390" s="19" t="s">
        <v>2164</v>
      </c>
      <c r="D2390" s="22">
        <v>160875</v>
      </c>
      <c r="E2390" s="7">
        <v>107</v>
      </c>
      <c r="F2390" s="7">
        <v>3</v>
      </c>
      <c r="G2390" s="7">
        <v>1</v>
      </c>
      <c r="H2390" s="12">
        <v>1248</v>
      </c>
      <c r="I2390" s="8">
        <f t="shared" si="74"/>
        <v>128.90625</v>
      </c>
      <c r="J2390" s="3" t="str">
        <f t="shared" si="75"/>
        <v>Low</v>
      </c>
    </row>
    <row r="2391" spans="1:10">
      <c r="A2391" s="4" t="s">
        <v>2470</v>
      </c>
      <c r="B2391" s="16" t="s">
        <v>2166</v>
      </c>
      <c r="C2391" s="17" t="s">
        <v>2164</v>
      </c>
      <c r="D2391" s="21">
        <v>162000</v>
      </c>
      <c r="E2391" s="4">
        <v>3</v>
      </c>
      <c r="F2391" s="4">
        <v>2</v>
      </c>
      <c r="G2391" s="4">
        <v>1</v>
      </c>
      <c r="H2391" s="4">
        <v>912</v>
      </c>
      <c r="I2391" s="5">
        <f t="shared" si="74"/>
        <v>177.63157894736841</v>
      </c>
      <c r="J2391" s="3" t="str">
        <f t="shared" si="75"/>
        <v>Low</v>
      </c>
    </row>
    <row r="2392" spans="1:10">
      <c r="A2392" s="7" t="s">
        <v>2471</v>
      </c>
      <c r="B2392" s="18" t="s">
        <v>2168</v>
      </c>
      <c r="C2392" s="19" t="s">
        <v>2164</v>
      </c>
      <c r="D2392" s="22">
        <v>162000</v>
      </c>
      <c r="E2392" s="7">
        <v>32</v>
      </c>
      <c r="F2392" s="7">
        <v>3</v>
      </c>
      <c r="G2392" s="7">
        <v>1</v>
      </c>
      <c r="H2392" s="7">
        <v>960</v>
      </c>
      <c r="I2392" s="8">
        <f t="shared" si="74"/>
        <v>168.75</v>
      </c>
      <c r="J2392" s="3" t="str">
        <f t="shared" si="75"/>
        <v>Low</v>
      </c>
    </row>
    <row r="2393" spans="1:10">
      <c r="A2393" s="4" t="s">
        <v>2472</v>
      </c>
      <c r="B2393" s="16" t="s">
        <v>2173</v>
      </c>
      <c r="C2393" s="17" t="s">
        <v>2164</v>
      </c>
      <c r="D2393" s="21">
        <v>162000</v>
      </c>
      <c r="E2393" s="4">
        <v>47</v>
      </c>
      <c r="F2393" s="4">
        <v>3</v>
      </c>
      <c r="G2393" s="4">
        <v>1</v>
      </c>
      <c r="H2393" s="4">
        <v>994</v>
      </c>
      <c r="I2393" s="5">
        <f t="shared" si="74"/>
        <v>162.97786720321932</v>
      </c>
      <c r="J2393" s="3" t="str">
        <f t="shared" si="75"/>
        <v>Low</v>
      </c>
    </row>
    <row r="2394" spans="1:10">
      <c r="A2394" s="7" t="s">
        <v>2473</v>
      </c>
      <c r="B2394" s="18" t="s">
        <v>2166</v>
      </c>
      <c r="C2394" s="19" t="s">
        <v>2164</v>
      </c>
      <c r="D2394" s="22">
        <v>162500</v>
      </c>
      <c r="E2394" s="7">
        <v>8</v>
      </c>
      <c r="F2394" s="7">
        <v>3</v>
      </c>
      <c r="G2394" s="7">
        <v>1</v>
      </c>
      <c r="H2394" s="12">
        <v>1128</v>
      </c>
      <c r="I2394" s="8">
        <f t="shared" si="74"/>
        <v>144.06028368794327</v>
      </c>
      <c r="J2394" s="3" t="str">
        <f t="shared" si="75"/>
        <v>Low</v>
      </c>
    </row>
    <row r="2395" spans="1:10">
      <c r="A2395" s="4" t="s">
        <v>2474</v>
      </c>
      <c r="B2395" s="16" t="s">
        <v>2173</v>
      </c>
      <c r="C2395" s="17" t="s">
        <v>2164</v>
      </c>
      <c r="D2395" s="21">
        <v>163000</v>
      </c>
      <c r="E2395" s="4">
        <v>6</v>
      </c>
      <c r="F2395" s="4">
        <v>4</v>
      </c>
      <c r="G2395" s="4">
        <v>1.1000000000000001</v>
      </c>
      <c r="H2395" s="10">
        <v>1119</v>
      </c>
      <c r="I2395" s="5">
        <f t="shared" si="74"/>
        <v>145.66577301161752</v>
      </c>
      <c r="J2395" s="3" t="str">
        <f t="shared" si="75"/>
        <v>Low</v>
      </c>
    </row>
    <row r="2396" spans="1:10">
      <c r="A2396" s="7" t="s">
        <v>2475</v>
      </c>
      <c r="B2396" s="18" t="s">
        <v>2227</v>
      </c>
      <c r="C2396" s="19" t="s">
        <v>2164</v>
      </c>
      <c r="D2396" s="22">
        <v>164000</v>
      </c>
      <c r="E2396" s="7">
        <v>15</v>
      </c>
      <c r="F2396" s="7">
        <v>3</v>
      </c>
      <c r="G2396" s="7">
        <v>1.1000000000000001</v>
      </c>
      <c r="H2396" s="12">
        <v>1078</v>
      </c>
      <c r="I2396" s="8">
        <f t="shared" si="74"/>
        <v>152.13358070500928</v>
      </c>
      <c r="J2396" s="3" t="str">
        <f t="shared" si="75"/>
        <v>Low</v>
      </c>
    </row>
    <row r="2397" spans="1:10">
      <c r="A2397" s="4" t="s">
        <v>2476</v>
      </c>
      <c r="B2397" s="16" t="s">
        <v>2173</v>
      </c>
      <c r="C2397" s="17" t="s">
        <v>2164</v>
      </c>
      <c r="D2397" s="21">
        <v>164000</v>
      </c>
      <c r="E2397" s="4">
        <v>113</v>
      </c>
      <c r="F2397" s="4">
        <v>3</v>
      </c>
      <c r="G2397" s="4">
        <v>1.1000000000000001</v>
      </c>
      <c r="H2397" s="10">
        <v>1238</v>
      </c>
      <c r="I2397" s="5">
        <f t="shared" si="74"/>
        <v>132.47172859450728</v>
      </c>
      <c r="J2397" s="3" t="str">
        <f t="shared" si="75"/>
        <v>Low</v>
      </c>
    </row>
    <row r="2398" spans="1:10">
      <c r="A2398" s="7" t="s">
        <v>2477</v>
      </c>
      <c r="B2398" s="18" t="s">
        <v>2407</v>
      </c>
      <c r="C2398" s="19" t="s">
        <v>2164</v>
      </c>
      <c r="D2398" s="22">
        <v>164500</v>
      </c>
      <c r="E2398" s="7">
        <v>101</v>
      </c>
      <c r="F2398" s="7">
        <v>3</v>
      </c>
      <c r="G2398" s="7">
        <v>1</v>
      </c>
      <c r="H2398" s="12">
        <v>1040</v>
      </c>
      <c r="I2398" s="8">
        <f t="shared" si="74"/>
        <v>158.17307692307693</v>
      </c>
      <c r="J2398" s="3" t="str">
        <f t="shared" si="75"/>
        <v>Low</v>
      </c>
    </row>
    <row r="2399" spans="1:10">
      <c r="A2399" s="4" t="s">
        <v>2478</v>
      </c>
      <c r="B2399" s="16" t="s">
        <v>2166</v>
      </c>
      <c r="C2399" s="17" t="s">
        <v>2164</v>
      </c>
      <c r="D2399" s="21">
        <v>165000</v>
      </c>
      <c r="E2399" s="4">
        <v>14</v>
      </c>
      <c r="F2399" s="4">
        <v>3</v>
      </c>
      <c r="G2399" s="4">
        <v>1</v>
      </c>
      <c r="H2399" s="10">
        <v>1224</v>
      </c>
      <c r="I2399" s="5">
        <f t="shared" si="74"/>
        <v>134.80392156862746</v>
      </c>
      <c r="J2399" s="3" t="str">
        <f t="shared" si="75"/>
        <v>Low</v>
      </c>
    </row>
    <row r="2400" spans="1:10">
      <c r="A2400" s="7" t="s">
        <v>2479</v>
      </c>
      <c r="B2400" s="18" t="s">
        <v>2168</v>
      </c>
      <c r="C2400" s="19" t="s">
        <v>2164</v>
      </c>
      <c r="D2400" s="22">
        <v>165000</v>
      </c>
      <c r="E2400" s="7">
        <v>8</v>
      </c>
      <c r="F2400" s="7">
        <v>3</v>
      </c>
      <c r="G2400" s="7">
        <v>1.1000000000000001</v>
      </c>
      <c r="H2400" s="7">
        <v>918</v>
      </c>
      <c r="I2400" s="8">
        <f t="shared" si="74"/>
        <v>179.73856209150327</v>
      </c>
      <c r="J2400" s="3" t="str">
        <f t="shared" si="75"/>
        <v>Low</v>
      </c>
    </row>
    <row r="2401" spans="1:10">
      <c r="A2401" s="4" t="s">
        <v>2480</v>
      </c>
      <c r="B2401" s="16" t="s">
        <v>2210</v>
      </c>
      <c r="C2401" s="17" t="s">
        <v>2164</v>
      </c>
      <c r="D2401" s="21">
        <v>165000</v>
      </c>
      <c r="E2401" s="4">
        <v>29</v>
      </c>
      <c r="F2401" s="4">
        <v>3</v>
      </c>
      <c r="G2401" s="4">
        <v>1</v>
      </c>
      <c r="H2401" s="4">
        <v>900</v>
      </c>
      <c r="I2401" s="5">
        <f t="shared" si="74"/>
        <v>183.33333333333334</v>
      </c>
      <c r="J2401" s="3" t="str">
        <f t="shared" si="75"/>
        <v>Low</v>
      </c>
    </row>
    <row r="2402" spans="1:10">
      <c r="A2402" s="7" t="s">
        <v>2481</v>
      </c>
      <c r="B2402" s="18" t="s">
        <v>2166</v>
      </c>
      <c r="C2402" s="19" t="s">
        <v>2164</v>
      </c>
      <c r="D2402" s="22">
        <v>165000</v>
      </c>
      <c r="E2402" s="7">
        <v>21</v>
      </c>
      <c r="F2402" s="7">
        <v>3</v>
      </c>
      <c r="G2402" s="7">
        <v>1.1000000000000001</v>
      </c>
      <c r="H2402" s="7">
        <v>930</v>
      </c>
      <c r="I2402" s="8">
        <f t="shared" si="74"/>
        <v>177.41935483870967</v>
      </c>
      <c r="J2402" s="3" t="str">
        <f t="shared" si="75"/>
        <v>Low</v>
      </c>
    </row>
    <row r="2403" spans="1:10">
      <c r="A2403" s="4" t="s">
        <v>2482</v>
      </c>
      <c r="B2403" s="16" t="s">
        <v>2193</v>
      </c>
      <c r="C2403" s="17" t="s">
        <v>2164</v>
      </c>
      <c r="D2403" s="21">
        <v>165000</v>
      </c>
      <c r="E2403" s="4">
        <v>21</v>
      </c>
      <c r="F2403" s="4">
        <v>4</v>
      </c>
      <c r="G2403" s="4">
        <v>2</v>
      </c>
      <c r="H2403" s="10">
        <v>1795</v>
      </c>
      <c r="I2403" s="5">
        <f t="shared" si="74"/>
        <v>91.922005571030638</v>
      </c>
      <c r="J2403" s="3" t="str">
        <f t="shared" si="75"/>
        <v>Low</v>
      </c>
    </row>
    <row r="2404" spans="1:10">
      <c r="A2404" s="7" t="s">
        <v>2483</v>
      </c>
      <c r="B2404" s="18" t="s">
        <v>2210</v>
      </c>
      <c r="C2404" s="19" t="s">
        <v>2164</v>
      </c>
      <c r="D2404" s="22">
        <v>165000</v>
      </c>
      <c r="E2404" s="7">
        <v>6</v>
      </c>
      <c r="F2404" s="7">
        <v>3</v>
      </c>
      <c r="G2404" s="7">
        <v>2</v>
      </c>
      <c r="H2404" s="7">
        <v>959</v>
      </c>
      <c r="I2404" s="8">
        <f t="shared" si="74"/>
        <v>172.05422314911365</v>
      </c>
      <c r="J2404" s="3" t="str">
        <f t="shared" si="75"/>
        <v>Low</v>
      </c>
    </row>
    <row r="2405" spans="1:10">
      <c r="A2405" s="4" t="s">
        <v>2484</v>
      </c>
      <c r="B2405" s="16" t="s">
        <v>2166</v>
      </c>
      <c r="C2405" s="17" t="s">
        <v>2164</v>
      </c>
      <c r="D2405" s="21">
        <v>165000</v>
      </c>
      <c r="E2405" s="4">
        <v>5</v>
      </c>
      <c r="F2405" s="4">
        <v>3</v>
      </c>
      <c r="G2405" s="4">
        <v>1.1000000000000001</v>
      </c>
      <c r="H2405" s="10">
        <v>1049</v>
      </c>
      <c r="I2405" s="5">
        <f t="shared" si="74"/>
        <v>157.29265967588179</v>
      </c>
      <c r="J2405" s="3" t="str">
        <f t="shared" si="75"/>
        <v>Low</v>
      </c>
    </row>
    <row r="2406" spans="1:10">
      <c r="A2406" s="7" t="s">
        <v>2485</v>
      </c>
      <c r="B2406" s="18" t="s">
        <v>2227</v>
      </c>
      <c r="C2406" s="19" t="s">
        <v>2164</v>
      </c>
      <c r="D2406" s="22">
        <v>165000</v>
      </c>
      <c r="E2406" s="7">
        <v>11</v>
      </c>
      <c r="F2406" s="7">
        <v>2</v>
      </c>
      <c r="G2406" s="7">
        <v>1.1000000000000001</v>
      </c>
      <c r="H2406" s="12">
        <v>1184</v>
      </c>
      <c r="I2406" s="8">
        <f t="shared" si="74"/>
        <v>139.3581081081081</v>
      </c>
      <c r="J2406" s="3" t="str">
        <f t="shared" si="75"/>
        <v>Low</v>
      </c>
    </row>
    <row r="2407" spans="1:10">
      <c r="A2407" s="4" t="s">
        <v>2486</v>
      </c>
      <c r="B2407" s="16" t="s">
        <v>2181</v>
      </c>
      <c r="C2407" s="17" t="s">
        <v>2164</v>
      </c>
      <c r="D2407" s="21">
        <v>165000</v>
      </c>
      <c r="E2407" s="4">
        <v>7</v>
      </c>
      <c r="F2407" s="4">
        <v>4</v>
      </c>
      <c r="G2407" s="4">
        <v>2</v>
      </c>
      <c r="H2407" s="10">
        <v>1714</v>
      </c>
      <c r="I2407" s="5">
        <f t="shared" si="74"/>
        <v>96.266044340723454</v>
      </c>
      <c r="J2407" s="3" t="str">
        <f t="shared" si="75"/>
        <v>Low</v>
      </c>
    </row>
    <row r="2408" spans="1:10">
      <c r="A2408" s="7" t="s">
        <v>2487</v>
      </c>
      <c r="B2408" s="18" t="s">
        <v>2166</v>
      </c>
      <c r="C2408" s="19" t="s">
        <v>2164</v>
      </c>
      <c r="D2408" s="22">
        <v>165000</v>
      </c>
      <c r="E2408" s="7">
        <v>12</v>
      </c>
      <c r="F2408" s="7">
        <v>3</v>
      </c>
      <c r="G2408" s="7">
        <v>2</v>
      </c>
      <c r="H2408" s="7">
        <v>945</v>
      </c>
      <c r="I2408" s="8">
        <f t="shared" si="74"/>
        <v>174.60317460317461</v>
      </c>
      <c r="J2408" s="3" t="str">
        <f t="shared" si="75"/>
        <v>Low</v>
      </c>
    </row>
    <row r="2409" spans="1:10">
      <c r="A2409" s="4" t="s">
        <v>2488</v>
      </c>
      <c r="B2409" s="16" t="s">
        <v>2173</v>
      </c>
      <c r="C2409" s="17" t="s">
        <v>2164</v>
      </c>
      <c r="D2409" s="21">
        <v>165000</v>
      </c>
      <c r="E2409" s="4">
        <v>7</v>
      </c>
      <c r="F2409" s="4">
        <v>2</v>
      </c>
      <c r="G2409" s="4">
        <v>1</v>
      </c>
      <c r="H2409" s="10">
        <v>1094</v>
      </c>
      <c r="I2409" s="5">
        <f t="shared" si="74"/>
        <v>150.82266910420475</v>
      </c>
      <c r="J2409" s="3" t="str">
        <f t="shared" si="75"/>
        <v>Low</v>
      </c>
    </row>
    <row r="2410" spans="1:10">
      <c r="A2410" s="7" t="s">
        <v>2489</v>
      </c>
      <c r="B2410" s="18" t="s">
        <v>2168</v>
      </c>
      <c r="C2410" s="19" t="s">
        <v>2164</v>
      </c>
      <c r="D2410" s="22">
        <v>165000</v>
      </c>
      <c r="E2410" s="7">
        <v>33</v>
      </c>
      <c r="F2410" s="7">
        <v>3</v>
      </c>
      <c r="G2410" s="7">
        <v>1</v>
      </c>
      <c r="H2410" s="12">
        <v>1755</v>
      </c>
      <c r="I2410" s="8">
        <f t="shared" si="74"/>
        <v>94.017094017094024</v>
      </c>
      <c r="J2410" s="3" t="str">
        <f t="shared" si="75"/>
        <v>Low</v>
      </c>
    </row>
    <row r="2411" spans="1:10">
      <c r="A2411" s="4" t="s">
        <v>2490</v>
      </c>
      <c r="B2411" s="16" t="s">
        <v>2166</v>
      </c>
      <c r="C2411" s="17" t="s">
        <v>2164</v>
      </c>
      <c r="D2411" s="21">
        <v>165000</v>
      </c>
      <c r="E2411" s="4">
        <v>103</v>
      </c>
      <c r="F2411" s="4">
        <v>3</v>
      </c>
      <c r="G2411" s="4">
        <v>1</v>
      </c>
      <c r="H2411" s="4">
        <v>920</v>
      </c>
      <c r="I2411" s="5">
        <f t="shared" si="74"/>
        <v>179.34782608695653</v>
      </c>
      <c r="J2411" s="3" t="str">
        <f t="shared" si="75"/>
        <v>Low</v>
      </c>
    </row>
    <row r="2412" spans="1:10">
      <c r="A2412" s="7" t="s">
        <v>2491</v>
      </c>
      <c r="B2412" s="18" t="s">
        <v>2171</v>
      </c>
      <c r="C2412" s="19" t="s">
        <v>2164</v>
      </c>
      <c r="D2412" s="22">
        <v>165000</v>
      </c>
      <c r="E2412" s="7">
        <v>96</v>
      </c>
      <c r="F2412" s="7">
        <v>3</v>
      </c>
      <c r="G2412" s="7">
        <v>2</v>
      </c>
      <c r="H2412" s="12">
        <v>1455</v>
      </c>
      <c r="I2412" s="8">
        <f t="shared" si="74"/>
        <v>113.4020618556701</v>
      </c>
      <c r="J2412" s="3" t="str">
        <f t="shared" si="75"/>
        <v>Low</v>
      </c>
    </row>
    <row r="2413" spans="1:10">
      <c r="A2413" s="4" t="s">
        <v>2492</v>
      </c>
      <c r="B2413" s="16" t="s">
        <v>2166</v>
      </c>
      <c r="C2413" s="17" t="s">
        <v>2164</v>
      </c>
      <c r="D2413" s="21">
        <v>166000</v>
      </c>
      <c r="E2413" s="4">
        <v>2</v>
      </c>
      <c r="F2413" s="4">
        <v>2</v>
      </c>
      <c r="G2413" s="4">
        <v>2</v>
      </c>
      <c r="H2413" s="4">
        <v>922</v>
      </c>
      <c r="I2413" s="5">
        <f t="shared" si="74"/>
        <v>180.04338394793928</v>
      </c>
      <c r="J2413" s="3" t="str">
        <f t="shared" si="75"/>
        <v>Low</v>
      </c>
    </row>
    <row r="2414" spans="1:10">
      <c r="A2414" s="7" t="s">
        <v>2493</v>
      </c>
      <c r="B2414" s="18" t="s">
        <v>2168</v>
      </c>
      <c r="C2414" s="19" t="s">
        <v>2164</v>
      </c>
      <c r="D2414" s="22">
        <v>166000</v>
      </c>
      <c r="E2414" s="7">
        <v>9</v>
      </c>
      <c r="F2414" s="7">
        <v>3</v>
      </c>
      <c r="G2414" s="7">
        <v>1</v>
      </c>
      <c r="H2414" s="7">
        <v>988</v>
      </c>
      <c r="I2414" s="8">
        <f t="shared" si="74"/>
        <v>168.0161943319838</v>
      </c>
      <c r="J2414" s="3" t="str">
        <f t="shared" si="75"/>
        <v>Low</v>
      </c>
    </row>
    <row r="2415" spans="1:10">
      <c r="A2415" s="4" t="s">
        <v>2494</v>
      </c>
      <c r="B2415" s="16" t="s">
        <v>2166</v>
      </c>
      <c r="C2415" s="17" t="s">
        <v>2164</v>
      </c>
      <c r="D2415" s="21">
        <v>166000</v>
      </c>
      <c r="E2415" s="4">
        <v>19</v>
      </c>
      <c r="F2415" s="4">
        <v>3</v>
      </c>
      <c r="G2415" s="4">
        <v>1.1000000000000001</v>
      </c>
      <c r="H2415" s="10">
        <v>1285</v>
      </c>
      <c r="I2415" s="5">
        <f t="shared" si="74"/>
        <v>129.1828793774319</v>
      </c>
      <c r="J2415" s="3" t="str">
        <f t="shared" si="75"/>
        <v>Low</v>
      </c>
    </row>
    <row r="2416" spans="1:10">
      <c r="A2416" s="7" t="s">
        <v>2495</v>
      </c>
      <c r="B2416" s="18" t="s">
        <v>2173</v>
      </c>
      <c r="C2416" s="19" t="s">
        <v>2164</v>
      </c>
      <c r="D2416" s="22">
        <v>167000</v>
      </c>
      <c r="E2416" s="7">
        <v>4</v>
      </c>
      <c r="F2416" s="7">
        <v>3</v>
      </c>
      <c r="G2416" s="7">
        <v>2</v>
      </c>
      <c r="H2416" s="12">
        <v>1007</v>
      </c>
      <c r="I2416" s="8">
        <f t="shared" si="74"/>
        <v>165.83912611717975</v>
      </c>
      <c r="J2416" s="3" t="str">
        <f t="shared" si="75"/>
        <v>Low</v>
      </c>
    </row>
    <row r="2417" spans="1:10">
      <c r="A2417" s="4" t="s">
        <v>2496</v>
      </c>
      <c r="B2417" s="16" t="s">
        <v>2173</v>
      </c>
      <c r="C2417" s="17" t="s">
        <v>2164</v>
      </c>
      <c r="D2417" s="21">
        <v>167000</v>
      </c>
      <c r="E2417" s="4">
        <v>24</v>
      </c>
      <c r="F2417" s="4">
        <v>4</v>
      </c>
      <c r="G2417" s="4">
        <v>1</v>
      </c>
      <c r="H2417" s="10">
        <v>1176</v>
      </c>
      <c r="I2417" s="5">
        <f t="shared" si="74"/>
        <v>142.00680272108843</v>
      </c>
      <c r="J2417" s="3" t="str">
        <f t="shared" si="75"/>
        <v>Low</v>
      </c>
    </row>
    <row r="2418" spans="1:10">
      <c r="A2418" s="7" t="s">
        <v>2497</v>
      </c>
      <c r="B2418" s="18" t="s">
        <v>2173</v>
      </c>
      <c r="C2418" s="19" t="s">
        <v>2164</v>
      </c>
      <c r="D2418" s="22">
        <v>167500</v>
      </c>
      <c r="E2418" s="7">
        <v>28</v>
      </c>
      <c r="F2418" s="7">
        <v>3</v>
      </c>
      <c r="G2418" s="7">
        <v>1</v>
      </c>
      <c r="H2418" s="7">
        <v>962</v>
      </c>
      <c r="I2418" s="8">
        <f t="shared" si="74"/>
        <v>174.11642411642413</v>
      </c>
      <c r="J2418" s="3" t="str">
        <f t="shared" si="75"/>
        <v>Low</v>
      </c>
    </row>
    <row r="2419" spans="1:10">
      <c r="A2419" s="4" t="s">
        <v>2498</v>
      </c>
      <c r="B2419" s="16" t="s">
        <v>2181</v>
      </c>
      <c r="C2419" s="17" t="s">
        <v>2164</v>
      </c>
      <c r="D2419" s="21">
        <v>168000</v>
      </c>
      <c r="E2419" s="4">
        <v>13</v>
      </c>
      <c r="F2419" s="4">
        <v>3</v>
      </c>
      <c r="G2419" s="4">
        <v>1</v>
      </c>
      <c r="H2419" s="4">
        <v>900</v>
      </c>
      <c r="I2419" s="5">
        <f t="shared" si="74"/>
        <v>186.66666666666666</v>
      </c>
      <c r="J2419" s="3" t="str">
        <f t="shared" si="75"/>
        <v>Low</v>
      </c>
    </row>
    <row r="2420" spans="1:10">
      <c r="A2420" s="7" t="s">
        <v>2499</v>
      </c>
      <c r="B2420" s="18" t="s">
        <v>2166</v>
      </c>
      <c r="C2420" s="19" t="s">
        <v>2164</v>
      </c>
      <c r="D2420" s="22">
        <v>168000</v>
      </c>
      <c r="E2420" s="7">
        <v>34</v>
      </c>
      <c r="F2420" s="7">
        <v>3</v>
      </c>
      <c r="G2420" s="7">
        <v>1</v>
      </c>
      <c r="H2420" s="12">
        <v>1092</v>
      </c>
      <c r="I2420" s="8">
        <f t="shared" si="74"/>
        <v>153.84615384615384</v>
      </c>
      <c r="J2420" s="3" t="str">
        <f t="shared" si="75"/>
        <v>Low</v>
      </c>
    </row>
    <row r="2421" spans="1:10">
      <c r="A2421" s="4" t="s">
        <v>2500</v>
      </c>
      <c r="B2421" s="16" t="s">
        <v>2168</v>
      </c>
      <c r="C2421" s="17" t="s">
        <v>2164</v>
      </c>
      <c r="D2421" s="21">
        <v>168000</v>
      </c>
      <c r="E2421" s="4">
        <v>28</v>
      </c>
      <c r="F2421" s="4">
        <v>3</v>
      </c>
      <c r="G2421" s="4">
        <v>1.1000000000000001</v>
      </c>
      <c r="H2421" s="4">
        <v>900</v>
      </c>
      <c r="I2421" s="5">
        <f t="shared" si="74"/>
        <v>186.66666666666666</v>
      </c>
      <c r="J2421" s="3" t="str">
        <f t="shared" si="75"/>
        <v>Low</v>
      </c>
    </row>
    <row r="2422" spans="1:10">
      <c r="A2422" s="7" t="s">
        <v>2501</v>
      </c>
      <c r="B2422" s="18" t="s">
        <v>2407</v>
      </c>
      <c r="C2422" s="19" t="s">
        <v>2164</v>
      </c>
      <c r="D2422" s="22">
        <v>168000</v>
      </c>
      <c r="E2422" s="7">
        <v>42</v>
      </c>
      <c r="F2422" s="7">
        <v>3</v>
      </c>
      <c r="G2422" s="7">
        <v>1</v>
      </c>
      <c r="H2422" s="12">
        <v>1600</v>
      </c>
      <c r="I2422" s="8">
        <f t="shared" si="74"/>
        <v>105</v>
      </c>
      <c r="J2422" s="3" t="str">
        <f t="shared" si="75"/>
        <v>Low</v>
      </c>
    </row>
    <row r="2423" spans="1:10">
      <c r="A2423" s="4" t="s">
        <v>2502</v>
      </c>
      <c r="B2423" s="16" t="s">
        <v>2173</v>
      </c>
      <c r="C2423" s="17" t="s">
        <v>2164</v>
      </c>
      <c r="D2423" s="21">
        <v>169000</v>
      </c>
      <c r="E2423" s="4">
        <v>172</v>
      </c>
      <c r="F2423" s="4">
        <v>3</v>
      </c>
      <c r="G2423" s="4">
        <v>2</v>
      </c>
      <c r="H2423" s="10">
        <v>1190</v>
      </c>
      <c r="I2423" s="5">
        <f t="shared" si="74"/>
        <v>142.01680672268907</v>
      </c>
      <c r="J2423" s="3" t="str">
        <f t="shared" si="75"/>
        <v>Low</v>
      </c>
    </row>
    <row r="2424" spans="1:10">
      <c r="A2424" s="7" t="s">
        <v>2503</v>
      </c>
      <c r="B2424" s="18" t="s">
        <v>2210</v>
      </c>
      <c r="C2424" s="19" t="s">
        <v>2164</v>
      </c>
      <c r="D2424" s="22">
        <v>169750</v>
      </c>
      <c r="E2424" s="7">
        <v>31</v>
      </c>
      <c r="F2424" s="7">
        <v>3</v>
      </c>
      <c r="G2424" s="7">
        <v>2</v>
      </c>
      <c r="H2424" s="12">
        <v>1080</v>
      </c>
      <c r="I2424" s="8">
        <f t="shared" si="74"/>
        <v>157.17592592592592</v>
      </c>
      <c r="J2424" s="3" t="str">
        <f t="shared" si="75"/>
        <v>Low</v>
      </c>
    </row>
    <row r="2425" spans="1:10">
      <c r="A2425" s="4" t="s">
        <v>2504</v>
      </c>
      <c r="B2425" s="16" t="s">
        <v>2166</v>
      </c>
      <c r="C2425" s="17" t="s">
        <v>2164</v>
      </c>
      <c r="D2425" s="21">
        <v>170000</v>
      </c>
      <c r="E2425" s="4">
        <v>15</v>
      </c>
      <c r="F2425" s="4">
        <v>3</v>
      </c>
      <c r="G2425" s="4">
        <v>1.1000000000000001</v>
      </c>
      <c r="H2425" s="10">
        <v>1094</v>
      </c>
      <c r="I2425" s="5">
        <f t="shared" si="74"/>
        <v>155.39305301645339</v>
      </c>
      <c r="J2425" s="3" t="str">
        <f t="shared" si="75"/>
        <v>Low</v>
      </c>
    </row>
    <row r="2426" spans="1:10">
      <c r="A2426" s="7" t="s">
        <v>2505</v>
      </c>
      <c r="B2426" s="18" t="s">
        <v>2168</v>
      </c>
      <c r="C2426" s="19" t="s">
        <v>2164</v>
      </c>
      <c r="D2426" s="22">
        <v>170000</v>
      </c>
      <c r="E2426" s="7">
        <v>21</v>
      </c>
      <c r="F2426" s="7">
        <v>3</v>
      </c>
      <c r="G2426" s="7">
        <v>1</v>
      </c>
      <c r="H2426" s="12">
        <v>1338</v>
      </c>
      <c r="I2426" s="8">
        <f t="shared" si="74"/>
        <v>127.05530642750374</v>
      </c>
      <c r="J2426" s="3" t="str">
        <f t="shared" si="75"/>
        <v>Low</v>
      </c>
    </row>
    <row r="2427" spans="1:10">
      <c r="A2427" s="4" t="s">
        <v>2506</v>
      </c>
      <c r="B2427" s="16" t="s">
        <v>2210</v>
      </c>
      <c r="C2427" s="17" t="s">
        <v>2164</v>
      </c>
      <c r="D2427" s="21">
        <v>170000</v>
      </c>
      <c r="E2427" s="4">
        <v>9</v>
      </c>
      <c r="F2427" s="4">
        <v>2</v>
      </c>
      <c r="G2427" s="4">
        <v>1</v>
      </c>
      <c r="H2427" s="10">
        <v>1000</v>
      </c>
      <c r="I2427" s="5">
        <f t="shared" si="74"/>
        <v>170</v>
      </c>
      <c r="J2427" s="3" t="str">
        <f t="shared" si="75"/>
        <v>Low</v>
      </c>
    </row>
    <row r="2428" spans="1:10">
      <c r="A2428" s="7" t="s">
        <v>2507</v>
      </c>
      <c r="B2428" s="18" t="s">
        <v>2181</v>
      </c>
      <c r="C2428" s="19" t="s">
        <v>2164</v>
      </c>
      <c r="D2428" s="22">
        <v>170000</v>
      </c>
      <c r="E2428" s="7">
        <v>10</v>
      </c>
      <c r="F2428" s="7">
        <v>4</v>
      </c>
      <c r="G2428" s="7">
        <v>1.1000000000000001</v>
      </c>
      <c r="H2428" s="12">
        <v>1218</v>
      </c>
      <c r="I2428" s="8">
        <f t="shared" si="74"/>
        <v>139.57307060755338</v>
      </c>
      <c r="J2428" s="3" t="str">
        <f t="shared" si="75"/>
        <v>Low</v>
      </c>
    </row>
    <row r="2429" spans="1:10">
      <c r="A2429" s="4" t="s">
        <v>2508</v>
      </c>
      <c r="B2429" s="16" t="s">
        <v>2166</v>
      </c>
      <c r="C2429" s="17" t="s">
        <v>2164</v>
      </c>
      <c r="D2429" s="21">
        <v>170000</v>
      </c>
      <c r="E2429" s="4">
        <v>18</v>
      </c>
      <c r="F2429" s="4">
        <v>3</v>
      </c>
      <c r="G2429" s="4">
        <v>1.1000000000000001</v>
      </c>
      <c r="H2429" s="4">
        <v>945</v>
      </c>
      <c r="I2429" s="5">
        <f t="shared" si="74"/>
        <v>179.8941798941799</v>
      </c>
      <c r="J2429" s="3" t="str">
        <f t="shared" si="75"/>
        <v>Low</v>
      </c>
    </row>
    <row r="2430" spans="1:10">
      <c r="A2430" s="7" t="s">
        <v>2509</v>
      </c>
      <c r="B2430" s="18" t="s">
        <v>2210</v>
      </c>
      <c r="C2430" s="19" t="s">
        <v>2164</v>
      </c>
      <c r="D2430" s="22">
        <v>170000</v>
      </c>
      <c r="E2430" s="7">
        <v>5</v>
      </c>
      <c r="F2430" s="7">
        <v>3</v>
      </c>
      <c r="G2430" s="7">
        <v>2</v>
      </c>
      <c r="H2430" s="12">
        <v>1010</v>
      </c>
      <c r="I2430" s="8">
        <f t="shared" si="74"/>
        <v>168.31683168316832</v>
      </c>
      <c r="J2430" s="3" t="str">
        <f t="shared" si="75"/>
        <v>Low</v>
      </c>
    </row>
    <row r="2431" spans="1:10">
      <c r="A2431" s="4" t="s">
        <v>2510</v>
      </c>
      <c r="B2431" s="16" t="s">
        <v>2166</v>
      </c>
      <c r="C2431" s="17" t="s">
        <v>2164</v>
      </c>
      <c r="D2431" s="21">
        <v>170000</v>
      </c>
      <c r="E2431" s="4">
        <v>4</v>
      </c>
      <c r="F2431" s="4">
        <v>3</v>
      </c>
      <c r="G2431" s="4">
        <v>1</v>
      </c>
      <c r="H2431" s="10">
        <v>1040</v>
      </c>
      <c r="I2431" s="5">
        <f t="shared" si="74"/>
        <v>163.46153846153845</v>
      </c>
      <c r="J2431" s="3" t="str">
        <f t="shared" si="75"/>
        <v>Low</v>
      </c>
    </row>
    <row r="2432" spans="1:10">
      <c r="A2432" s="7" t="s">
        <v>2511</v>
      </c>
      <c r="B2432" s="18" t="s">
        <v>2173</v>
      </c>
      <c r="C2432" s="19" t="s">
        <v>2164</v>
      </c>
      <c r="D2432" s="22">
        <v>170000</v>
      </c>
      <c r="E2432" s="7">
        <v>41</v>
      </c>
      <c r="F2432" s="7">
        <v>3</v>
      </c>
      <c r="G2432" s="7">
        <v>2.1</v>
      </c>
      <c r="H2432" s="12">
        <v>1308</v>
      </c>
      <c r="I2432" s="8">
        <f t="shared" si="74"/>
        <v>129.96941896024464</v>
      </c>
      <c r="J2432" s="3" t="str">
        <f t="shared" si="75"/>
        <v>Low</v>
      </c>
    </row>
    <row r="2433" spans="1:10">
      <c r="A2433" s="4" t="s">
        <v>2512</v>
      </c>
      <c r="B2433" s="16" t="s">
        <v>2166</v>
      </c>
      <c r="C2433" s="17" t="s">
        <v>2164</v>
      </c>
      <c r="D2433" s="21">
        <v>170000</v>
      </c>
      <c r="E2433" s="4">
        <v>26</v>
      </c>
      <c r="F2433" s="4">
        <v>3</v>
      </c>
      <c r="G2433" s="4">
        <v>1</v>
      </c>
      <c r="H2433" s="10">
        <v>1026</v>
      </c>
      <c r="I2433" s="5">
        <f t="shared" si="74"/>
        <v>165.69200779727095</v>
      </c>
      <c r="J2433" s="3" t="str">
        <f t="shared" si="75"/>
        <v>Low</v>
      </c>
    </row>
    <row r="2434" spans="1:10">
      <c r="A2434" s="7" t="s">
        <v>2513</v>
      </c>
      <c r="B2434" s="18" t="s">
        <v>2166</v>
      </c>
      <c r="C2434" s="19" t="s">
        <v>2164</v>
      </c>
      <c r="D2434" s="22">
        <v>170000</v>
      </c>
      <c r="E2434" s="7">
        <v>26</v>
      </c>
      <c r="F2434" s="7">
        <v>4</v>
      </c>
      <c r="G2434" s="7">
        <v>2</v>
      </c>
      <c r="H2434" s="12">
        <v>1596</v>
      </c>
      <c r="I2434" s="8">
        <f t="shared" ref="I2434:I2497" si="76">D2434/H2434</f>
        <v>106.51629072681705</v>
      </c>
      <c r="J2434" s="3" t="str">
        <f t="shared" ref="J2434:J2497" si="77">IF(I2434 &gt; 300, "High", IF(AND(I2434 &lt;= 300, I2434 &gt; 200), "Medium", "Low"))</f>
        <v>Low</v>
      </c>
    </row>
    <row r="2435" spans="1:10">
      <c r="A2435" s="4" t="s">
        <v>2514</v>
      </c>
      <c r="B2435" s="16" t="s">
        <v>2210</v>
      </c>
      <c r="C2435" s="17" t="s">
        <v>2164</v>
      </c>
      <c r="D2435" s="21">
        <v>171000</v>
      </c>
      <c r="E2435" s="4">
        <v>2</v>
      </c>
      <c r="F2435" s="4">
        <v>3</v>
      </c>
      <c r="G2435" s="4">
        <v>1</v>
      </c>
      <c r="H2435" s="10">
        <v>1074</v>
      </c>
      <c r="I2435" s="5">
        <f t="shared" si="76"/>
        <v>159.21787709497207</v>
      </c>
      <c r="J2435" s="3" t="str">
        <f t="shared" si="77"/>
        <v>Low</v>
      </c>
    </row>
    <row r="2436" spans="1:10">
      <c r="A2436" s="7" t="s">
        <v>2515</v>
      </c>
      <c r="B2436" s="18" t="s">
        <v>2193</v>
      </c>
      <c r="C2436" s="19" t="s">
        <v>2164</v>
      </c>
      <c r="D2436" s="22">
        <v>171500</v>
      </c>
      <c r="E2436" s="7">
        <v>6</v>
      </c>
      <c r="F2436" s="7">
        <v>3</v>
      </c>
      <c r="G2436" s="7">
        <v>1</v>
      </c>
      <c r="H2436" s="7">
        <v>912</v>
      </c>
      <c r="I2436" s="8">
        <f t="shared" si="76"/>
        <v>188.0482456140351</v>
      </c>
      <c r="J2436" s="3" t="str">
        <f t="shared" si="77"/>
        <v>Low</v>
      </c>
    </row>
    <row r="2437" spans="1:10">
      <c r="A2437" s="4" t="s">
        <v>2516</v>
      </c>
      <c r="B2437" s="16" t="s">
        <v>2166</v>
      </c>
      <c r="C2437" s="17" t="s">
        <v>2164</v>
      </c>
      <c r="D2437" s="21">
        <v>172000</v>
      </c>
      <c r="E2437" s="4">
        <v>9</v>
      </c>
      <c r="F2437" s="4">
        <v>3</v>
      </c>
      <c r="G2437" s="4">
        <v>1</v>
      </c>
      <c r="H2437" s="4">
        <v>945</v>
      </c>
      <c r="I2437" s="5">
        <f t="shared" si="76"/>
        <v>182.010582010582</v>
      </c>
      <c r="J2437" s="3" t="str">
        <f t="shared" si="77"/>
        <v>Low</v>
      </c>
    </row>
    <row r="2438" spans="1:10">
      <c r="A2438" s="7" t="s">
        <v>2517</v>
      </c>
      <c r="B2438" s="18" t="s">
        <v>2227</v>
      </c>
      <c r="C2438" s="19" t="s">
        <v>2164</v>
      </c>
      <c r="D2438" s="22">
        <v>172000</v>
      </c>
      <c r="E2438" s="7">
        <v>6</v>
      </c>
      <c r="F2438" s="7">
        <v>3</v>
      </c>
      <c r="G2438" s="7">
        <v>1</v>
      </c>
      <c r="H2438" s="12">
        <v>1250</v>
      </c>
      <c r="I2438" s="8">
        <f t="shared" si="76"/>
        <v>137.6</v>
      </c>
      <c r="J2438" s="3" t="str">
        <f t="shared" si="77"/>
        <v>Low</v>
      </c>
    </row>
    <row r="2439" spans="1:10">
      <c r="A2439" s="4" t="s">
        <v>2518</v>
      </c>
      <c r="B2439" s="16" t="s">
        <v>2168</v>
      </c>
      <c r="C2439" s="17" t="s">
        <v>2164</v>
      </c>
      <c r="D2439" s="21">
        <v>173000</v>
      </c>
      <c r="E2439" s="4">
        <v>109</v>
      </c>
      <c r="F2439" s="4">
        <v>3</v>
      </c>
      <c r="G2439" s="4">
        <v>1</v>
      </c>
      <c r="H2439" s="10">
        <v>1359</v>
      </c>
      <c r="I2439" s="5">
        <f t="shared" si="76"/>
        <v>127.29948491537895</v>
      </c>
      <c r="J2439" s="3" t="str">
        <f t="shared" si="77"/>
        <v>Low</v>
      </c>
    </row>
    <row r="2440" spans="1:10">
      <c r="A2440" s="7" t="s">
        <v>2519</v>
      </c>
      <c r="B2440" s="18" t="s">
        <v>2173</v>
      </c>
      <c r="C2440" s="19" t="s">
        <v>2164</v>
      </c>
      <c r="D2440" s="22">
        <v>173000</v>
      </c>
      <c r="E2440" s="7">
        <v>19</v>
      </c>
      <c r="F2440" s="7">
        <v>3</v>
      </c>
      <c r="G2440" s="7">
        <v>1.1000000000000001</v>
      </c>
      <c r="H2440" s="12">
        <v>1522</v>
      </c>
      <c r="I2440" s="8">
        <f t="shared" si="76"/>
        <v>113.66622864651774</v>
      </c>
      <c r="J2440" s="3" t="str">
        <f t="shared" si="77"/>
        <v>Low</v>
      </c>
    </row>
    <row r="2441" spans="1:10">
      <c r="A2441" s="4" t="s">
        <v>2520</v>
      </c>
      <c r="B2441" s="16" t="s">
        <v>2173</v>
      </c>
      <c r="C2441" s="17" t="s">
        <v>2164</v>
      </c>
      <c r="D2441" s="21">
        <v>174000</v>
      </c>
      <c r="E2441" s="4">
        <v>16</v>
      </c>
      <c r="F2441" s="4">
        <v>5</v>
      </c>
      <c r="G2441" s="4">
        <v>2</v>
      </c>
      <c r="H2441" s="10">
        <v>1459</v>
      </c>
      <c r="I2441" s="5">
        <f t="shared" si="76"/>
        <v>119.25976696367375</v>
      </c>
      <c r="J2441" s="3" t="str">
        <f t="shared" si="77"/>
        <v>Low</v>
      </c>
    </row>
    <row r="2442" spans="1:10">
      <c r="A2442" s="7" t="s">
        <v>2521</v>
      </c>
      <c r="B2442" s="18" t="s">
        <v>2166</v>
      </c>
      <c r="C2442" s="19" t="s">
        <v>2164</v>
      </c>
      <c r="D2442" s="22">
        <v>175000</v>
      </c>
      <c r="E2442" s="7">
        <v>3</v>
      </c>
      <c r="F2442" s="7">
        <v>3</v>
      </c>
      <c r="G2442" s="7">
        <v>1.1000000000000001</v>
      </c>
      <c r="H2442" s="12">
        <v>1092</v>
      </c>
      <c r="I2442" s="8">
        <f t="shared" si="76"/>
        <v>160.25641025641025</v>
      </c>
      <c r="J2442" s="3" t="str">
        <f t="shared" si="77"/>
        <v>Low</v>
      </c>
    </row>
    <row r="2443" spans="1:10">
      <c r="A2443" s="4" t="s">
        <v>2522</v>
      </c>
      <c r="B2443" s="16" t="s">
        <v>2523</v>
      </c>
      <c r="C2443" s="17" t="s">
        <v>2164</v>
      </c>
      <c r="D2443" s="21">
        <v>175000</v>
      </c>
      <c r="E2443" s="4">
        <v>13</v>
      </c>
      <c r="F2443" s="4">
        <v>3</v>
      </c>
      <c r="G2443" s="4">
        <v>1.1000000000000001</v>
      </c>
      <c r="H2443" s="10">
        <v>1116</v>
      </c>
      <c r="I2443" s="5">
        <f t="shared" si="76"/>
        <v>156.8100358422939</v>
      </c>
      <c r="J2443" s="3" t="str">
        <f t="shared" si="77"/>
        <v>Low</v>
      </c>
    </row>
    <row r="2444" spans="1:10">
      <c r="A2444" s="7" t="s">
        <v>2524</v>
      </c>
      <c r="B2444" s="18" t="s">
        <v>2173</v>
      </c>
      <c r="C2444" s="19" t="s">
        <v>2164</v>
      </c>
      <c r="D2444" s="22">
        <v>175000</v>
      </c>
      <c r="E2444" s="7">
        <v>42</v>
      </c>
      <c r="F2444" s="7">
        <v>3</v>
      </c>
      <c r="G2444" s="7">
        <v>1</v>
      </c>
      <c r="H2444" s="12">
        <v>1263</v>
      </c>
      <c r="I2444" s="8">
        <f t="shared" si="76"/>
        <v>138.55898653998418</v>
      </c>
      <c r="J2444" s="3" t="str">
        <f t="shared" si="77"/>
        <v>Low</v>
      </c>
    </row>
    <row r="2445" spans="1:10">
      <c r="A2445" s="4" t="s">
        <v>2525</v>
      </c>
      <c r="B2445" s="16" t="s">
        <v>2210</v>
      </c>
      <c r="C2445" s="17" t="s">
        <v>2164</v>
      </c>
      <c r="D2445" s="21">
        <v>175000</v>
      </c>
      <c r="E2445" s="4">
        <v>5</v>
      </c>
      <c r="F2445" s="4">
        <v>3</v>
      </c>
      <c r="G2445" s="4">
        <v>1.1000000000000001</v>
      </c>
      <c r="H2445" s="10">
        <v>1068</v>
      </c>
      <c r="I2445" s="5">
        <f t="shared" si="76"/>
        <v>163.85767790262173</v>
      </c>
      <c r="J2445" s="3" t="str">
        <f t="shared" si="77"/>
        <v>Low</v>
      </c>
    </row>
    <row r="2446" spans="1:10">
      <c r="A2446" s="7" t="s">
        <v>2526</v>
      </c>
      <c r="B2446" s="18" t="s">
        <v>2173</v>
      </c>
      <c r="C2446" s="19" t="s">
        <v>2164</v>
      </c>
      <c r="D2446" s="22">
        <v>175000</v>
      </c>
      <c r="E2446" s="7">
        <v>15</v>
      </c>
      <c r="F2446" s="7">
        <v>3</v>
      </c>
      <c r="G2446" s="7">
        <v>1</v>
      </c>
      <c r="H2446" s="7">
        <v>939</v>
      </c>
      <c r="I2446" s="8">
        <f t="shared" si="76"/>
        <v>186.36847710330139</v>
      </c>
      <c r="J2446" s="3" t="str">
        <f t="shared" si="77"/>
        <v>Low</v>
      </c>
    </row>
    <row r="2447" spans="1:10">
      <c r="A2447" s="4" t="s">
        <v>2527</v>
      </c>
      <c r="B2447" s="16" t="s">
        <v>2193</v>
      </c>
      <c r="C2447" s="17" t="s">
        <v>2164</v>
      </c>
      <c r="D2447" s="21">
        <v>175000</v>
      </c>
      <c r="E2447" s="4">
        <v>46</v>
      </c>
      <c r="F2447" s="4">
        <v>3</v>
      </c>
      <c r="G2447" s="4">
        <v>1</v>
      </c>
      <c r="H2447" s="10">
        <v>1130</v>
      </c>
      <c r="I2447" s="5">
        <f t="shared" si="76"/>
        <v>154.86725663716814</v>
      </c>
      <c r="J2447" s="3" t="str">
        <f t="shared" si="77"/>
        <v>Low</v>
      </c>
    </row>
    <row r="2448" spans="1:10">
      <c r="A2448" s="7" t="s">
        <v>2528</v>
      </c>
      <c r="B2448" s="18" t="s">
        <v>2316</v>
      </c>
      <c r="C2448" s="19" t="s">
        <v>2164</v>
      </c>
      <c r="D2448" s="22">
        <v>175000</v>
      </c>
      <c r="E2448" s="7">
        <v>6</v>
      </c>
      <c r="F2448" s="7">
        <v>3</v>
      </c>
      <c r="G2448" s="7">
        <v>1.1000000000000001</v>
      </c>
      <c r="H2448" s="12">
        <v>1400</v>
      </c>
      <c r="I2448" s="8">
        <f t="shared" si="76"/>
        <v>125</v>
      </c>
      <c r="J2448" s="3" t="str">
        <f t="shared" si="77"/>
        <v>Low</v>
      </c>
    </row>
    <row r="2449" spans="1:10">
      <c r="A2449" s="4" t="s">
        <v>2529</v>
      </c>
      <c r="B2449" s="16" t="s">
        <v>2173</v>
      </c>
      <c r="C2449" s="17" t="s">
        <v>2164</v>
      </c>
      <c r="D2449" s="21">
        <v>175000</v>
      </c>
      <c r="E2449" s="4">
        <v>53</v>
      </c>
      <c r="F2449" s="4">
        <v>2</v>
      </c>
      <c r="G2449" s="4">
        <v>2</v>
      </c>
      <c r="H2449" s="10">
        <v>1200</v>
      </c>
      <c r="I2449" s="5">
        <f t="shared" si="76"/>
        <v>145.83333333333334</v>
      </c>
      <c r="J2449" s="3" t="str">
        <f t="shared" si="77"/>
        <v>Low</v>
      </c>
    </row>
    <row r="2450" spans="1:10">
      <c r="A2450" s="7" t="s">
        <v>2530</v>
      </c>
      <c r="B2450" s="18" t="s">
        <v>2166</v>
      </c>
      <c r="C2450" s="19" t="s">
        <v>2164</v>
      </c>
      <c r="D2450" s="22">
        <v>175000</v>
      </c>
      <c r="E2450" s="7">
        <v>12</v>
      </c>
      <c r="F2450" s="7">
        <v>3</v>
      </c>
      <c r="G2450" s="7">
        <v>1.1000000000000001</v>
      </c>
      <c r="H2450" s="12">
        <v>1047</v>
      </c>
      <c r="I2450" s="8">
        <f t="shared" si="76"/>
        <v>167.14422158548234</v>
      </c>
      <c r="J2450" s="3" t="str">
        <f t="shared" si="77"/>
        <v>Low</v>
      </c>
    </row>
    <row r="2451" spans="1:10">
      <c r="A2451" s="4" t="s">
        <v>2531</v>
      </c>
      <c r="B2451" s="16" t="s">
        <v>2181</v>
      </c>
      <c r="C2451" s="17" t="s">
        <v>2164</v>
      </c>
      <c r="D2451" s="21">
        <v>175000</v>
      </c>
      <c r="E2451" s="4">
        <v>59</v>
      </c>
      <c r="F2451" s="4">
        <v>4</v>
      </c>
      <c r="G2451" s="4">
        <v>1.1000000000000001</v>
      </c>
      <c r="H2451" s="10">
        <v>1225</v>
      </c>
      <c r="I2451" s="5">
        <f t="shared" si="76"/>
        <v>142.85714285714286</v>
      </c>
      <c r="J2451" s="3" t="str">
        <f t="shared" si="77"/>
        <v>Low</v>
      </c>
    </row>
    <row r="2452" spans="1:10">
      <c r="A2452" s="7" t="s">
        <v>2532</v>
      </c>
      <c r="B2452" s="18" t="s">
        <v>2173</v>
      </c>
      <c r="C2452" s="19" t="s">
        <v>2164</v>
      </c>
      <c r="D2452" s="22">
        <v>175050</v>
      </c>
      <c r="E2452" s="7">
        <v>100</v>
      </c>
      <c r="F2452" s="7">
        <v>3</v>
      </c>
      <c r="G2452" s="7">
        <v>1.1000000000000001</v>
      </c>
      <c r="H2452" s="12">
        <v>1317</v>
      </c>
      <c r="I2452" s="8">
        <f t="shared" si="76"/>
        <v>132.91571753986332</v>
      </c>
      <c r="J2452" s="3" t="str">
        <f t="shared" si="77"/>
        <v>Low</v>
      </c>
    </row>
    <row r="2453" spans="1:10">
      <c r="A2453" s="4" t="s">
        <v>2533</v>
      </c>
      <c r="B2453" s="16" t="s">
        <v>2168</v>
      </c>
      <c r="C2453" s="17" t="s">
        <v>2164</v>
      </c>
      <c r="D2453" s="21">
        <v>175500</v>
      </c>
      <c r="E2453" s="4">
        <v>34</v>
      </c>
      <c r="F2453" s="4">
        <v>2</v>
      </c>
      <c r="G2453" s="4">
        <v>1</v>
      </c>
      <c r="H2453" s="4">
        <v>916</v>
      </c>
      <c r="I2453" s="5">
        <f t="shared" si="76"/>
        <v>191.5938864628821</v>
      </c>
      <c r="J2453" s="3" t="str">
        <f t="shared" si="77"/>
        <v>Low</v>
      </c>
    </row>
    <row r="2454" spans="1:10">
      <c r="A2454" s="7" t="s">
        <v>2534</v>
      </c>
      <c r="B2454" s="18" t="s">
        <v>2166</v>
      </c>
      <c r="C2454" s="19" t="s">
        <v>2164</v>
      </c>
      <c r="D2454" s="22">
        <v>176000</v>
      </c>
      <c r="E2454" s="7">
        <v>5</v>
      </c>
      <c r="F2454" s="7">
        <v>3</v>
      </c>
      <c r="G2454" s="7">
        <v>2</v>
      </c>
      <c r="H2454" s="12">
        <v>1000</v>
      </c>
      <c r="I2454" s="8">
        <f t="shared" si="76"/>
        <v>176</v>
      </c>
      <c r="J2454" s="3" t="str">
        <f t="shared" si="77"/>
        <v>Low</v>
      </c>
    </row>
    <row r="2455" spans="1:10">
      <c r="A2455" s="4" t="s">
        <v>2535</v>
      </c>
      <c r="B2455" s="16" t="s">
        <v>2181</v>
      </c>
      <c r="C2455" s="17" t="s">
        <v>2164</v>
      </c>
      <c r="D2455" s="21">
        <v>176000</v>
      </c>
      <c r="E2455" s="4">
        <v>6</v>
      </c>
      <c r="F2455" s="4">
        <v>4</v>
      </c>
      <c r="G2455" s="4">
        <v>2</v>
      </c>
      <c r="H2455" s="10">
        <v>2036</v>
      </c>
      <c r="I2455" s="5">
        <f t="shared" si="76"/>
        <v>86.444007858546172</v>
      </c>
      <c r="J2455" s="3" t="str">
        <f t="shared" si="77"/>
        <v>Low</v>
      </c>
    </row>
    <row r="2456" spans="1:10">
      <c r="A2456" s="7" t="s">
        <v>2536</v>
      </c>
      <c r="B2456" s="18" t="s">
        <v>2168</v>
      </c>
      <c r="C2456" s="19" t="s">
        <v>2164</v>
      </c>
      <c r="D2456" s="22">
        <v>176000</v>
      </c>
      <c r="E2456" s="7">
        <v>79</v>
      </c>
      <c r="F2456" s="7">
        <v>3</v>
      </c>
      <c r="G2456" s="7">
        <v>1</v>
      </c>
      <c r="H2456" s="7">
        <v>906</v>
      </c>
      <c r="I2456" s="8">
        <f t="shared" si="76"/>
        <v>194.26048565121414</v>
      </c>
      <c r="J2456" s="3" t="str">
        <f t="shared" si="77"/>
        <v>Low</v>
      </c>
    </row>
    <row r="2457" spans="1:10">
      <c r="A2457" s="4" t="s">
        <v>2537</v>
      </c>
      <c r="B2457" s="16" t="s">
        <v>2166</v>
      </c>
      <c r="C2457" s="17" t="s">
        <v>2164</v>
      </c>
      <c r="D2457" s="21">
        <v>177000</v>
      </c>
      <c r="E2457" s="4">
        <v>93</v>
      </c>
      <c r="F2457" s="4">
        <v>3</v>
      </c>
      <c r="G2457" s="4">
        <v>2</v>
      </c>
      <c r="H2457" s="10">
        <v>1050</v>
      </c>
      <c r="I2457" s="5">
        <f t="shared" si="76"/>
        <v>168.57142857142858</v>
      </c>
      <c r="J2457" s="3" t="str">
        <f t="shared" si="77"/>
        <v>Low</v>
      </c>
    </row>
    <row r="2458" spans="1:10">
      <c r="A2458" s="7" t="s">
        <v>2538</v>
      </c>
      <c r="B2458" s="18" t="s">
        <v>2171</v>
      </c>
      <c r="C2458" s="19" t="s">
        <v>2164</v>
      </c>
      <c r="D2458" s="22">
        <v>177000</v>
      </c>
      <c r="E2458" s="7">
        <v>4</v>
      </c>
      <c r="F2458" s="7">
        <v>3</v>
      </c>
      <c r="G2458" s="7">
        <v>1</v>
      </c>
      <c r="H2458" s="12">
        <v>1000</v>
      </c>
      <c r="I2458" s="8">
        <f t="shared" si="76"/>
        <v>177</v>
      </c>
      <c r="J2458" s="3" t="str">
        <f t="shared" si="77"/>
        <v>Low</v>
      </c>
    </row>
    <row r="2459" spans="1:10">
      <c r="A2459" s="4" t="s">
        <v>2539</v>
      </c>
      <c r="B2459" s="16" t="s">
        <v>2210</v>
      </c>
      <c r="C2459" s="17" t="s">
        <v>2164</v>
      </c>
      <c r="D2459" s="21">
        <v>177000</v>
      </c>
      <c r="E2459" s="4">
        <v>21</v>
      </c>
      <c r="F2459" s="4">
        <v>3</v>
      </c>
      <c r="G2459" s="4">
        <v>1</v>
      </c>
      <c r="H2459" s="10">
        <v>1496</v>
      </c>
      <c r="I2459" s="5">
        <f t="shared" si="76"/>
        <v>118.31550802139037</v>
      </c>
      <c r="J2459" s="3" t="str">
        <f t="shared" si="77"/>
        <v>Low</v>
      </c>
    </row>
    <row r="2460" spans="1:10">
      <c r="A2460" s="7" t="s">
        <v>2540</v>
      </c>
      <c r="B2460" s="18" t="s">
        <v>2210</v>
      </c>
      <c r="C2460" s="19" t="s">
        <v>2164</v>
      </c>
      <c r="D2460" s="22">
        <v>177500</v>
      </c>
      <c r="E2460" s="7">
        <v>12</v>
      </c>
      <c r="F2460" s="7">
        <v>3</v>
      </c>
      <c r="G2460" s="7">
        <v>1.1000000000000001</v>
      </c>
      <c r="H2460" s="12">
        <v>1013</v>
      </c>
      <c r="I2460" s="8">
        <f t="shared" si="76"/>
        <v>175.22211253701875</v>
      </c>
      <c r="J2460" s="3" t="str">
        <f t="shared" si="77"/>
        <v>Low</v>
      </c>
    </row>
    <row r="2461" spans="1:10">
      <c r="A2461" s="4" t="s">
        <v>2541</v>
      </c>
      <c r="B2461" s="16" t="s">
        <v>2542</v>
      </c>
      <c r="C2461" s="17" t="s">
        <v>2164</v>
      </c>
      <c r="D2461" s="21">
        <v>177500</v>
      </c>
      <c r="E2461" s="4">
        <v>5</v>
      </c>
      <c r="F2461" s="4">
        <v>2</v>
      </c>
      <c r="G2461" s="4">
        <v>1</v>
      </c>
      <c r="H2461" s="4">
        <v>840</v>
      </c>
      <c r="I2461" s="5">
        <f t="shared" si="76"/>
        <v>211.3095238095238</v>
      </c>
      <c r="J2461" s="3" t="str">
        <f t="shared" si="77"/>
        <v>Medium</v>
      </c>
    </row>
    <row r="2462" spans="1:10">
      <c r="A2462" s="7" t="s">
        <v>2543</v>
      </c>
      <c r="B2462" s="18" t="s">
        <v>2168</v>
      </c>
      <c r="C2462" s="19" t="s">
        <v>2164</v>
      </c>
      <c r="D2462" s="22">
        <v>178000</v>
      </c>
      <c r="E2462" s="7">
        <v>0</v>
      </c>
      <c r="F2462" s="7">
        <v>3</v>
      </c>
      <c r="G2462" s="7">
        <v>1</v>
      </c>
      <c r="H2462" s="12">
        <v>1117</v>
      </c>
      <c r="I2462" s="8">
        <f t="shared" si="76"/>
        <v>159.35541629364369</v>
      </c>
      <c r="J2462" s="3" t="str">
        <f t="shared" si="77"/>
        <v>Low</v>
      </c>
    </row>
    <row r="2463" spans="1:10">
      <c r="A2463" s="4" t="s">
        <v>2544</v>
      </c>
      <c r="B2463" s="16" t="s">
        <v>2523</v>
      </c>
      <c r="C2463" s="17" t="s">
        <v>2164</v>
      </c>
      <c r="D2463" s="21">
        <v>178000</v>
      </c>
      <c r="E2463" s="4">
        <v>10</v>
      </c>
      <c r="F2463" s="4">
        <v>3</v>
      </c>
      <c r="G2463" s="4">
        <v>1</v>
      </c>
      <c r="H2463" s="10">
        <v>1080</v>
      </c>
      <c r="I2463" s="5">
        <f t="shared" si="76"/>
        <v>164.81481481481481</v>
      </c>
      <c r="J2463" s="3" t="str">
        <f t="shared" si="77"/>
        <v>Low</v>
      </c>
    </row>
    <row r="2464" spans="1:10">
      <c r="A2464" s="7" t="s">
        <v>2545</v>
      </c>
      <c r="B2464" s="18" t="s">
        <v>2166</v>
      </c>
      <c r="C2464" s="19" t="s">
        <v>2164</v>
      </c>
      <c r="D2464" s="22">
        <v>178000</v>
      </c>
      <c r="E2464" s="7">
        <v>5</v>
      </c>
      <c r="F2464" s="7">
        <v>3</v>
      </c>
      <c r="G2464" s="7">
        <v>1</v>
      </c>
      <c r="H2464" s="12">
        <v>1000</v>
      </c>
      <c r="I2464" s="8">
        <f t="shared" si="76"/>
        <v>178</v>
      </c>
      <c r="J2464" s="3" t="str">
        <f t="shared" si="77"/>
        <v>Low</v>
      </c>
    </row>
    <row r="2465" spans="1:10">
      <c r="A2465" s="4" t="s">
        <v>2546</v>
      </c>
      <c r="B2465" s="16" t="s">
        <v>2168</v>
      </c>
      <c r="C2465" s="17" t="s">
        <v>2164</v>
      </c>
      <c r="D2465" s="21">
        <v>178000</v>
      </c>
      <c r="E2465" s="4">
        <v>48</v>
      </c>
      <c r="F2465" s="4">
        <v>3</v>
      </c>
      <c r="G2465" s="4">
        <v>2</v>
      </c>
      <c r="H2465" s="10">
        <v>1201</v>
      </c>
      <c r="I2465" s="5">
        <f t="shared" si="76"/>
        <v>148.2098251457119</v>
      </c>
      <c r="J2465" s="3" t="str">
        <f t="shared" si="77"/>
        <v>Low</v>
      </c>
    </row>
    <row r="2466" spans="1:10">
      <c r="A2466" s="7" t="s">
        <v>2547</v>
      </c>
      <c r="B2466" s="18" t="s">
        <v>2173</v>
      </c>
      <c r="C2466" s="19" t="s">
        <v>2164</v>
      </c>
      <c r="D2466" s="22">
        <v>178000</v>
      </c>
      <c r="E2466" s="7">
        <v>15</v>
      </c>
      <c r="F2466" s="7">
        <v>4</v>
      </c>
      <c r="G2466" s="7">
        <v>2</v>
      </c>
      <c r="H2466" s="12">
        <v>2847</v>
      </c>
      <c r="I2466" s="8">
        <f t="shared" si="76"/>
        <v>62.521952932911837</v>
      </c>
      <c r="J2466" s="3" t="str">
        <f t="shared" si="77"/>
        <v>Low</v>
      </c>
    </row>
    <row r="2467" spans="1:10">
      <c r="A2467" s="4" t="s">
        <v>2548</v>
      </c>
      <c r="B2467" s="16" t="s">
        <v>2173</v>
      </c>
      <c r="C2467" s="17" t="s">
        <v>2164</v>
      </c>
      <c r="D2467" s="21">
        <v>178000</v>
      </c>
      <c r="E2467" s="4">
        <v>50</v>
      </c>
      <c r="F2467" s="4">
        <v>3</v>
      </c>
      <c r="G2467" s="4">
        <v>1</v>
      </c>
      <c r="H2467" s="10">
        <v>1162</v>
      </c>
      <c r="I2467" s="5">
        <f t="shared" si="76"/>
        <v>153.184165232358</v>
      </c>
      <c r="J2467" s="3" t="str">
        <f t="shared" si="77"/>
        <v>Low</v>
      </c>
    </row>
    <row r="2468" spans="1:10">
      <c r="A2468" s="7" t="s">
        <v>2549</v>
      </c>
      <c r="B2468" s="18" t="s">
        <v>2168</v>
      </c>
      <c r="C2468" s="19" t="s">
        <v>2164</v>
      </c>
      <c r="D2468" s="22">
        <v>178000</v>
      </c>
      <c r="E2468" s="7">
        <v>8</v>
      </c>
      <c r="F2468" s="7">
        <v>3</v>
      </c>
      <c r="G2468" s="7">
        <v>1</v>
      </c>
      <c r="H2468" s="12">
        <v>1150</v>
      </c>
      <c r="I2468" s="8">
        <f t="shared" si="76"/>
        <v>154.78260869565219</v>
      </c>
      <c r="J2468" s="3" t="str">
        <f t="shared" si="77"/>
        <v>Low</v>
      </c>
    </row>
    <row r="2469" spans="1:10">
      <c r="A2469" s="4" t="s">
        <v>2550</v>
      </c>
      <c r="B2469" s="16" t="s">
        <v>2407</v>
      </c>
      <c r="C2469" s="17" t="s">
        <v>2164</v>
      </c>
      <c r="D2469" s="21">
        <v>178000</v>
      </c>
      <c r="E2469" s="4">
        <v>73</v>
      </c>
      <c r="F2469" s="4">
        <v>2</v>
      </c>
      <c r="G2469" s="4">
        <v>1</v>
      </c>
      <c r="H2469" s="10">
        <v>1000</v>
      </c>
      <c r="I2469" s="5">
        <f t="shared" si="76"/>
        <v>178</v>
      </c>
      <c r="J2469" s="3" t="str">
        <f t="shared" si="77"/>
        <v>Low</v>
      </c>
    </row>
    <row r="2470" spans="1:10">
      <c r="A2470" s="7" t="s">
        <v>2551</v>
      </c>
      <c r="B2470" s="18" t="s">
        <v>2210</v>
      </c>
      <c r="C2470" s="19" t="s">
        <v>2164</v>
      </c>
      <c r="D2470" s="22">
        <v>179000</v>
      </c>
      <c r="E2470" s="7">
        <v>4</v>
      </c>
      <c r="F2470" s="7">
        <v>2</v>
      </c>
      <c r="G2470" s="7">
        <v>1</v>
      </c>
      <c r="H2470" s="7">
        <v>912</v>
      </c>
      <c r="I2470" s="8">
        <f t="shared" si="76"/>
        <v>196.2719298245614</v>
      </c>
      <c r="J2470" s="3" t="str">
        <f t="shared" si="77"/>
        <v>Low</v>
      </c>
    </row>
    <row r="2471" spans="1:10">
      <c r="A2471" s="4" t="s">
        <v>2552</v>
      </c>
      <c r="B2471" s="16" t="s">
        <v>2168</v>
      </c>
      <c r="C2471" s="17" t="s">
        <v>2164</v>
      </c>
      <c r="D2471" s="21">
        <v>179899</v>
      </c>
      <c r="E2471" s="4">
        <v>17</v>
      </c>
      <c r="F2471" s="4">
        <v>3</v>
      </c>
      <c r="G2471" s="4">
        <v>1</v>
      </c>
      <c r="H2471" s="10">
        <v>1000</v>
      </c>
      <c r="I2471" s="5">
        <f t="shared" si="76"/>
        <v>179.899</v>
      </c>
      <c r="J2471" s="3" t="str">
        <f t="shared" si="77"/>
        <v>Low</v>
      </c>
    </row>
    <row r="2472" spans="1:10">
      <c r="A2472" s="7" t="s">
        <v>2553</v>
      </c>
      <c r="B2472" s="18" t="s">
        <v>2166</v>
      </c>
      <c r="C2472" s="19" t="s">
        <v>2164</v>
      </c>
      <c r="D2472" s="22">
        <v>179900</v>
      </c>
      <c r="E2472" s="7">
        <v>11</v>
      </c>
      <c r="F2472" s="7">
        <v>2</v>
      </c>
      <c r="G2472" s="7">
        <v>1</v>
      </c>
      <c r="H2472" s="7">
        <v>915</v>
      </c>
      <c r="I2472" s="8">
        <f t="shared" si="76"/>
        <v>196.61202185792351</v>
      </c>
      <c r="J2472" s="3" t="str">
        <f t="shared" si="77"/>
        <v>Low</v>
      </c>
    </row>
    <row r="2473" spans="1:10">
      <c r="A2473" s="4" t="s">
        <v>2554</v>
      </c>
      <c r="B2473" s="16" t="s">
        <v>2166</v>
      </c>
      <c r="C2473" s="17" t="s">
        <v>2164</v>
      </c>
      <c r="D2473" s="21">
        <v>179900</v>
      </c>
      <c r="E2473" s="4">
        <v>5</v>
      </c>
      <c r="F2473" s="4">
        <v>3</v>
      </c>
      <c r="G2473" s="4">
        <v>1</v>
      </c>
      <c r="H2473" s="4">
        <v>960</v>
      </c>
      <c r="I2473" s="5">
        <f t="shared" si="76"/>
        <v>187.39583333333334</v>
      </c>
      <c r="J2473" s="3" t="str">
        <f t="shared" si="77"/>
        <v>Low</v>
      </c>
    </row>
    <row r="2474" spans="1:10">
      <c r="A2474" s="7" t="s">
        <v>2555</v>
      </c>
      <c r="B2474" s="18" t="s">
        <v>2210</v>
      </c>
      <c r="C2474" s="19" t="s">
        <v>2164</v>
      </c>
      <c r="D2474" s="22">
        <v>179900</v>
      </c>
      <c r="E2474" s="7">
        <v>86</v>
      </c>
      <c r="F2474" s="7">
        <v>3</v>
      </c>
      <c r="G2474" s="7">
        <v>1</v>
      </c>
      <c r="H2474" s="7">
        <v>908</v>
      </c>
      <c r="I2474" s="8">
        <f t="shared" si="76"/>
        <v>198.12775330396477</v>
      </c>
      <c r="J2474" s="3" t="str">
        <f t="shared" si="77"/>
        <v>Low</v>
      </c>
    </row>
    <row r="2475" spans="1:10">
      <c r="A2475" s="4" t="s">
        <v>2556</v>
      </c>
      <c r="B2475" s="16" t="s">
        <v>2168</v>
      </c>
      <c r="C2475" s="17" t="s">
        <v>2164</v>
      </c>
      <c r="D2475" s="21">
        <v>180000</v>
      </c>
      <c r="E2475" s="4">
        <v>3</v>
      </c>
      <c r="F2475" s="4">
        <v>4</v>
      </c>
      <c r="G2475" s="4">
        <v>3</v>
      </c>
      <c r="H2475" s="10">
        <v>1260</v>
      </c>
      <c r="I2475" s="5">
        <f t="shared" si="76"/>
        <v>142.85714285714286</v>
      </c>
      <c r="J2475" s="3" t="str">
        <f t="shared" si="77"/>
        <v>Low</v>
      </c>
    </row>
    <row r="2476" spans="1:10">
      <c r="A2476" s="7" t="s">
        <v>2557</v>
      </c>
      <c r="B2476" s="18" t="s">
        <v>2168</v>
      </c>
      <c r="C2476" s="19" t="s">
        <v>2164</v>
      </c>
      <c r="D2476" s="22">
        <v>180000</v>
      </c>
      <c r="E2476" s="7">
        <v>4</v>
      </c>
      <c r="F2476" s="7">
        <v>3</v>
      </c>
      <c r="G2476" s="7">
        <v>1.1000000000000001</v>
      </c>
      <c r="H2476" s="12">
        <v>1068</v>
      </c>
      <c r="I2476" s="8">
        <f t="shared" si="76"/>
        <v>168.53932584269663</v>
      </c>
      <c r="J2476" s="3" t="str">
        <f t="shared" si="77"/>
        <v>Low</v>
      </c>
    </row>
    <row r="2477" spans="1:10">
      <c r="A2477" s="4" t="s">
        <v>2558</v>
      </c>
      <c r="B2477" s="16" t="s">
        <v>2181</v>
      </c>
      <c r="C2477" s="17" t="s">
        <v>2164</v>
      </c>
      <c r="D2477" s="21">
        <v>180000</v>
      </c>
      <c r="E2477" s="4">
        <v>32</v>
      </c>
      <c r="F2477" s="4">
        <v>3</v>
      </c>
      <c r="G2477" s="4">
        <v>1</v>
      </c>
      <c r="H2477" s="10">
        <v>1379</v>
      </c>
      <c r="I2477" s="5">
        <f t="shared" si="76"/>
        <v>130.52936910804931</v>
      </c>
      <c r="J2477" s="3" t="str">
        <f t="shared" si="77"/>
        <v>Low</v>
      </c>
    </row>
    <row r="2478" spans="1:10">
      <c r="A2478" s="7" t="s">
        <v>2559</v>
      </c>
      <c r="B2478" s="18" t="s">
        <v>2168</v>
      </c>
      <c r="C2478" s="19" t="s">
        <v>2164</v>
      </c>
      <c r="D2478" s="22">
        <v>180000</v>
      </c>
      <c r="E2478" s="7">
        <v>5</v>
      </c>
      <c r="F2478" s="7">
        <v>3</v>
      </c>
      <c r="G2478" s="7">
        <v>1.1000000000000001</v>
      </c>
      <c r="H2478" s="12">
        <v>1108</v>
      </c>
      <c r="I2478" s="8">
        <f t="shared" si="76"/>
        <v>162.45487364620939</v>
      </c>
      <c r="J2478" s="3" t="str">
        <f t="shared" si="77"/>
        <v>Low</v>
      </c>
    </row>
    <row r="2479" spans="1:10">
      <c r="A2479" s="4" t="s">
        <v>2560</v>
      </c>
      <c r="B2479" s="16" t="s">
        <v>2173</v>
      </c>
      <c r="C2479" s="17" t="s">
        <v>2164</v>
      </c>
      <c r="D2479" s="21">
        <v>180000</v>
      </c>
      <c r="E2479" s="4">
        <v>8</v>
      </c>
      <c r="F2479" s="4">
        <v>3</v>
      </c>
      <c r="G2479" s="4">
        <v>1</v>
      </c>
      <c r="H2479" s="10">
        <v>1282</v>
      </c>
      <c r="I2479" s="5">
        <f t="shared" si="76"/>
        <v>140.40561622464898</v>
      </c>
      <c r="J2479" s="3" t="str">
        <f t="shared" si="77"/>
        <v>Low</v>
      </c>
    </row>
    <row r="2480" spans="1:10">
      <c r="A2480" s="7" t="s">
        <v>2561</v>
      </c>
      <c r="B2480" s="18" t="s">
        <v>2168</v>
      </c>
      <c r="C2480" s="19" t="s">
        <v>2164</v>
      </c>
      <c r="D2480" s="22">
        <v>180000</v>
      </c>
      <c r="E2480" s="7">
        <v>33</v>
      </c>
      <c r="F2480" s="7">
        <v>3</v>
      </c>
      <c r="G2480" s="7">
        <v>1</v>
      </c>
      <c r="H2480" s="12">
        <v>1219</v>
      </c>
      <c r="I2480" s="8">
        <f t="shared" si="76"/>
        <v>147.66201804757998</v>
      </c>
      <c r="J2480" s="3" t="str">
        <f t="shared" si="77"/>
        <v>Low</v>
      </c>
    </row>
    <row r="2481" spans="1:10">
      <c r="A2481" s="4" t="s">
        <v>2562</v>
      </c>
      <c r="B2481" s="16" t="s">
        <v>2563</v>
      </c>
      <c r="C2481" s="17" t="s">
        <v>2164</v>
      </c>
      <c r="D2481" s="21">
        <v>180000</v>
      </c>
      <c r="E2481" s="4">
        <v>44</v>
      </c>
      <c r="F2481" s="4">
        <v>3</v>
      </c>
      <c r="G2481" s="4">
        <v>2</v>
      </c>
      <c r="H2481" s="10">
        <v>2008</v>
      </c>
      <c r="I2481" s="5">
        <f t="shared" si="76"/>
        <v>89.641434262948209</v>
      </c>
      <c r="J2481" s="3" t="str">
        <f t="shared" si="77"/>
        <v>Low</v>
      </c>
    </row>
    <row r="2482" spans="1:10">
      <c r="A2482" s="7" t="s">
        <v>2564</v>
      </c>
      <c r="B2482" s="18" t="s">
        <v>2168</v>
      </c>
      <c r="C2482" s="19" t="s">
        <v>2164</v>
      </c>
      <c r="D2482" s="22">
        <v>180000</v>
      </c>
      <c r="E2482" s="7">
        <v>57</v>
      </c>
      <c r="F2482" s="7">
        <v>3</v>
      </c>
      <c r="G2482" s="7">
        <v>1</v>
      </c>
      <c r="H2482" s="12">
        <v>1354</v>
      </c>
      <c r="I2482" s="8">
        <f t="shared" si="76"/>
        <v>132.93943870014772</v>
      </c>
      <c r="J2482" s="3" t="str">
        <f t="shared" si="77"/>
        <v>Low</v>
      </c>
    </row>
    <row r="2483" spans="1:10">
      <c r="A2483" s="4" t="s">
        <v>2565</v>
      </c>
      <c r="B2483" s="16" t="s">
        <v>2168</v>
      </c>
      <c r="C2483" s="17" t="s">
        <v>2164</v>
      </c>
      <c r="D2483" s="21">
        <v>180000</v>
      </c>
      <c r="E2483" s="4">
        <v>60</v>
      </c>
      <c r="F2483" s="4">
        <v>3</v>
      </c>
      <c r="G2483" s="4">
        <v>1.1000000000000001</v>
      </c>
      <c r="H2483" s="4">
        <v>865</v>
      </c>
      <c r="I2483" s="5">
        <f t="shared" si="76"/>
        <v>208.09248554913296</v>
      </c>
      <c r="J2483" s="3" t="str">
        <f t="shared" si="77"/>
        <v>Medium</v>
      </c>
    </row>
    <row r="2484" spans="1:10">
      <c r="A2484" s="7" t="s">
        <v>2566</v>
      </c>
      <c r="B2484" s="18" t="s">
        <v>2168</v>
      </c>
      <c r="C2484" s="19" t="s">
        <v>2164</v>
      </c>
      <c r="D2484" s="22">
        <v>180000</v>
      </c>
      <c r="E2484" s="7">
        <v>9</v>
      </c>
      <c r="F2484" s="7">
        <v>3</v>
      </c>
      <c r="G2484" s="7">
        <v>1.1000000000000001</v>
      </c>
      <c r="H2484" s="12">
        <v>1456</v>
      </c>
      <c r="I2484" s="8">
        <f t="shared" si="76"/>
        <v>123.62637362637362</v>
      </c>
      <c r="J2484" s="3" t="str">
        <f t="shared" si="77"/>
        <v>Low</v>
      </c>
    </row>
    <row r="2485" spans="1:10">
      <c r="A2485" s="4" t="s">
        <v>2567</v>
      </c>
      <c r="B2485" s="16" t="s">
        <v>2210</v>
      </c>
      <c r="C2485" s="17" t="s">
        <v>2164</v>
      </c>
      <c r="D2485" s="21">
        <v>182000</v>
      </c>
      <c r="E2485" s="4">
        <v>4</v>
      </c>
      <c r="F2485" s="4">
        <v>3</v>
      </c>
      <c r="G2485" s="4">
        <v>1</v>
      </c>
      <c r="H2485" s="10">
        <v>1133</v>
      </c>
      <c r="I2485" s="5">
        <f t="shared" si="76"/>
        <v>160.63548102383055</v>
      </c>
      <c r="J2485" s="3" t="str">
        <f t="shared" si="77"/>
        <v>Low</v>
      </c>
    </row>
    <row r="2486" spans="1:10">
      <c r="A2486" s="7" t="s">
        <v>2568</v>
      </c>
      <c r="B2486" s="18" t="s">
        <v>2173</v>
      </c>
      <c r="C2486" s="19" t="s">
        <v>2164</v>
      </c>
      <c r="D2486" s="22">
        <v>182900</v>
      </c>
      <c r="E2486" s="7">
        <v>20</v>
      </c>
      <c r="F2486" s="7">
        <v>3</v>
      </c>
      <c r="G2486" s="7">
        <v>1</v>
      </c>
      <c r="H2486" s="7">
        <v>967</v>
      </c>
      <c r="I2486" s="8">
        <f t="shared" si="76"/>
        <v>189.14167528438469</v>
      </c>
      <c r="J2486" s="3" t="str">
        <f t="shared" si="77"/>
        <v>Low</v>
      </c>
    </row>
    <row r="2487" spans="1:10">
      <c r="A2487" s="4" t="s">
        <v>2569</v>
      </c>
      <c r="B2487" s="16" t="s">
        <v>2166</v>
      </c>
      <c r="C2487" s="17" t="s">
        <v>2164</v>
      </c>
      <c r="D2487" s="21">
        <v>183000</v>
      </c>
      <c r="E2487" s="4">
        <v>19</v>
      </c>
      <c r="F2487" s="4">
        <v>3</v>
      </c>
      <c r="G2487" s="4">
        <v>1.1000000000000001</v>
      </c>
      <c r="H2487" s="10">
        <v>1049</v>
      </c>
      <c r="I2487" s="5">
        <f t="shared" si="76"/>
        <v>174.4518589132507</v>
      </c>
      <c r="J2487" s="3" t="str">
        <f t="shared" si="77"/>
        <v>Low</v>
      </c>
    </row>
    <row r="2488" spans="1:10">
      <c r="A2488" s="7" t="s">
        <v>2570</v>
      </c>
      <c r="B2488" s="18" t="s">
        <v>2181</v>
      </c>
      <c r="C2488" s="19" t="s">
        <v>2164</v>
      </c>
      <c r="D2488" s="22">
        <v>183000</v>
      </c>
      <c r="E2488" s="7">
        <v>155</v>
      </c>
      <c r="F2488" s="7">
        <v>3</v>
      </c>
      <c r="G2488" s="7">
        <v>2</v>
      </c>
      <c r="H2488" s="12">
        <v>1275</v>
      </c>
      <c r="I2488" s="8">
        <f t="shared" si="76"/>
        <v>143.52941176470588</v>
      </c>
      <c r="J2488" s="3" t="str">
        <f t="shared" si="77"/>
        <v>Low</v>
      </c>
    </row>
    <row r="2489" spans="1:10">
      <c r="A2489" s="4" t="s">
        <v>2571</v>
      </c>
      <c r="B2489" s="16" t="s">
        <v>2168</v>
      </c>
      <c r="C2489" s="17" t="s">
        <v>2164</v>
      </c>
      <c r="D2489" s="21">
        <v>184000</v>
      </c>
      <c r="E2489" s="4">
        <v>25</v>
      </c>
      <c r="F2489" s="4">
        <v>3</v>
      </c>
      <c r="G2489" s="4">
        <v>1</v>
      </c>
      <c r="H2489" s="10">
        <v>1032</v>
      </c>
      <c r="I2489" s="5">
        <f t="shared" si="76"/>
        <v>178.29457364341084</v>
      </c>
      <c r="J2489" s="3" t="str">
        <f t="shared" si="77"/>
        <v>Low</v>
      </c>
    </row>
    <row r="2490" spans="1:10">
      <c r="A2490" s="7" t="s">
        <v>2572</v>
      </c>
      <c r="B2490" s="18" t="s">
        <v>2166</v>
      </c>
      <c r="C2490" s="19" t="s">
        <v>2164</v>
      </c>
      <c r="D2490" s="22">
        <v>184000</v>
      </c>
      <c r="E2490" s="7">
        <v>53</v>
      </c>
      <c r="F2490" s="7">
        <v>3</v>
      </c>
      <c r="G2490" s="7">
        <v>1.1000000000000001</v>
      </c>
      <c r="H2490" s="12">
        <v>1264</v>
      </c>
      <c r="I2490" s="8">
        <f t="shared" si="76"/>
        <v>145.56962025316454</v>
      </c>
      <c r="J2490" s="3" t="str">
        <f t="shared" si="77"/>
        <v>Low</v>
      </c>
    </row>
    <row r="2491" spans="1:10">
      <c r="A2491" s="4" t="s">
        <v>2573</v>
      </c>
      <c r="B2491" s="16" t="s">
        <v>2181</v>
      </c>
      <c r="C2491" s="17" t="s">
        <v>2164</v>
      </c>
      <c r="D2491" s="21">
        <v>184000</v>
      </c>
      <c r="E2491" s="4">
        <v>56</v>
      </c>
      <c r="F2491" s="4">
        <v>3</v>
      </c>
      <c r="G2491" s="4">
        <v>2</v>
      </c>
      <c r="H2491" s="10">
        <v>1189</v>
      </c>
      <c r="I2491" s="5">
        <f t="shared" si="76"/>
        <v>154.75189234650966</v>
      </c>
      <c r="J2491" s="3" t="str">
        <f t="shared" si="77"/>
        <v>Low</v>
      </c>
    </row>
    <row r="2492" spans="1:10">
      <c r="A2492" s="7" t="s">
        <v>2574</v>
      </c>
      <c r="B2492" s="18" t="s">
        <v>2166</v>
      </c>
      <c r="C2492" s="19" t="s">
        <v>2164</v>
      </c>
      <c r="D2492" s="22">
        <v>184500</v>
      </c>
      <c r="E2492" s="7">
        <v>23</v>
      </c>
      <c r="F2492" s="7">
        <v>3</v>
      </c>
      <c r="G2492" s="7">
        <v>1.1000000000000001</v>
      </c>
      <c r="H2492" s="12">
        <v>1344</v>
      </c>
      <c r="I2492" s="8">
        <f t="shared" si="76"/>
        <v>137.27678571428572</v>
      </c>
      <c r="J2492" s="3" t="str">
        <f t="shared" si="77"/>
        <v>Low</v>
      </c>
    </row>
    <row r="2493" spans="1:10">
      <c r="A2493" s="4" t="s">
        <v>2575</v>
      </c>
      <c r="B2493" s="16" t="s">
        <v>2168</v>
      </c>
      <c r="C2493" s="17" t="s">
        <v>2164</v>
      </c>
      <c r="D2493" s="21">
        <v>185000</v>
      </c>
      <c r="E2493" s="4">
        <v>21</v>
      </c>
      <c r="F2493" s="4">
        <v>3</v>
      </c>
      <c r="G2493" s="4">
        <v>1</v>
      </c>
      <c r="H2493" s="4">
        <v>964</v>
      </c>
      <c r="I2493" s="5">
        <f t="shared" si="76"/>
        <v>191.90871369294607</v>
      </c>
      <c r="J2493" s="3" t="str">
        <f t="shared" si="77"/>
        <v>Low</v>
      </c>
    </row>
    <row r="2494" spans="1:10">
      <c r="A2494" s="7" t="s">
        <v>2576</v>
      </c>
      <c r="B2494" s="18" t="s">
        <v>2166</v>
      </c>
      <c r="C2494" s="19" t="s">
        <v>2164</v>
      </c>
      <c r="D2494" s="22">
        <v>185000</v>
      </c>
      <c r="E2494" s="7">
        <v>40</v>
      </c>
      <c r="F2494" s="7">
        <v>3</v>
      </c>
      <c r="G2494" s="7">
        <v>1.1000000000000001</v>
      </c>
      <c r="H2494" s="12">
        <v>1000</v>
      </c>
      <c r="I2494" s="8">
        <f t="shared" si="76"/>
        <v>185</v>
      </c>
      <c r="J2494" s="3" t="str">
        <f t="shared" si="77"/>
        <v>Low</v>
      </c>
    </row>
    <row r="2495" spans="1:10">
      <c r="A2495" s="4" t="s">
        <v>2577</v>
      </c>
      <c r="B2495" s="16" t="s">
        <v>2578</v>
      </c>
      <c r="C2495" s="17" t="s">
        <v>2164</v>
      </c>
      <c r="D2495" s="21">
        <v>185000</v>
      </c>
      <c r="E2495" s="4">
        <v>4</v>
      </c>
      <c r="F2495" s="4">
        <v>3</v>
      </c>
      <c r="G2495" s="4">
        <v>1</v>
      </c>
      <c r="H2495" s="10">
        <v>1411</v>
      </c>
      <c r="I2495" s="5">
        <f t="shared" si="76"/>
        <v>131.11268603827074</v>
      </c>
      <c r="J2495" s="3" t="str">
        <f t="shared" si="77"/>
        <v>Low</v>
      </c>
    </row>
    <row r="2496" spans="1:10">
      <c r="A2496" s="7" t="s">
        <v>2579</v>
      </c>
      <c r="B2496" s="18" t="s">
        <v>2407</v>
      </c>
      <c r="C2496" s="19" t="s">
        <v>2164</v>
      </c>
      <c r="D2496" s="22">
        <v>185000</v>
      </c>
      <c r="E2496" s="7">
        <v>41</v>
      </c>
      <c r="F2496" s="7">
        <v>3</v>
      </c>
      <c r="G2496" s="7">
        <v>1</v>
      </c>
      <c r="H2496" s="7">
        <v>946</v>
      </c>
      <c r="I2496" s="8">
        <f t="shared" si="76"/>
        <v>195.56025369978857</v>
      </c>
      <c r="J2496" s="3" t="str">
        <f t="shared" si="77"/>
        <v>Low</v>
      </c>
    </row>
    <row r="2497" spans="1:10">
      <c r="A2497" s="4" t="s">
        <v>2580</v>
      </c>
      <c r="B2497" s="16" t="s">
        <v>2181</v>
      </c>
      <c r="C2497" s="17" t="s">
        <v>2164</v>
      </c>
      <c r="D2497" s="21">
        <v>185000</v>
      </c>
      <c r="E2497" s="4">
        <v>58</v>
      </c>
      <c r="F2497" s="4">
        <v>3</v>
      </c>
      <c r="G2497" s="4">
        <v>2</v>
      </c>
      <c r="H2497" s="10">
        <v>1542</v>
      </c>
      <c r="I2497" s="5">
        <f t="shared" si="76"/>
        <v>119.97405966277562</v>
      </c>
      <c r="J2497" s="3" t="str">
        <f t="shared" si="77"/>
        <v>Low</v>
      </c>
    </row>
    <row r="2498" spans="1:10">
      <c r="A2498" s="7" t="s">
        <v>2581</v>
      </c>
      <c r="B2498" s="18" t="s">
        <v>2210</v>
      </c>
      <c r="C2498" s="19" t="s">
        <v>2164</v>
      </c>
      <c r="D2498" s="22">
        <v>185000</v>
      </c>
      <c r="E2498" s="7">
        <v>37</v>
      </c>
      <c r="F2498" s="7">
        <v>4</v>
      </c>
      <c r="G2498" s="7">
        <v>1.2</v>
      </c>
      <c r="H2498" s="12">
        <v>1071</v>
      </c>
      <c r="I2498" s="8">
        <f t="shared" ref="I2498:I2561" si="78">D2498/H2498</f>
        <v>172.7357609710551</v>
      </c>
      <c r="J2498" s="3" t="str">
        <f t="shared" ref="J2498:J2561" si="79">IF(I2498 &gt; 300, "High", IF(AND(I2498 &lt;= 300, I2498 &gt; 200), "Medium", "Low"))</f>
        <v>Low</v>
      </c>
    </row>
    <row r="2499" spans="1:10">
      <c r="A2499" s="4" t="s">
        <v>2582</v>
      </c>
      <c r="B2499" s="16" t="s">
        <v>2173</v>
      </c>
      <c r="C2499" s="17" t="s">
        <v>2164</v>
      </c>
      <c r="D2499" s="21">
        <v>185000</v>
      </c>
      <c r="E2499" s="4">
        <v>52</v>
      </c>
      <c r="F2499" s="4">
        <v>3</v>
      </c>
      <c r="G2499" s="4">
        <v>1</v>
      </c>
      <c r="H2499" s="10">
        <v>1064</v>
      </c>
      <c r="I2499" s="5">
        <f t="shared" si="78"/>
        <v>173.87218045112783</v>
      </c>
      <c r="J2499" s="3" t="str">
        <f t="shared" si="79"/>
        <v>Low</v>
      </c>
    </row>
    <row r="2500" spans="1:10">
      <c r="A2500" s="7" t="s">
        <v>2583</v>
      </c>
      <c r="B2500" s="18" t="s">
        <v>2227</v>
      </c>
      <c r="C2500" s="19" t="s">
        <v>2164</v>
      </c>
      <c r="D2500" s="22">
        <v>185000</v>
      </c>
      <c r="E2500" s="7">
        <v>52</v>
      </c>
      <c r="F2500" s="7">
        <v>3</v>
      </c>
      <c r="G2500" s="7">
        <v>2</v>
      </c>
      <c r="H2500" s="12">
        <v>1000</v>
      </c>
      <c r="I2500" s="8">
        <f t="shared" si="78"/>
        <v>185</v>
      </c>
      <c r="J2500" s="3" t="str">
        <f t="shared" si="79"/>
        <v>Low</v>
      </c>
    </row>
    <row r="2501" spans="1:10">
      <c r="A2501" s="4" t="s">
        <v>2584</v>
      </c>
      <c r="B2501" s="16" t="s">
        <v>2168</v>
      </c>
      <c r="C2501" s="17" t="s">
        <v>2164</v>
      </c>
      <c r="D2501" s="21">
        <v>185000</v>
      </c>
      <c r="E2501" s="4">
        <v>21</v>
      </c>
      <c r="F2501" s="4">
        <v>3</v>
      </c>
      <c r="G2501" s="4">
        <v>1</v>
      </c>
      <c r="H2501" s="10">
        <v>1133</v>
      </c>
      <c r="I2501" s="5">
        <f t="shared" si="78"/>
        <v>163.28331862312444</v>
      </c>
      <c r="J2501" s="3" t="str">
        <f t="shared" si="79"/>
        <v>Low</v>
      </c>
    </row>
    <row r="2502" spans="1:10">
      <c r="A2502" s="7" t="s">
        <v>2585</v>
      </c>
      <c r="B2502" s="18" t="s">
        <v>2166</v>
      </c>
      <c r="C2502" s="19" t="s">
        <v>2164</v>
      </c>
      <c r="D2502" s="22">
        <v>185000</v>
      </c>
      <c r="E2502" s="7">
        <v>138</v>
      </c>
      <c r="F2502" s="7">
        <v>3</v>
      </c>
      <c r="G2502" s="7">
        <v>2</v>
      </c>
      <c r="H2502" s="12">
        <v>1026</v>
      </c>
      <c r="I2502" s="8">
        <f t="shared" si="78"/>
        <v>180.31189083820664</v>
      </c>
      <c r="J2502" s="3" t="str">
        <f t="shared" si="79"/>
        <v>Low</v>
      </c>
    </row>
    <row r="2503" spans="1:10">
      <c r="A2503" s="4" t="s">
        <v>2586</v>
      </c>
      <c r="B2503" s="16" t="s">
        <v>2173</v>
      </c>
      <c r="C2503" s="17" t="s">
        <v>2164</v>
      </c>
      <c r="D2503" s="21">
        <v>187000</v>
      </c>
      <c r="E2503" s="4">
        <v>7</v>
      </c>
      <c r="F2503" s="4">
        <v>3</v>
      </c>
      <c r="G2503" s="4">
        <v>1.1000000000000001</v>
      </c>
      <c r="H2503" s="10">
        <v>1013</v>
      </c>
      <c r="I2503" s="5">
        <f t="shared" si="78"/>
        <v>184.60019743336625</v>
      </c>
      <c r="J2503" s="3" t="str">
        <f t="shared" si="79"/>
        <v>Low</v>
      </c>
    </row>
    <row r="2504" spans="1:10">
      <c r="A2504" s="7" t="s">
        <v>2587</v>
      </c>
      <c r="B2504" s="18" t="s">
        <v>2183</v>
      </c>
      <c r="C2504" s="19" t="s">
        <v>2164</v>
      </c>
      <c r="D2504" s="22">
        <v>187000</v>
      </c>
      <c r="E2504" s="7">
        <v>14</v>
      </c>
      <c r="F2504" s="7">
        <v>3</v>
      </c>
      <c r="G2504" s="7">
        <v>1.1000000000000001</v>
      </c>
      <c r="H2504" s="12">
        <v>1466</v>
      </c>
      <c r="I2504" s="8">
        <f t="shared" si="78"/>
        <v>127.55798090040928</v>
      </c>
      <c r="J2504" s="3" t="str">
        <f t="shared" si="79"/>
        <v>Low</v>
      </c>
    </row>
    <row r="2505" spans="1:10">
      <c r="A2505" s="4" t="s">
        <v>2588</v>
      </c>
      <c r="B2505" s="16" t="s">
        <v>2168</v>
      </c>
      <c r="C2505" s="17" t="s">
        <v>2164</v>
      </c>
      <c r="D2505" s="21">
        <v>187000</v>
      </c>
      <c r="E2505" s="4">
        <v>31</v>
      </c>
      <c r="F2505" s="4">
        <v>3</v>
      </c>
      <c r="G2505" s="4">
        <v>3</v>
      </c>
      <c r="H2505" s="10">
        <v>1404</v>
      </c>
      <c r="I2505" s="5">
        <f t="shared" si="78"/>
        <v>133.1908831908832</v>
      </c>
      <c r="J2505" s="3" t="str">
        <f t="shared" si="79"/>
        <v>Low</v>
      </c>
    </row>
    <row r="2506" spans="1:10">
      <c r="A2506" s="7" t="s">
        <v>2589</v>
      </c>
      <c r="B2506" s="18" t="s">
        <v>2166</v>
      </c>
      <c r="C2506" s="19" t="s">
        <v>2164</v>
      </c>
      <c r="D2506" s="22">
        <v>188000</v>
      </c>
      <c r="E2506" s="7">
        <v>21</v>
      </c>
      <c r="F2506" s="7">
        <v>3</v>
      </c>
      <c r="G2506" s="7">
        <v>2</v>
      </c>
      <c r="H2506" s="12">
        <v>1200</v>
      </c>
      <c r="I2506" s="8">
        <f t="shared" si="78"/>
        <v>156.66666666666666</v>
      </c>
      <c r="J2506" s="3" t="str">
        <f t="shared" si="79"/>
        <v>Low</v>
      </c>
    </row>
    <row r="2507" spans="1:10">
      <c r="A2507" s="4" t="s">
        <v>2590</v>
      </c>
      <c r="B2507" s="16" t="s">
        <v>2210</v>
      </c>
      <c r="C2507" s="17" t="s">
        <v>2164</v>
      </c>
      <c r="D2507" s="21">
        <v>188000</v>
      </c>
      <c r="E2507" s="4">
        <v>44</v>
      </c>
      <c r="F2507" s="4">
        <v>3</v>
      </c>
      <c r="G2507" s="4">
        <v>2</v>
      </c>
      <c r="H2507" s="10">
        <v>1007</v>
      </c>
      <c r="I2507" s="5">
        <f t="shared" si="78"/>
        <v>186.69314796425024</v>
      </c>
      <c r="J2507" s="3" t="str">
        <f t="shared" si="79"/>
        <v>Low</v>
      </c>
    </row>
    <row r="2508" spans="1:10">
      <c r="A2508" s="7" t="s">
        <v>2591</v>
      </c>
      <c r="B2508" s="18" t="s">
        <v>2210</v>
      </c>
      <c r="C2508" s="19" t="s">
        <v>2164</v>
      </c>
      <c r="D2508" s="22">
        <v>189900</v>
      </c>
      <c r="E2508" s="7">
        <v>5</v>
      </c>
      <c r="F2508" s="7">
        <v>3</v>
      </c>
      <c r="G2508" s="7">
        <v>1</v>
      </c>
      <c r="H2508" s="7">
        <v>914</v>
      </c>
      <c r="I2508" s="8">
        <f t="shared" si="78"/>
        <v>207.76805251641139</v>
      </c>
      <c r="J2508" s="3" t="str">
        <f t="shared" si="79"/>
        <v>Medium</v>
      </c>
    </row>
    <row r="2509" spans="1:10">
      <c r="A2509" s="4" t="s">
        <v>2592</v>
      </c>
      <c r="B2509" s="16" t="s">
        <v>2166</v>
      </c>
      <c r="C2509" s="17" t="s">
        <v>2164</v>
      </c>
      <c r="D2509" s="21">
        <v>189900</v>
      </c>
      <c r="E2509" s="4">
        <v>8</v>
      </c>
      <c r="F2509" s="4">
        <v>3</v>
      </c>
      <c r="G2509" s="4">
        <v>2</v>
      </c>
      <c r="H2509" s="10">
        <v>1350</v>
      </c>
      <c r="I2509" s="5">
        <f t="shared" si="78"/>
        <v>140.66666666666666</v>
      </c>
      <c r="J2509" s="3" t="str">
        <f t="shared" si="79"/>
        <v>Low</v>
      </c>
    </row>
    <row r="2510" spans="1:10">
      <c r="A2510" s="7" t="s">
        <v>2593</v>
      </c>
      <c r="B2510" s="18" t="s">
        <v>2168</v>
      </c>
      <c r="C2510" s="19" t="s">
        <v>2164</v>
      </c>
      <c r="D2510" s="22">
        <v>190000</v>
      </c>
      <c r="E2510" s="7">
        <v>19</v>
      </c>
      <c r="F2510" s="7">
        <v>3</v>
      </c>
      <c r="G2510" s="7">
        <v>2</v>
      </c>
      <c r="H2510" s="12">
        <v>1000</v>
      </c>
      <c r="I2510" s="8">
        <f t="shared" si="78"/>
        <v>190</v>
      </c>
      <c r="J2510" s="3" t="str">
        <f t="shared" si="79"/>
        <v>Low</v>
      </c>
    </row>
    <row r="2511" spans="1:10">
      <c r="A2511" s="4" t="s">
        <v>2594</v>
      </c>
      <c r="B2511" s="16" t="s">
        <v>2210</v>
      </c>
      <c r="C2511" s="17" t="s">
        <v>2164</v>
      </c>
      <c r="D2511" s="21">
        <v>190000</v>
      </c>
      <c r="E2511" s="4">
        <v>2</v>
      </c>
      <c r="F2511" s="4">
        <v>3</v>
      </c>
      <c r="G2511" s="4">
        <v>1.1000000000000001</v>
      </c>
      <c r="H2511" s="10">
        <v>1089</v>
      </c>
      <c r="I2511" s="5">
        <f t="shared" si="78"/>
        <v>174.47199265381084</v>
      </c>
      <c r="J2511" s="3" t="str">
        <f t="shared" si="79"/>
        <v>Low</v>
      </c>
    </row>
    <row r="2512" spans="1:10">
      <c r="A2512" s="7" t="s">
        <v>2595</v>
      </c>
      <c r="B2512" s="18" t="s">
        <v>2596</v>
      </c>
      <c r="C2512" s="19" t="s">
        <v>2164</v>
      </c>
      <c r="D2512" s="22">
        <v>190000</v>
      </c>
      <c r="E2512" s="7">
        <v>54</v>
      </c>
      <c r="F2512" s="7">
        <v>3</v>
      </c>
      <c r="G2512" s="7">
        <v>1</v>
      </c>
      <c r="H2512" s="12">
        <v>1480</v>
      </c>
      <c r="I2512" s="8">
        <f t="shared" si="78"/>
        <v>128.37837837837839</v>
      </c>
      <c r="J2512" s="3" t="str">
        <f t="shared" si="79"/>
        <v>Low</v>
      </c>
    </row>
    <row r="2513" spans="1:10">
      <c r="A2513" s="4" t="s">
        <v>2597</v>
      </c>
      <c r="B2513" s="16" t="s">
        <v>2210</v>
      </c>
      <c r="C2513" s="17" t="s">
        <v>2164</v>
      </c>
      <c r="D2513" s="21">
        <v>190000</v>
      </c>
      <c r="E2513" s="4">
        <v>48</v>
      </c>
      <c r="F2513" s="4">
        <v>3</v>
      </c>
      <c r="G2513" s="4">
        <v>1</v>
      </c>
      <c r="H2513" s="10">
        <v>1140</v>
      </c>
      <c r="I2513" s="5">
        <f t="shared" si="78"/>
        <v>166.66666666666666</v>
      </c>
      <c r="J2513" s="3" t="str">
        <f t="shared" si="79"/>
        <v>Low</v>
      </c>
    </row>
    <row r="2514" spans="1:10">
      <c r="A2514" s="7" t="s">
        <v>2598</v>
      </c>
      <c r="B2514" s="18" t="s">
        <v>2168</v>
      </c>
      <c r="C2514" s="19" t="s">
        <v>2164</v>
      </c>
      <c r="D2514" s="22">
        <v>190000</v>
      </c>
      <c r="E2514" s="7">
        <v>47</v>
      </c>
      <c r="F2514" s="7">
        <v>3</v>
      </c>
      <c r="G2514" s="7">
        <v>2</v>
      </c>
      <c r="H2514" s="7">
        <v>930</v>
      </c>
      <c r="I2514" s="8">
        <f t="shared" si="78"/>
        <v>204.30107526881721</v>
      </c>
      <c r="J2514" s="3" t="str">
        <f t="shared" si="79"/>
        <v>Medium</v>
      </c>
    </row>
    <row r="2515" spans="1:10">
      <c r="A2515" s="4" t="s">
        <v>2599</v>
      </c>
      <c r="B2515" s="16" t="s">
        <v>2173</v>
      </c>
      <c r="C2515" s="17" t="s">
        <v>2164</v>
      </c>
      <c r="D2515" s="21">
        <v>192000</v>
      </c>
      <c r="E2515" s="4">
        <v>10</v>
      </c>
      <c r="F2515" s="4">
        <v>3</v>
      </c>
      <c r="G2515" s="4">
        <v>2</v>
      </c>
      <c r="H2515" s="10">
        <v>1782</v>
      </c>
      <c r="I2515" s="5">
        <f t="shared" si="78"/>
        <v>107.74410774410775</v>
      </c>
      <c r="J2515" s="3" t="str">
        <f t="shared" si="79"/>
        <v>Low</v>
      </c>
    </row>
    <row r="2516" spans="1:10">
      <c r="A2516" s="7" t="s">
        <v>2600</v>
      </c>
      <c r="B2516" s="18" t="s">
        <v>2166</v>
      </c>
      <c r="C2516" s="19" t="s">
        <v>2164</v>
      </c>
      <c r="D2516" s="22">
        <v>193000</v>
      </c>
      <c r="E2516" s="7">
        <v>4</v>
      </c>
      <c r="F2516" s="7">
        <v>3</v>
      </c>
      <c r="G2516" s="7">
        <v>1.1000000000000001</v>
      </c>
      <c r="H2516" s="12">
        <v>1050</v>
      </c>
      <c r="I2516" s="8">
        <f t="shared" si="78"/>
        <v>183.8095238095238</v>
      </c>
      <c r="J2516" s="3" t="str">
        <f t="shared" si="79"/>
        <v>Low</v>
      </c>
    </row>
    <row r="2517" spans="1:10">
      <c r="A2517" s="4" t="s">
        <v>2601</v>
      </c>
      <c r="B2517" s="16" t="s">
        <v>2173</v>
      </c>
      <c r="C2517" s="17" t="s">
        <v>2164</v>
      </c>
      <c r="D2517" s="21">
        <v>193000</v>
      </c>
      <c r="E2517" s="4">
        <v>12</v>
      </c>
      <c r="F2517" s="4">
        <v>4</v>
      </c>
      <c r="G2517" s="4">
        <v>1.1000000000000001</v>
      </c>
      <c r="H2517" s="10">
        <v>1495</v>
      </c>
      <c r="I2517" s="5">
        <f t="shared" si="78"/>
        <v>129.09698996655518</v>
      </c>
      <c r="J2517" s="3" t="str">
        <f t="shared" si="79"/>
        <v>Low</v>
      </c>
    </row>
    <row r="2518" spans="1:10">
      <c r="A2518" s="7" t="s">
        <v>2602</v>
      </c>
      <c r="B2518" s="18" t="s">
        <v>2166</v>
      </c>
      <c r="C2518" s="19" t="s">
        <v>2164</v>
      </c>
      <c r="D2518" s="22">
        <v>193000</v>
      </c>
      <c r="E2518" s="7">
        <v>3</v>
      </c>
      <c r="F2518" s="7">
        <v>3</v>
      </c>
      <c r="G2518" s="7">
        <v>2</v>
      </c>
      <c r="H2518" s="12">
        <v>1000</v>
      </c>
      <c r="I2518" s="8">
        <f t="shared" si="78"/>
        <v>193</v>
      </c>
      <c r="J2518" s="3" t="str">
        <f t="shared" si="79"/>
        <v>Low</v>
      </c>
    </row>
    <row r="2519" spans="1:10">
      <c r="A2519" s="4" t="s">
        <v>2603</v>
      </c>
      <c r="B2519" s="16" t="s">
        <v>2166</v>
      </c>
      <c r="C2519" s="17" t="s">
        <v>2164</v>
      </c>
      <c r="D2519" s="21">
        <v>194000</v>
      </c>
      <c r="E2519" s="4">
        <v>0</v>
      </c>
      <c r="F2519" s="4">
        <v>3</v>
      </c>
      <c r="G2519" s="4">
        <v>2</v>
      </c>
      <c r="H2519" s="4">
        <v>910</v>
      </c>
      <c r="I2519" s="5">
        <f t="shared" si="78"/>
        <v>213.1868131868132</v>
      </c>
      <c r="J2519" s="3" t="str">
        <f t="shared" si="79"/>
        <v>Medium</v>
      </c>
    </row>
    <row r="2520" spans="1:10">
      <c r="A2520" s="7" t="s">
        <v>2604</v>
      </c>
      <c r="B2520" s="18" t="s">
        <v>2168</v>
      </c>
      <c r="C2520" s="19" t="s">
        <v>2164</v>
      </c>
      <c r="D2520" s="22">
        <v>194500</v>
      </c>
      <c r="E2520" s="7">
        <v>46</v>
      </c>
      <c r="F2520" s="7">
        <v>3</v>
      </c>
      <c r="G2520" s="7">
        <v>2</v>
      </c>
      <c r="H2520" s="12">
        <v>1048</v>
      </c>
      <c r="I2520" s="8">
        <f t="shared" si="78"/>
        <v>185.59160305343511</v>
      </c>
      <c r="J2520" s="3" t="str">
        <f t="shared" si="79"/>
        <v>Low</v>
      </c>
    </row>
    <row r="2521" spans="1:10">
      <c r="A2521" s="4" t="s">
        <v>2605</v>
      </c>
      <c r="B2521" s="16" t="s">
        <v>2166</v>
      </c>
      <c r="C2521" s="17" t="s">
        <v>2164</v>
      </c>
      <c r="D2521" s="21">
        <v>195000</v>
      </c>
      <c r="E2521" s="4">
        <v>7</v>
      </c>
      <c r="F2521" s="4">
        <v>3</v>
      </c>
      <c r="G2521" s="4">
        <v>1.1000000000000001</v>
      </c>
      <c r="H2521" s="10">
        <v>1000</v>
      </c>
      <c r="I2521" s="5">
        <f t="shared" si="78"/>
        <v>195</v>
      </c>
      <c r="J2521" s="3" t="str">
        <f t="shared" si="79"/>
        <v>Low</v>
      </c>
    </row>
    <row r="2522" spans="1:10">
      <c r="A2522" s="7" t="s">
        <v>2606</v>
      </c>
      <c r="B2522" s="18" t="s">
        <v>2193</v>
      </c>
      <c r="C2522" s="19" t="s">
        <v>2164</v>
      </c>
      <c r="D2522" s="22">
        <v>195000</v>
      </c>
      <c r="E2522" s="7">
        <v>4</v>
      </c>
      <c r="F2522" s="7">
        <v>4</v>
      </c>
      <c r="G2522" s="7">
        <v>1.1000000000000001</v>
      </c>
      <c r="H2522" s="7">
        <v>960</v>
      </c>
      <c r="I2522" s="8">
        <f t="shared" si="78"/>
        <v>203.125</v>
      </c>
      <c r="J2522" s="3" t="str">
        <f t="shared" si="79"/>
        <v>Medium</v>
      </c>
    </row>
    <row r="2523" spans="1:10">
      <c r="A2523" s="4" t="s">
        <v>2607</v>
      </c>
      <c r="B2523" s="16" t="s">
        <v>2407</v>
      </c>
      <c r="C2523" s="17" t="s">
        <v>2164</v>
      </c>
      <c r="D2523" s="21">
        <v>195000</v>
      </c>
      <c r="E2523" s="4">
        <v>2</v>
      </c>
      <c r="F2523" s="4">
        <v>3</v>
      </c>
      <c r="G2523" s="4">
        <v>1</v>
      </c>
      <c r="H2523" s="4">
        <v>960</v>
      </c>
      <c r="I2523" s="5">
        <f t="shared" si="78"/>
        <v>203.125</v>
      </c>
      <c r="J2523" s="3" t="str">
        <f t="shared" si="79"/>
        <v>Medium</v>
      </c>
    </row>
    <row r="2524" spans="1:10">
      <c r="A2524" s="7" t="s">
        <v>2608</v>
      </c>
      <c r="B2524" s="18" t="s">
        <v>2210</v>
      </c>
      <c r="C2524" s="19" t="s">
        <v>2164</v>
      </c>
      <c r="D2524" s="22">
        <v>195000</v>
      </c>
      <c r="E2524" s="7">
        <v>33</v>
      </c>
      <c r="F2524" s="7">
        <v>2</v>
      </c>
      <c r="G2524" s="7">
        <v>1.1000000000000001</v>
      </c>
      <c r="H2524" s="12">
        <v>1107</v>
      </c>
      <c r="I2524" s="8">
        <f t="shared" si="78"/>
        <v>176.15176151761517</v>
      </c>
      <c r="J2524" s="3" t="str">
        <f t="shared" si="79"/>
        <v>Low</v>
      </c>
    </row>
    <row r="2525" spans="1:10">
      <c r="A2525" s="4" t="s">
        <v>2609</v>
      </c>
      <c r="B2525" s="16" t="s">
        <v>2163</v>
      </c>
      <c r="C2525" s="17" t="s">
        <v>2164</v>
      </c>
      <c r="D2525" s="21">
        <v>195000</v>
      </c>
      <c r="E2525" s="4">
        <v>44</v>
      </c>
      <c r="F2525" s="4">
        <v>3</v>
      </c>
      <c r="G2525" s="4">
        <v>1</v>
      </c>
      <c r="H2525" s="10">
        <v>1548</v>
      </c>
      <c r="I2525" s="5">
        <f t="shared" si="78"/>
        <v>125.96899224806202</v>
      </c>
      <c r="J2525" s="3" t="str">
        <f t="shared" si="79"/>
        <v>Low</v>
      </c>
    </row>
    <row r="2526" spans="1:10">
      <c r="A2526" s="7" t="s">
        <v>2610</v>
      </c>
      <c r="B2526" s="18" t="s">
        <v>2210</v>
      </c>
      <c r="C2526" s="19" t="s">
        <v>2164</v>
      </c>
      <c r="D2526" s="22">
        <v>195000</v>
      </c>
      <c r="E2526" s="7">
        <v>33</v>
      </c>
      <c r="F2526" s="7">
        <v>3</v>
      </c>
      <c r="G2526" s="7">
        <v>1</v>
      </c>
      <c r="H2526" s="12">
        <v>1100</v>
      </c>
      <c r="I2526" s="8">
        <f t="shared" si="78"/>
        <v>177.27272727272728</v>
      </c>
      <c r="J2526" s="3" t="str">
        <f t="shared" si="79"/>
        <v>Low</v>
      </c>
    </row>
    <row r="2527" spans="1:10">
      <c r="A2527" s="4" t="s">
        <v>2611</v>
      </c>
      <c r="B2527" s="16" t="s">
        <v>2563</v>
      </c>
      <c r="C2527" s="17" t="s">
        <v>2164</v>
      </c>
      <c r="D2527" s="21">
        <v>195000</v>
      </c>
      <c r="E2527" s="4">
        <v>23</v>
      </c>
      <c r="F2527" s="4">
        <v>3</v>
      </c>
      <c r="G2527" s="4">
        <v>2</v>
      </c>
      <c r="H2527" s="10">
        <v>1549</v>
      </c>
      <c r="I2527" s="5">
        <f t="shared" si="78"/>
        <v>125.88766946417043</v>
      </c>
      <c r="J2527" s="3" t="str">
        <f t="shared" si="79"/>
        <v>Low</v>
      </c>
    </row>
    <row r="2528" spans="1:10">
      <c r="A2528" s="7" t="s">
        <v>2612</v>
      </c>
      <c r="B2528" s="18" t="s">
        <v>2181</v>
      </c>
      <c r="C2528" s="19" t="s">
        <v>2164</v>
      </c>
      <c r="D2528" s="22">
        <v>196000</v>
      </c>
      <c r="E2528" s="7">
        <v>47</v>
      </c>
      <c r="F2528" s="7">
        <v>3</v>
      </c>
      <c r="G2528" s="7">
        <v>0.1</v>
      </c>
      <c r="H2528" s="12">
        <v>1000</v>
      </c>
      <c r="I2528" s="8">
        <f t="shared" si="78"/>
        <v>196</v>
      </c>
      <c r="J2528" s="3" t="str">
        <f t="shared" si="79"/>
        <v>Low</v>
      </c>
    </row>
    <row r="2529" spans="1:10">
      <c r="A2529" s="4" t="s">
        <v>2613</v>
      </c>
      <c r="B2529" s="16" t="s">
        <v>2173</v>
      </c>
      <c r="C2529" s="17" t="s">
        <v>2164</v>
      </c>
      <c r="D2529" s="21">
        <v>196000</v>
      </c>
      <c r="E2529" s="4">
        <v>85</v>
      </c>
      <c r="F2529" s="4">
        <v>3</v>
      </c>
      <c r="G2529" s="4">
        <v>1.1000000000000001</v>
      </c>
      <c r="H2529" s="10">
        <v>1505</v>
      </c>
      <c r="I2529" s="5">
        <f t="shared" si="78"/>
        <v>130.23255813953489</v>
      </c>
      <c r="J2529" s="3" t="str">
        <f t="shared" si="79"/>
        <v>Low</v>
      </c>
    </row>
    <row r="2530" spans="1:10">
      <c r="A2530" s="7" t="s">
        <v>2614</v>
      </c>
      <c r="B2530" s="18" t="s">
        <v>2181</v>
      </c>
      <c r="C2530" s="19" t="s">
        <v>2164</v>
      </c>
      <c r="D2530" s="22">
        <v>196000</v>
      </c>
      <c r="E2530" s="7">
        <v>169</v>
      </c>
      <c r="F2530" s="7">
        <v>3</v>
      </c>
      <c r="G2530" s="7">
        <v>2</v>
      </c>
      <c r="H2530" s="7">
        <v>925</v>
      </c>
      <c r="I2530" s="8">
        <f t="shared" si="78"/>
        <v>211.8918918918919</v>
      </c>
      <c r="J2530" s="3" t="str">
        <f t="shared" si="79"/>
        <v>Medium</v>
      </c>
    </row>
    <row r="2531" spans="1:10">
      <c r="A2531" s="4" t="s">
        <v>2615</v>
      </c>
      <c r="B2531" s="16" t="s">
        <v>2168</v>
      </c>
      <c r="C2531" s="17" t="s">
        <v>2164</v>
      </c>
      <c r="D2531" s="21">
        <v>197000</v>
      </c>
      <c r="E2531" s="4">
        <v>5</v>
      </c>
      <c r="F2531" s="4">
        <v>3</v>
      </c>
      <c r="G2531" s="4">
        <v>2</v>
      </c>
      <c r="H2531" s="4">
        <v>953</v>
      </c>
      <c r="I2531" s="5">
        <f t="shared" si="78"/>
        <v>206.71563483735571</v>
      </c>
      <c r="J2531" s="3" t="str">
        <f t="shared" si="79"/>
        <v>Medium</v>
      </c>
    </row>
    <row r="2532" spans="1:10">
      <c r="A2532" s="7" t="s">
        <v>2616</v>
      </c>
      <c r="B2532" s="18" t="s">
        <v>2210</v>
      </c>
      <c r="C2532" s="19" t="s">
        <v>2164</v>
      </c>
      <c r="D2532" s="22">
        <v>197500</v>
      </c>
      <c r="E2532" s="7">
        <v>15</v>
      </c>
      <c r="F2532" s="7">
        <v>3</v>
      </c>
      <c r="G2532" s="7">
        <v>1</v>
      </c>
      <c r="H2532" s="12">
        <v>1021</v>
      </c>
      <c r="I2532" s="8">
        <f t="shared" si="78"/>
        <v>193.43780607247797</v>
      </c>
      <c r="J2532" s="3" t="str">
        <f t="shared" si="79"/>
        <v>Low</v>
      </c>
    </row>
    <row r="2533" spans="1:10">
      <c r="A2533" s="4" t="s">
        <v>2617</v>
      </c>
      <c r="B2533" s="16" t="s">
        <v>2171</v>
      </c>
      <c r="C2533" s="17" t="s">
        <v>2164</v>
      </c>
      <c r="D2533" s="21">
        <v>197500</v>
      </c>
      <c r="E2533" s="4">
        <v>77</v>
      </c>
      <c r="F2533" s="4">
        <v>2</v>
      </c>
      <c r="G2533" s="4">
        <v>2</v>
      </c>
      <c r="H2533" s="10">
        <v>1050</v>
      </c>
      <c r="I2533" s="5">
        <f t="shared" si="78"/>
        <v>188.0952380952381</v>
      </c>
      <c r="J2533" s="3" t="str">
        <f t="shared" si="79"/>
        <v>Low</v>
      </c>
    </row>
    <row r="2534" spans="1:10">
      <c r="A2534" s="7" t="s">
        <v>2618</v>
      </c>
      <c r="B2534" s="18" t="s">
        <v>2168</v>
      </c>
      <c r="C2534" s="19" t="s">
        <v>2164</v>
      </c>
      <c r="D2534" s="22">
        <v>198000</v>
      </c>
      <c r="E2534" s="7">
        <v>5</v>
      </c>
      <c r="F2534" s="7">
        <v>3</v>
      </c>
      <c r="G2534" s="7">
        <v>2.1</v>
      </c>
      <c r="H2534" s="12">
        <v>1171</v>
      </c>
      <c r="I2534" s="8">
        <f t="shared" si="78"/>
        <v>169.08625106746371</v>
      </c>
      <c r="J2534" s="3" t="str">
        <f t="shared" si="79"/>
        <v>Low</v>
      </c>
    </row>
    <row r="2535" spans="1:10">
      <c r="A2535" s="4" t="s">
        <v>2619</v>
      </c>
      <c r="B2535" s="16" t="s">
        <v>2173</v>
      </c>
      <c r="C2535" s="17" t="s">
        <v>2164</v>
      </c>
      <c r="D2535" s="21">
        <v>198000</v>
      </c>
      <c r="E2535" s="4">
        <v>38</v>
      </c>
      <c r="F2535" s="4">
        <v>3</v>
      </c>
      <c r="G2535" s="4">
        <v>2</v>
      </c>
      <c r="H2535" s="10">
        <v>1129</v>
      </c>
      <c r="I2535" s="5">
        <f t="shared" si="78"/>
        <v>175.3764393268379</v>
      </c>
      <c r="J2535" s="3" t="str">
        <f t="shared" si="79"/>
        <v>Low</v>
      </c>
    </row>
    <row r="2536" spans="1:10">
      <c r="A2536" s="7" t="s">
        <v>2620</v>
      </c>
      <c r="B2536" s="18" t="s">
        <v>2395</v>
      </c>
      <c r="C2536" s="19" t="s">
        <v>2164</v>
      </c>
      <c r="D2536" s="22">
        <v>198200</v>
      </c>
      <c r="E2536" s="7">
        <v>49</v>
      </c>
      <c r="F2536" s="7">
        <v>3</v>
      </c>
      <c r="G2536" s="7">
        <v>1</v>
      </c>
      <c r="H2536" s="12">
        <v>1050</v>
      </c>
      <c r="I2536" s="8">
        <f t="shared" si="78"/>
        <v>188.76190476190476</v>
      </c>
      <c r="J2536" s="3" t="str">
        <f t="shared" si="79"/>
        <v>Low</v>
      </c>
    </row>
    <row r="2537" spans="1:10">
      <c r="A2537" s="4" t="s">
        <v>2621</v>
      </c>
      <c r="B2537" s="16" t="s">
        <v>2227</v>
      </c>
      <c r="C2537" s="17" t="s">
        <v>2164</v>
      </c>
      <c r="D2537" s="21">
        <v>199000</v>
      </c>
      <c r="E2537" s="4">
        <v>161</v>
      </c>
      <c r="F2537" s="4">
        <v>3</v>
      </c>
      <c r="G2537" s="4">
        <v>1.1000000000000001</v>
      </c>
      <c r="H2537" s="10">
        <v>1344</v>
      </c>
      <c r="I2537" s="5">
        <f t="shared" si="78"/>
        <v>148.0654761904762</v>
      </c>
      <c r="J2537" s="3" t="str">
        <f t="shared" si="79"/>
        <v>Low</v>
      </c>
    </row>
    <row r="2538" spans="1:10">
      <c r="A2538" s="7" t="s">
        <v>2622</v>
      </c>
      <c r="B2538" s="18" t="s">
        <v>2523</v>
      </c>
      <c r="C2538" s="19" t="s">
        <v>2164</v>
      </c>
      <c r="D2538" s="22">
        <v>199000</v>
      </c>
      <c r="E2538" s="7">
        <v>58</v>
      </c>
      <c r="F2538" s="7">
        <v>3</v>
      </c>
      <c r="G2538" s="7">
        <v>1.1000000000000001</v>
      </c>
      <c r="H2538" s="12">
        <v>1000</v>
      </c>
      <c r="I2538" s="8">
        <f t="shared" si="78"/>
        <v>199</v>
      </c>
      <c r="J2538" s="3" t="str">
        <f t="shared" si="79"/>
        <v>Low</v>
      </c>
    </row>
    <row r="2539" spans="1:10">
      <c r="A2539" s="4" t="s">
        <v>2623</v>
      </c>
      <c r="B2539" s="16" t="s">
        <v>2166</v>
      </c>
      <c r="C2539" s="17" t="s">
        <v>2164</v>
      </c>
      <c r="D2539" s="21">
        <v>199900</v>
      </c>
      <c r="E2539" s="4">
        <v>30</v>
      </c>
      <c r="F2539" s="4">
        <v>4</v>
      </c>
      <c r="G2539" s="4">
        <v>1</v>
      </c>
      <c r="H2539" s="10">
        <v>1248</v>
      </c>
      <c r="I2539" s="5">
        <f t="shared" si="78"/>
        <v>160.17628205128204</v>
      </c>
      <c r="J2539" s="3" t="str">
        <f t="shared" si="79"/>
        <v>Low</v>
      </c>
    </row>
    <row r="2540" spans="1:10">
      <c r="A2540" s="7" t="s">
        <v>2624</v>
      </c>
      <c r="B2540" s="18" t="s">
        <v>2166</v>
      </c>
      <c r="C2540" s="19" t="s">
        <v>2164</v>
      </c>
      <c r="D2540" s="22">
        <v>199900</v>
      </c>
      <c r="E2540" s="7">
        <v>15</v>
      </c>
      <c r="F2540" s="7">
        <v>3</v>
      </c>
      <c r="G2540" s="7">
        <v>1.1000000000000001</v>
      </c>
      <c r="H2540" s="12">
        <v>1175</v>
      </c>
      <c r="I2540" s="8">
        <f t="shared" si="78"/>
        <v>170.12765957446808</v>
      </c>
      <c r="J2540" s="3" t="str">
        <f t="shared" si="79"/>
        <v>Low</v>
      </c>
    </row>
    <row r="2541" spans="1:10">
      <c r="A2541" s="4" t="s">
        <v>2625</v>
      </c>
      <c r="B2541" s="16" t="s">
        <v>2210</v>
      </c>
      <c r="C2541" s="17" t="s">
        <v>2164</v>
      </c>
      <c r="D2541" s="21">
        <v>199999</v>
      </c>
      <c r="E2541" s="4">
        <v>8</v>
      </c>
      <c r="F2541" s="4">
        <v>4</v>
      </c>
      <c r="G2541" s="4">
        <v>2</v>
      </c>
      <c r="H2541" s="4">
        <v>925</v>
      </c>
      <c r="I2541" s="5">
        <f t="shared" si="78"/>
        <v>216.21513513513514</v>
      </c>
      <c r="J2541" s="3" t="str">
        <f t="shared" si="79"/>
        <v>Medium</v>
      </c>
    </row>
    <row r="2542" spans="1:10">
      <c r="A2542" s="7" t="s">
        <v>2626</v>
      </c>
      <c r="B2542" s="18" t="s">
        <v>2173</v>
      </c>
      <c r="C2542" s="19" t="s">
        <v>2164</v>
      </c>
      <c r="D2542" s="22">
        <v>200000</v>
      </c>
      <c r="E2542" s="7">
        <v>11</v>
      </c>
      <c r="F2542" s="7">
        <v>3</v>
      </c>
      <c r="G2542" s="7">
        <v>2</v>
      </c>
      <c r="H2542" s="12">
        <v>1045</v>
      </c>
      <c r="I2542" s="8">
        <f t="shared" si="78"/>
        <v>191.38755980861245</v>
      </c>
      <c r="J2542" s="3" t="str">
        <f t="shared" si="79"/>
        <v>Low</v>
      </c>
    </row>
    <row r="2543" spans="1:10">
      <c r="A2543" s="4" t="s">
        <v>2627</v>
      </c>
      <c r="B2543" s="16" t="s">
        <v>2563</v>
      </c>
      <c r="C2543" s="17" t="s">
        <v>2164</v>
      </c>
      <c r="D2543" s="21">
        <v>200000</v>
      </c>
      <c r="E2543" s="4">
        <v>0</v>
      </c>
      <c r="F2543" s="4">
        <v>3</v>
      </c>
      <c r="G2543" s="4">
        <v>1.1000000000000001</v>
      </c>
      <c r="H2543" s="10">
        <v>1804</v>
      </c>
      <c r="I2543" s="5">
        <f t="shared" si="78"/>
        <v>110.86474501108647</v>
      </c>
      <c r="J2543" s="3" t="str">
        <f t="shared" si="79"/>
        <v>Low</v>
      </c>
    </row>
    <row r="2544" spans="1:10">
      <c r="A2544" s="7" t="s">
        <v>2628</v>
      </c>
      <c r="B2544" s="18" t="s">
        <v>2210</v>
      </c>
      <c r="C2544" s="19" t="s">
        <v>2164</v>
      </c>
      <c r="D2544" s="22">
        <v>200000</v>
      </c>
      <c r="E2544" s="7">
        <v>21</v>
      </c>
      <c r="F2544" s="7">
        <v>3</v>
      </c>
      <c r="G2544" s="7">
        <v>1.1000000000000001</v>
      </c>
      <c r="H2544" s="12">
        <v>1076</v>
      </c>
      <c r="I2544" s="8">
        <f t="shared" si="78"/>
        <v>185.87360594795538</v>
      </c>
      <c r="J2544" s="3" t="str">
        <f t="shared" si="79"/>
        <v>Low</v>
      </c>
    </row>
    <row r="2545" spans="1:10">
      <c r="A2545" s="4" t="s">
        <v>2629</v>
      </c>
      <c r="B2545" s="16" t="s">
        <v>2173</v>
      </c>
      <c r="C2545" s="17" t="s">
        <v>2164</v>
      </c>
      <c r="D2545" s="21">
        <v>200000</v>
      </c>
      <c r="E2545" s="4">
        <v>20</v>
      </c>
      <c r="F2545" s="4">
        <v>3</v>
      </c>
      <c r="G2545" s="4">
        <v>1.1000000000000001</v>
      </c>
      <c r="H2545" s="10">
        <v>1355</v>
      </c>
      <c r="I2545" s="5">
        <f t="shared" si="78"/>
        <v>147.60147601476015</v>
      </c>
      <c r="J2545" s="3" t="str">
        <f t="shared" si="79"/>
        <v>Low</v>
      </c>
    </row>
    <row r="2546" spans="1:10">
      <c r="A2546" s="7" t="s">
        <v>2630</v>
      </c>
      <c r="B2546" s="18" t="s">
        <v>2210</v>
      </c>
      <c r="C2546" s="19" t="s">
        <v>2164</v>
      </c>
      <c r="D2546" s="22">
        <v>200000</v>
      </c>
      <c r="E2546" s="7">
        <v>5</v>
      </c>
      <c r="F2546" s="7">
        <v>3</v>
      </c>
      <c r="G2546" s="7">
        <v>1.1000000000000001</v>
      </c>
      <c r="H2546" s="12">
        <v>1045</v>
      </c>
      <c r="I2546" s="8">
        <f t="shared" si="78"/>
        <v>191.38755980861245</v>
      </c>
      <c r="J2546" s="3" t="str">
        <f t="shared" si="79"/>
        <v>Low</v>
      </c>
    </row>
    <row r="2547" spans="1:10">
      <c r="A2547" s="4" t="s">
        <v>2631</v>
      </c>
      <c r="B2547" s="16" t="s">
        <v>2166</v>
      </c>
      <c r="C2547" s="17" t="s">
        <v>2164</v>
      </c>
      <c r="D2547" s="21">
        <v>200000</v>
      </c>
      <c r="E2547" s="4">
        <v>16</v>
      </c>
      <c r="F2547" s="4">
        <v>3</v>
      </c>
      <c r="G2547" s="4">
        <v>2</v>
      </c>
      <c r="H2547" s="10">
        <v>1602</v>
      </c>
      <c r="I2547" s="5">
        <f t="shared" si="78"/>
        <v>124.84394506866417</v>
      </c>
      <c r="J2547" s="3" t="str">
        <f t="shared" si="79"/>
        <v>Low</v>
      </c>
    </row>
    <row r="2548" spans="1:10">
      <c r="A2548" s="7" t="s">
        <v>2632</v>
      </c>
      <c r="B2548" s="18" t="s">
        <v>2168</v>
      </c>
      <c r="C2548" s="19" t="s">
        <v>2164</v>
      </c>
      <c r="D2548" s="22">
        <v>200000</v>
      </c>
      <c r="E2548" s="7">
        <v>4</v>
      </c>
      <c r="F2548" s="7">
        <v>3</v>
      </c>
      <c r="G2548" s="7">
        <v>1.1000000000000001</v>
      </c>
      <c r="H2548" s="7">
        <v>963</v>
      </c>
      <c r="I2548" s="8">
        <f t="shared" si="78"/>
        <v>207.68431983385256</v>
      </c>
      <c r="J2548" s="3" t="str">
        <f t="shared" si="79"/>
        <v>Medium</v>
      </c>
    </row>
    <row r="2549" spans="1:10">
      <c r="A2549" s="4" t="s">
        <v>2633</v>
      </c>
      <c r="B2549" s="16" t="s">
        <v>2168</v>
      </c>
      <c r="C2549" s="17" t="s">
        <v>2164</v>
      </c>
      <c r="D2549" s="21">
        <v>200000</v>
      </c>
      <c r="E2549" s="4">
        <v>4</v>
      </c>
      <c r="F2549" s="4">
        <v>3</v>
      </c>
      <c r="G2549" s="4">
        <v>1.1000000000000001</v>
      </c>
      <c r="H2549" s="10">
        <v>1014</v>
      </c>
      <c r="I2549" s="5">
        <f t="shared" si="78"/>
        <v>197.23865877712032</v>
      </c>
      <c r="J2549" s="3" t="str">
        <f t="shared" si="79"/>
        <v>Low</v>
      </c>
    </row>
    <row r="2550" spans="1:10">
      <c r="A2550" s="7" t="s">
        <v>2634</v>
      </c>
      <c r="B2550" s="18" t="s">
        <v>2173</v>
      </c>
      <c r="C2550" s="19" t="s">
        <v>2164</v>
      </c>
      <c r="D2550" s="22">
        <v>200000</v>
      </c>
      <c r="E2550" s="7">
        <v>7</v>
      </c>
      <c r="F2550" s="7">
        <v>3</v>
      </c>
      <c r="G2550" s="7">
        <v>2</v>
      </c>
      <c r="H2550" s="12">
        <v>1052</v>
      </c>
      <c r="I2550" s="8">
        <f t="shared" si="78"/>
        <v>190.11406844106463</v>
      </c>
      <c r="J2550" s="3" t="str">
        <f t="shared" si="79"/>
        <v>Low</v>
      </c>
    </row>
    <row r="2551" spans="1:10">
      <c r="A2551" s="4" t="s">
        <v>2635</v>
      </c>
      <c r="B2551" s="16" t="s">
        <v>2173</v>
      </c>
      <c r="C2551" s="17" t="s">
        <v>2164</v>
      </c>
      <c r="D2551" s="21">
        <v>200000</v>
      </c>
      <c r="E2551" s="4">
        <v>37</v>
      </c>
      <c r="F2551" s="4">
        <v>3</v>
      </c>
      <c r="G2551" s="4">
        <v>1</v>
      </c>
      <c r="H2551" s="10">
        <v>1072</v>
      </c>
      <c r="I2551" s="5">
        <f t="shared" si="78"/>
        <v>186.56716417910448</v>
      </c>
      <c r="J2551" s="3" t="str">
        <f t="shared" si="79"/>
        <v>Low</v>
      </c>
    </row>
    <row r="2552" spans="1:10">
      <c r="A2552" s="7" t="s">
        <v>2636</v>
      </c>
      <c r="B2552" s="18" t="s">
        <v>2193</v>
      </c>
      <c r="C2552" s="19" t="s">
        <v>2164</v>
      </c>
      <c r="D2552" s="22">
        <v>200000</v>
      </c>
      <c r="E2552" s="7">
        <v>4</v>
      </c>
      <c r="F2552" s="7">
        <v>3</v>
      </c>
      <c r="G2552" s="7">
        <v>1</v>
      </c>
      <c r="H2552" s="7">
        <v>912</v>
      </c>
      <c r="I2552" s="8">
        <f t="shared" si="78"/>
        <v>219.2982456140351</v>
      </c>
      <c r="J2552" s="3" t="str">
        <f t="shared" si="79"/>
        <v>Medium</v>
      </c>
    </row>
    <row r="2553" spans="1:10">
      <c r="A2553" s="4" t="s">
        <v>2637</v>
      </c>
      <c r="B2553" s="16" t="s">
        <v>2168</v>
      </c>
      <c r="C2553" s="17" t="s">
        <v>2164</v>
      </c>
      <c r="D2553" s="21">
        <v>200000</v>
      </c>
      <c r="E2553" s="4">
        <v>7</v>
      </c>
      <c r="F2553" s="4">
        <v>3</v>
      </c>
      <c r="G2553" s="4">
        <v>1</v>
      </c>
      <c r="H2553" s="4">
        <v>980</v>
      </c>
      <c r="I2553" s="5">
        <f t="shared" si="78"/>
        <v>204.08163265306123</v>
      </c>
      <c r="J2553" s="3" t="str">
        <f t="shared" si="79"/>
        <v>Medium</v>
      </c>
    </row>
    <row r="2554" spans="1:10">
      <c r="A2554" s="7" t="s">
        <v>2638</v>
      </c>
      <c r="B2554" s="18" t="s">
        <v>2166</v>
      </c>
      <c r="C2554" s="19" t="s">
        <v>2164</v>
      </c>
      <c r="D2554" s="22">
        <v>200000</v>
      </c>
      <c r="E2554" s="7">
        <v>12</v>
      </c>
      <c r="F2554" s="7">
        <v>3</v>
      </c>
      <c r="G2554" s="7">
        <v>2</v>
      </c>
      <c r="H2554" s="12">
        <v>1428</v>
      </c>
      <c r="I2554" s="8">
        <f t="shared" si="78"/>
        <v>140.0560224089636</v>
      </c>
      <c r="J2554" s="3" t="str">
        <f t="shared" si="79"/>
        <v>Low</v>
      </c>
    </row>
    <row r="2555" spans="1:10">
      <c r="A2555" s="4" t="s">
        <v>2639</v>
      </c>
      <c r="B2555" s="16" t="s">
        <v>2210</v>
      </c>
      <c r="C2555" s="17" t="s">
        <v>2164</v>
      </c>
      <c r="D2555" s="21">
        <v>200000</v>
      </c>
      <c r="E2555" s="4">
        <v>20</v>
      </c>
      <c r="F2555" s="4">
        <v>3</v>
      </c>
      <c r="G2555" s="4">
        <v>1</v>
      </c>
      <c r="H2555" s="10">
        <v>1000</v>
      </c>
      <c r="I2555" s="5">
        <f t="shared" si="78"/>
        <v>200</v>
      </c>
      <c r="J2555" s="3" t="str">
        <f t="shared" si="79"/>
        <v>Low</v>
      </c>
    </row>
    <row r="2556" spans="1:10">
      <c r="A2556" s="7" t="s">
        <v>2640</v>
      </c>
      <c r="B2556" s="18" t="s">
        <v>2523</v>
      </c>
      <c r="C2556" s="19" t="s">
        <v>2164</v>
      </c>
      <c r="D2556" s="22">
        <v>200000</v>
      </c>
      <c r="E2556" s="7">
        <v>57</v>
      </c>
      <c r="F2556" s="7">
        <v>3</v>
      </c>
      <c r="G2556" s="7">
        <v>1.1000000000000001</v>
      </c>
      <c r="H2556" s="12">
        <v>1482</v>
      </c>
      <c r="I2556" s="8">
        <f t="shared" si="78"/>
        <v>134.95276653171391</v>
      </c>
      <c r="J2556" s="3" t="str">
        <f t="shared" si="79"/>
        <v>Low</v>
      </c>
    </row>
    <row r="2557" spans="1:10">
      <c r="A2557" s="4" t="s">
        <v>2641</v>
      </c>
      <c r="B2557" s="16" t="s">
        <v>2407</v>
      </c>
      <c r="C2557" s="17" t="s">
        <v>2164</v>
      </c>
      <c r="D2557" s="21">
        <v>200000</v>
      </c>
      <c r="E2557" s="4">
        <v>68</v>
      </c>
      <c r="F2557" s="4">
        <v>3</v>
      </c>
      <c r="G2557" s="4">
        <v>1</v>
      </c>
      <c r="H2557" s="4">
        <v>960</v>
      </c>
      <c r="I2557" s="5">
        <f t="shared" si="78"/>
        <v>208.33333333333334</v>
      </c>
      <c r="J2557" s="3" t="str">
        <f t="shared" si="79"/>
        <v>Medium</v>
      </c>
    </row>
    <row r="2558" spans="1:10">
      <c r="A2558" s="7" t="s">
        <v>2642</v>
      </c>
      <c r="B2558" s="18" t="s">
        <v>2523</v>
      </c>
      <c r="C2558" s="19" t="s">
        <v>2164</v>
      </c>
      <c r="D2558" s="22">
        <v>200000</v>
      </c>
      <c r="E2558" s="7">
        <v>4</v>
      </c>
      <c r="F2558" s="7">
        <v>3</v>
      </c>
      <c r="G2558" s="7">
        <v>1.1000000000000001</v>
      </c>
      <c r="H2558" s="12">
        <v>1392</v>
      </c>
      <c r="I2558" s="8">
        <f t="shared" si="78"/>
        <v>143.67816091954023</v>
      </c>
      <c r="J2558" s="3" t="str">
        <f t="shared" si="79"/>
        <v>Low</v>
      </c>
    </row>
    <row r="2559" spans="1:10">
      <c r="A2559" s="4" t="s">
        <v>2643</v>
      </c>
      <c r="B2559" s="16" t="s">
        <v>2168</v>
      </c>
      <c r="C2559" s="17" t="s">
        <v>2164</v>
      </c>
      <c r="D2559" s="21">
        <v>200000</v>
      </c>
      <c r="E2559" s="4">
        <v>47</v>
      </c>
      <c r="F2559" s="4">
        <v>3</v>
      </c>
      <c r="G2559" s="4">
        <v>2</v>
      </c>
      <c r="H2559" s="4">
        <v>906</v>
      </c>
      <c r="I2559" s="5">
        <f t="shared" si="78"/>
        <v>220.75055187637969</v>
      </c>
      <c r="J2559" s="3" t="str">
        <f t="shared" si="79"/>
        <v>Medium</v>
      </c>
    </row>
    <row r="2560" spans="1:10">
      <c r="A2560" s="7" t="s">
        <v>2644</v>
      </c>
      <c r="B2560" s="18" t="s">
        <v>2168</v>
      </c>
      <c r="C2560" s="19" t="s">
        <v>2164</v>
      </c>
      <c r="D2560" s="22">
        <v>200000</v>
      </c>
      <c r="E2560" s="7">
        <v>115</v>
      </c>
      <c r="F2560" s="7">
        <v>4</v>
      </c>
      <c r="G2560" s="7">
        <v>1.1000000000000001</v>
      </c>
      <c r="H2560" s="12">
        <v>1684</v>
      </c>
      <c r="I2560" s="8">
        <f t="shared" si="78"/>
        <v>118.76484560570071</v>
      </c>
      <c r="J2560" s="3" t="str">
        <f t="shared" si="79"/>
        <v>Low</v>
      </c>
    </row>
    <row r="2561" spans="1:10">
      <c r="A2561" s="4" t="s">
        <v>2645</v>
      </c>
      <c r="B2561" s="16" t="s">
        <v>2193</v>
      </c>
      <c r="C2561" s="17" t="s">
        <v>2164</v>
      </c>
      <c r="D2561" s="21">
        <v>200000</v>
      </c>
      <c r="E2561" s="4">
        <v>48</v>
      </c>
      <c r="F2561" s="4">
        <v>3</v>
      </c>
      <c r="G2561" s="4">
        <v>1</v>
      </c>
      <c r="H2561" s="4">
        <v>925</v>
      </c>
      <c r="I2561" s="5">
        <f t="shared" si="78"/>
        <v>216.21621621621622</v>
      </c>
      <c r="J2561" s="3" t="str">
        <f t="shared" si="79"/>
        <v>Medium</v>
      </c>
    </row>
    <row r="2562" spans="1:10">
      <c r="A2562" s="7" t="s">
        <v>2646</v>
      </c>
      <c r="B2562" s="18" t="s">
        <v>2173</v>
      </c>
      <c r="C2562" s="19" t="s">
        <v>2164</v>
      </c>
      <c r="D2562" s="22">
        <v>200000</v>
      </c>
      <c r="E2562" s="7">
        <v>35</v>
      </c>
      <c r="F2562" s="7">
        <v>3</v>
      </c>
      <c r="G2562" s="7">
        <v>1.1000000000000001</v>
      </c>
      <c r="H2562" s="12">
        <v>1332</v>
      </c>
      <c r="I2562" s="8">
        <f t="shared" ref="I2562:I2625" si="80">D2562/H2562</f>
        <v>150.15015015015015</v>
      </c>
      <c r="J2562" s="3" t="str">
        <f t="shared" ref="J2562:J2625" si="81">IF(I2562 &gt; 300, "High", IF(AND(I2562 &lt;= 300, I2562 &gt; 200), "Medium", "Low"))</f>
        <v>Low</v>
      </c>
    </row>
    <row r="2563" spans="1:10">
      <c r="A2563" s="4" t="s">
        <v>2631</v>
      </c>
      <c r="B2563" s="16" t="s">
        <v>2166</v>
      </c>
      <c r="C2563" s="17" t="s">
        <v>2164</v>
      </c>
      <c r="D2563" s="21">
        <v>200000</v>
      </c>
      <c r="E2563" s="4">
        <v>14</v>
      </c>
      <c r="F2563" s="4">
        <v>3</v>
      </c>
      <c r="G2563" s="4">
        <v>2</v>
      </c>
      <c r="H2563" s="10">
        <v>1602</v>
      </c>
      <c r="I2563" s="5">
        <f t="shared" si="80"/>
        <v>124.84394506866417</v>
      </c>
      <c r="J2563" s="3" t="str">
        <f t="shared" si="81"/>
        <v>Low</v>
      </c>
    </row>
    <row r="2564" spans="1:10">
      <c r="A2564" s="7" t="s">
        <v>2647</v>
      </c>
      <c r="B2564" s="18" t="s">
        <v>2166</v>
      </c>
      <c r="C2564" s="19" t="s">
        <v>2164</v>
      </c>
      <c r="D2564" s="22">
        <v>200000</v>
      </c>
      <c r="E2564" s="7">
        <v>144</v>
      </c>
      <c r="F2564" s="7">
        <v>3</v>
      </c>
      <c r="G2564" s="7">
        <v>1</v>
      </c>
      <c r="H2564" s="12">
        <v>1089</v>
      </c>
      <c r="I2564" s="8">
        <f t="shared" si="80"/>
        <v>183.65472910927457</v>
      </c>
      <c r="J2564" s="3" t="str">
        <f t="shared" si="81"/>
        <v>Low</v>
      </c>
    </row>
    <row r="2565" spans="1:10">
      <c r="A2565" s="4" t="s">
        <v>2648</v>
      </c>
      <c r="B2565" s="16" t="s">
        <v>2166</v>
      </c>
      <c r="C2565" s="17" t="s">
        <v>2164</v>
      </c>
      <c r="D2565" s="21">
        <v>202000</v>
      </c>
      <c r="E2565" s="4">
        <v>15</v>
      </c>
      <c r="F2565" s="4">
        <v>3</v>
      </c>
      <c r="G2565" s="4">
        <v>1.1000000000000001</v>
      </c>
      <c r="H2565" s="10">
        <v>1077</v>
      </c>
      <c r="I2565" s="5">
        <f t="shared" si="80"/>
        <v>187.55803156917364</v>
      </c>
      <c r="J2565" s="3" t="str">
        <f t="shared" si="81"/>
        <v>Low</v>
      </c>
    </row>
    <row r="2566" spans="1:10">
      <c r="A2566" s="7" t="s">
        <v>2649</v>
      </c>
      <c r="B2566" s="18" t="s">
        <v>2168</v>
      </c>
      <c r="C2566" s="19" t="s">
        <v>2164</v>
      </c>
      <c r="D2566" s="22">
        <v>202000</v>
      </c>
      <c r="E2566" s="7">
        <v>0</v>
      </c>
      <c r="F2566" s="7">
        <v>3</v>
      </c>
      <c r="G2566" s="7">
        <v>2</v>
      </c>
      <c r="H2566" s="12">
        <v>1080</v>
      </c>
      <c r="I2566" s="8">
        <f t="shared" si="80"/>
        <v>187.03703703703704</v>
      </c>
      <c r="J2566" s="3" t="str">
        <f t="shared" si="81"/>
        <v>Low</v>
      </c>
    </row>
    <row r="2567" spans="1:10">
      <c r="A2567" s="4" t="s">
        <v>2650</v>
      </c>
      <c r="B2567" s="16" t="s">
        <v>2168</v>
      </c>
      <c r="C2567" s="17" t="s">
        <v>2164</v>
      </c>
      <c r="D2567" s="21">
        <v>202000</v>
      </c>
      <c r="E2567" s="4">
        <v>6</v>
      </c>
      <c r="F2567" s="4">
        <v>3</v>
      </c>
      <c r="G2567" s="4">
        <v>2</v>
      </c>
      <c r="H2567" s="10">
        <v>1080</v>
      </c>
      <c r="I2567" s="5">
        <f t="shared" si="80"/>
        <v>187.03703703703704</v>
      </c>
      <c r="J2567" s="3" t="str">
        <f t="shared" si="81"/>
        <v>Low</v>
      </c>
    </row>
    <row r="2568" spans="1:10">
      <c r="A2568" s="7" t="s">
        <v>2651</v>
      </c>
      <c r="B2568" s="18" t="s">
        <v>2210</v>
      </c>
      <c r="C2568" s="19" t="s">
        <v>2164</v>
      </c>
      <c r="D2568" s="22">
        <v>202000</v>
      </c>
      <c r="E2568" s="7">
        <v>7</v>
      </c>
      <c r="F2568" s="7">
        <v>3</v>
      </c>
      <c r="G2568" s="7">
        <v>1.1000000000000001</v>
      </c>
      <c r="H2568" s="12">
        <v>1062</v>
      </c>
      <c r="I2568" s="8">
        <f t="shared" si="80"/>
        <v>190.20715630885121</v>
      </c>
      <c r="J2568" s="3" t="str">
        <f t="shared" si="81"/>
        <v>Low</v>
      </c>
    </row>
    <row r="2569" spans="1:10">
      <c r="A2569" s="4" t="s">
        <v>2652</v>
      </c>
      <c r="B2569" s="16" t="s">
        <v>2210</v>
      </c>
      <c r="C2569" s="17" t="s">
        <v>2164</v>
      </c>
      <c r="D2569" s="21">
        <v>203000</v>
      </c>
      <c r="E2569" s="4">
        <v>16</v>
      </c>
      <c r="F2569" s="4">
        <v>2</v>
      </c>
      <c r="G2569" s="4">
        <v>1</v>
      </c>
      <c r="H2569" s="10">
        <v>1147</v>
      </c>
      <c r="I2569" s="5">
        <f t="shared" si="80"/>
        <v>176.98343504795119</v>
      </c>
      <c r="J2569" s="3" t="str">
        <f t="shared" si="81"/>
        <v>Low</v>
      </c>
    </row>
    <row r="2570" spans="1:10">
      <c r="A2570" s="7" t="s">
        <v>2653</v>
      </c>
      <c r="B2570" s="18" t="s">
        <v>2227</v>
      </c>
      <c r="C2570" s="19" t="s">
        <v>2164</v>
      </c>
      <c r="D2570" s="22">
        <v>204000</v>
      </c>
      <c r="E2570" s="7">
        <v>2</v>
      </c>
      <c r="F2570" s="7">
        <v>3</v>
      </c>
      <c r="G2570" s="7">
        <v>1.1000000000000001</v>
      </c>
      <c r="H2570" s="12">
        <v>1050</v>
      </c>
      <c r="I2570" s="8">
        <f t="shared" si="80"/>
        <v>194.28571428571428</v>
      </c>
      <c r="J2570" s="3" t="str">
        <f t="shared" si="81"/>
        <v>Low</v>
      </c>
    </row>
    <row r="2571" spans="1:10">
      <c r="A2571" s="4" t="s">
        <v>2654</v>
      </c>
      <c r="B2571" s="16" t="s">
        <v>2542</v>
      </c>
      <c r="C2571" s="17" t="s">
        <v>2164</v>
      </c>
      <c r="D2571" s="21">
        <v>204900</v>
      </c>
      <c r="E2571" s="4">
        <v>4</v>
      </c>
      <c r="F2571" s="4">
        <v>2</v>
      </c>
      <c r="G2571" s="4">
        <v>1</v>
      </c>
      <c r="H2571" s="4">
        <v>816</v>
      </c>
      <c r="I2571" s="5">
        <f t="shared" si="80"/>
        <v>251.10294117647058</v>
      </c>
      <c r="J2571" s="3" t="str">
        <f t="shared" si="81"/>
        <v>Medium</v>
      </c>
    </row>
    <row r="2572" spans="1:10">
      <c r="A2572" s="7" t="s">
        <v>2655</v>
      </c>
      <c r="B2572" s="18" t="s">
        <v>2523</v>
      </c>
      <c r="C2572" s="19" t="s">
        <v>2164</v>
      </c>
      <c r="D2572" s="22">
        <v>204900</v>
      </c>
      <c r="E2572" s="7">
        <v>168</v>
      </c>
      <c r="F2572" s="7">
        <v>3</v>
      </c>
      <c r="G2572" s="7">
        <v>1.1000000000000001</v>
      </c>
      <c r="H2572" s="12">
        <v>1248</v>
      </c>
      <c r="I2572" s="8">
        <f t="shared" si="80"/>
        <v>164.18269230769232</v>
      </c>
      <c r="J2572" s="3" t="str">
        <f t="shared" si="81"/>
        <v>Low</v>
      </c>
    </row>
    <row r="2573" spans="1:10">
      <c r="A2573" s="4" t="s">
        <v>2656</v>
      </c>
      <c r="B2573" s="16" t="s">
        <v>2171</v>
      </c>
      <c r="C2573" s="17" t="s">
        <v>2164</v>
      </c>
      <c r="D2573" s="21">
        <v>205000</v>
      </c>
      <c r="E2573" s="4">
        <v>20</v>
      </c>
      <c r="F2573" s="4">
        <v>4</v>
      </c>
      <c r="G2573" s="4">
        <v>2</v>
      </c>
      <c r="H2573" s="10">
        <v>1540</v>
      </c>
      <c r="I2573" s="5">
        <f t="shared" si="80"/>
        <v>133.11688311688312</v>
      </c>
      <c r="J2573" s="3" t="str">
        <f t="shared" si="81"/>
        <v>Low</v>
      </c>
    </row>
    <row r="2574" spans="1:10">
      <c r="A2574" s="7" t="s">
        <v>2657</v>
      </c>
      <c r="B2574" s="18" t="s">
        <v>2181</v>
      </c>
      <c r="C2574" s="19" t="s">
        <v>2164</v>
      </c>
      <c r="D2574" s="22">
        <v>205000</v>
      </c>
      <c r="E2574" s="7">
        <v>4</v>
      </c>
      <c r="F2574" s="7">
        <v>2</v>
      </c>
      <c r="G2574" s="7">
        <v>1</v>
      </c>
      <c r="H2574" s="12">
        <v>1074</v>
      </c>
      <c r="I2574" s="8">
        <f t="shared" si="80"/>
        <v>190.87523277467412</v>
      </c>
      <c r="J2574" s="3" t="str">
        <f t="shared" si="81"/>
        <v>Low</v>
      </c>
    </row>
    <row r="2575" spans="1:10">
      <c r="A2575" s="4" t="s">
        <v>2658</v>
      </c>
      <c r="B2575" s="16" t="s">
        <v>2168</v>
      </c>
      <c r="C2575" s="17" t="s">
        <v>2164</v>
      </c>
      <c r="D2575" s="21">
        <v>205000</v>
      </c>
      <c r="E2575" s="4">
        <v>10</v>
      </c>
      <c r="F2575" s="4">
        <v>3</v>
      </c>
      <c r="G2575" s="4">
        <v>1</v>
      </c>
      <c r="H2575" s="4">
        <v>956</v>
      </c>
      <c r="I2575" s="5">
        <f t="shared" si="80"/>
        <v>214.43514644351464</v>
      </c>
      <c r="J2575" s="3" t="str">
        <f t="shared" si="81"/>
        <v>Medium</v>
      </c>
    </row>
    <row r="2576" spans="1:10">
      <c r="A2576" s="7" t="s">
        <v>2659</v>
      </c>
      <c r="B2576" s="18" t="s">
        <v>2166</v>
      </c>
      <c r="C2576" s="19" t="s">
        <v>2164</v>
      </c>
      <c r="D2576" s="22">
        <v>205000</v>
      </c>
      <c r="E2576" s="7">
        <v>6</v>
      </c>
      <c r="F2576" s="7">
        <v>3</v>
      </c>
      <c r="G2576" s="7">
        <v>1</v>
      </c>
      <c r="H2576" s="7">
        <v>960</v>
      </c>
      <c r="I2576" s="8">
        <f t="shared" si="80"/>
        <v>213.54166666666666</v>
      </c>
      <c r="J2576" s="3" t="str">
        <f t="shared" si="81"/>
        <v>Medium</v>
      </c>
    </row>
    <row r="2577" spans="1:10">
      <c r="A2577" s="4" t="s">
        <v>2660</v>
      </c>
      <c r="B2577" s="16" t="s">
        <v>2166</v>
      </c>
      <c r="C2577" s="17" t="s">
        <v>2164</v>
      </c>
      <c r="D2577" s="21">
        <v>205000</v>
      </c>
      <c r="E2577" s="4">
        <v>10</v>
      </c>
      <c r="F2577" s="4">
        <v>3</v>
      </c>
      <c r="G2577" s="4">
        <v>1.1000000000000001</v>
      </c>
      <c r="H2577" s="4">
        <v>989</v>
      </c>
      <c r="I2577" s="5">
        <f t="shared" si="80"/>
        <v>207.28008088978765</v>
      </c>
      <c r="J2577" s="3" t="str">
        <f t="shared" si="81"/>
        <v>Medium</v>
      </c>
    </row>
    <row r="2578" spans="1:10">
      <c r="A2578" s="7" t="s">
        <v>2661</v>
      </c>
      <c r="B2578" s="18" t="s">
        <v>2210</v>
      </c>
      <c r="C2578" s="19" t="s">
        <v>2164</v>
      </c>
      <c r="D2578" s="22">
        <v>205000</v>
      </c>
      <c r="E2578" s="7">
        <v>32</v>
      </c>
      <c r="F2578" s="7">
        <v>3</v>
      </c>
      <c r="G2578" s="7">
        <v>1.1000000000000001</v>
      </c>
      <c r="H2578" s="12">
        <v>1166</v>
      </c>
      <c r="I2578" s="8">
        <f t="shared" si="80"/>
        <v>175.81475128644939</v>
      </c>
      <c r="J2578" s="3" t="str">
        <f t="shared" si="81"/>
        <v>Low</v>
      </c>
    </row>
    <row r="2579" spans="1:10">
      <c r="A2579" s="4" t="s">
        <v>2662</v>
      </c>
      <c r="B2579" s="16" t="s">
        <v>2173</v>
      </c>
      <c r="C2579" s="17" t="s">
        <v>2164</v>
      </c>
      <c r="D2579" s="21">
        <v>205000</v>
      </c>
      <c r="E2579" s="4">
        <v>4</v>
      </c>
      <c r="F2579" s="4">
        <v>3</v>
      </c>
      <c r="G2579" s="4">
        <v>1.1000000000000001</v>
      </c>
      <c r="H2579" s="10">
        <v>1155</v>
      </c>
      <c r="I2579" s="5">
        <f t="shared" si="80"/>
        <v>177.48917748917748</v>
      </c>
      <c r="J2579" s="3" t="str">
        <f t="shared" si="81"/>
        <v>Low</v>
      </c>
    </row>
    <row r="2580" spans="1:10">
      <c r="A2580" s="7" t="s">
        <v>2663</v>
      </c>
      <c r="B2580" s="18" t="s">
        <v>2171</v>
      </c>
      <c r="C2580" s="19" t="s">
        <v>2164</v>
      </c>
      <c r="D2580" s="22">
        <v>205000</v>
      </c>
      <c r="E2580" s="7">
        <v>4</v>
      </c>
      <c r="F2580" s="7">
        <v>3</v>
      </c>
      <c r="G2580" s="7">
        <v>1</v>
      </c>
      <c r="H2580" s="7">
        <v>932</v>
      </c>
      <c r="I2580" s="8">
        <f t="shared" si="80"/>
        <v>219.95708154506437</v>
      </c>
      <c r="J2580" s="3" t="str">
        <f t="shared" si="81"/>
        <v>Medium</v>
      </c>
    </row>
    <row r="2581" spans="1:10">
      <c r="A2581" s="4" t="s">
        <v>2664</v>
      </c>
      <c r="B2581" s="16" t="s">
        <v>2166</v>
      </c>
      <c r="C2581" s="17" t="s">
        <v>2164</v>
      </c>
      <c r="D2581" s="21">
        <v>205000</v>
      </c>
      <c r="E2581" s="4">
        <v>0</v>
      </c>
      <c r="F2581" s="4">
        <v>4</v>
      </c>
      <c r="G2581" s="4">
        <v>1.1000000000000001</v>
      </c>
      <c r="H2581" s="10">
        <v>1600</v>
      </c>
      <c r="I2581" s="5">
        <f t="shared" si="80"/>
        <v>128.125</v>
      </c>
      <c r="J2581" s="3" t="str">
        <f t="shared" si="81"/>
        <v>Low</v>
      </c>
    </row>
    <row r="2582" spans="1:10">
      <c r="A2582" s="7" t="s">
        <v>2665</v>
      </c>
      <c r="B2582" s="18" t="s">
        <v>2166</v>
      </c>
      <c r="C2582" s="19" t="s">
        <v>2164</v>
      </c>
      <c r="D2582" s="22">
        <v>205000</v>
      </c>
      <c r="E2582" s="7">
        <v>45</v>
      </c>
      <c r="F2582" s="7">
        <v>3</v>
      </c>
      <c r="G2582" s="7">
        <v>2</v>
      </c>
      <c r="H2582" s="7">
        <v>983</v>
      </c>
      <c r="I2582" s="8">
        <f t="shared" si="80"/>
        <v>208.54526958290947</v>
      </c>
      <c r="J2582" s="3" t="str">
        <f t="shared" si="81"/>
        <v>Medium</v>
      </c>
    </row>
    <row r="2583" spans="1:10">
      <c r="A2583" s="4" t="s">
        <v>2666</v>
      </c>
      <c r="B2583" s="16" t="s">
        <v>2227</v>
      </c>
      <c r="C2583" s="17" t="s">
        <v>2164</v>
      </c>
      <c r="D2583" s="21">
        <v>205000</v>
      </c>
      <c r="E2583" s="4">
        <v>93</v>
      </c>
      <c r="F2583" s="4">
        <v>3</v>
      </c>
      <c r="G2583" s="4">
        <v>1</v>
      </c>
      <c r="H2583" s="10">
        <v>1042</v>
      </c>
      <c r="I2583" s="5">
        <f t="shared" si="80"/>
        <v>196.73704414587331</v>
      </c>
      <c r="J2583" s="3" t="str">
        <f t="shared" si="81"/>
        <v>Low</v>
      </c>
    </row>
    <row r="2584" spans="1:10">
      <c r="A2584" s="7" t="s">
        <v>2667</v>
      </c>
      <c r="B2584" s="18" t="s">
        <v>2168</v>
      </c>
      <c r="C2584" s="19" t="s">
        <v>2164</v>
      </c>
      <c r="D2584" s="22">
        <v>205000</v>
      </c>
      <c r="E2584" s="7">
        <v>13</v>
      </c>
      <c r="F2584" s="7">
        <v>3</v>
      </c>
      <c r="G2584" s="7">
        <v>1.1000000000000001</v>
      </c>
      <c r="H2584" s="12">
        <v>1000</v>
      </c>
      <c r="I2584" s="8">
        <f t="shared" si="80"/>
        <v>205</v>
      </c>
      <c r="J2584" s="3" t="str">
        <f t="shared" si="81"/>
        <v>Medium</v>
      </c>
    </row>
    <row r="2585" spans="1:10">
      <c r="A2585" s="4" t="s">
        <v>2668</v>
      </c>
      <c r="B2585" s="16" t="s">
        <v>2210</v>
      </c>
      <c r="C2585" s="17" t="s">
        <v>2164</v>
      </c>
      <c r="D2585" s="21">
        <v>205400</v>
      </c>
      <c r="E2585" s="4">
        <v>12</v>
      </c>
      <c r="F2585" s="4">
        <v>3</v>
      </c>
      <c r="G2585" s="4">
        <v>1</v>
      </c>
      <c r="H2585" s="10">
        <v>1268</v>
      </c>
      <c r="I2585" s="5">
        <f t="shared" si="80"/>
        <v>161.98738170347002</v>
      </c>
      <c r="J2585" s="3" t="str">
        <f t="shared" si="81"/>
        <v>Low</v>
      </c>
    </row>
    <row r="2586" spans="1:10">
      <c r="A2586" s="7" t="s">
        <v>2669</v>
      </c>
      <c r="B2586" s="18" t="s">
        <v>2210</v>
      </c>
      <c r="C2586" s="19" t="s">
        <v>2164</v>
      </c>
      <c r="D2586" s="22">
        <v>206000</v>
      </c>
      <c r="E2586" s="7">
        <v>7</v>
      </c>
      <c r="F2586" s="7">
        <v>3</v>
      </c>
      <c r="G2586" s="7">
        <v>1</v>
      </c>
      <c r="H2586" s="12">
        <v>1107</v>
      </c>
      <c r="I2586" s="8">
        <f t="shared" si="80"/>
        <v>186.08852755194218</v>
      </c>
      <c r="J2586" s="3" t="str">
        <f t="shared" si="81"/>
        <v>Low</v>
      </c>
    </row>
    <row r="2587" spans="1:10">
      <c r="A2587" s="4" t="s">
        <v>2670</v>
      </c>
      <c r="B2587" s="16" t="s">
        <v>2210</v>
      </c>
      <c r="C2587" s="17" t="s">
        <v>2164</v>
      </c>
      <c r="D2587" s="21">
        <v>207500</v>
      </c>
      <c r="E2587" s="4">
        <v>4</v>
      </c>
      <c r="F2587" s="4">
        <v>2</v>
      </c>
      <c r="G2587" s="4">
        <v>1.1000000000000001</v>
      </c>
      <c r="H2587" s="10">
        <v>1000</v>
      </c>
      <c r="I2587" s="5">
        <f t="shared" si="80"/>
        <v>207.5</v>
      </c>
      <c r="J2587" s="3" t="str">
        <f t="shared" si="81"/>
        <v>Medium</v>
      </c>
    </row>
    <row r="2588" spans="1:10">
      <c r="A2588" s="7" t="s">
        <v>2671</v>
      </c>
      <c r="B2588" s="18" t="s">
        <v>2210</v>
      </c>
      <c r="C2588" s="19" t="s">
        <v>2164</v>
      </c>
      <c r="D2588" s="22">
        <v>208000</v>
      </c>
      <c r="E2588" s="7">
        <v>9</v>
      </c>
      <c r="F2588" s="7">
        <v>3</v>
      </c>
      <c r="G2588" s="7">
        <v>1</v>
      </c>
      <c r="H2588" s="12">
        <v>1019</v>
      </c>
      <c r="I2588" s="8">
        <f t="shared" si="80"/>
        <v>204.1216879293425</v>
      </c>
      <c r="J2588" s="3" t="str">
        <f t="shared" si="81"/>
        <v>Medium</v>
      </c>
    </row>
    <row r="2589" spans="1:10">
      <c r="A2589" s="4" t="s">
        <v>2672</v>
      </c>
      <c r="B2589" s="16" t="s">
        <v>2596</v>
      </c>
      <c r="C2589" s="17" t="s">
        <v>2164</v>
      </c>
      <c r="D2589" s="21">
        <v>208000</v>
      </c>
      <c r="E2589" s="4">
        <v>6</v>
      </c>
      <c r="F2589" s="4">
        <v>3</v>
      </c>
      <c r="G2589" s="4">
        <v>1</v>
      </c>
      <c r="H2589" s="4">
        <v>900</v>
      </c>
      <c r="I2589" s="5">
        <f t="shared" si="80"/>
        <v>231.11111111111111</v>
      </c>
      <c r="J2589" s="3" t="str">
        <f t="shared" si="81"/>
        <v>Medium</v>
      </c>
    </row>
    <row r="2590" spans="1:10">
      <c r="A2590" s="7" t="s">
        <v>2673</v>
      </c>
      <c r="B2590" s="18" t="s">
        <v>2166</v>
      </c>
      <c r="C2590" s="19" t="s">
        <v>2164</v>
      </c>
      <c r="D2590" s="22">
        <v>209000</v>
      </c>
      <c r="E2590" s="7">
        <v>4</v>
      </c>
      <c r="F2590" s="7">
        <v>3</v>
      </c>
      <c r="G2590" s="7">
        <v>1</v>
      </c>
      <c r="H2590" s="12">
        <v>1008</v>
      </c>
      <c r="I2590" s="8">
        <f t="shared" si="80"/>
        <v>207.34126984126985</v>
      </c>
      <c r="J2590" s="3" t="str">
        <f t="shared" si="81"/>
        <v>Medium</v>
      </c>
    </row>
    <row r="2591" spans="1:10">
      <c r="A2591" s="4" t="s">
        <v>2674</v>
      </c>
      <c r="B2591" s="16" t="s">
        <v>2523</v>
      </c>
      <c r="C2591" s="17" t="s">
        <v>2164</v>
      </c>
      <c r="D2591" s="21">
        <v>209000</v>
      </c>
      <c r="E2591" s="4">
        <v>17</v>
      </c>
      <c r="F2591" s="4">
        <v>3</v>
      </c>
      <c r="G2591" s="4">
        <v>1.1000000000000001</v>
      </c>
      <c r="H2591" s="4">
        <v>972</v>
      </c>
      <c r="I2591" s="5">
        <f t="shared" si="80"/>
        <v>215.02057613168725</v>
      </c>
      <c r="J2591" s="3" t="str">
        <f t="shared" si="81"/>
        <v>Medium</v>
      </c>
    </row>
    <row r="2592" spans="1:10">
      <c r="A2592" s="7" t="s">
        <v>2675</v>
      </c>
      <c r="B2592" s="18" t="s">
        <v>2316</v>
      </c>
      <c r="C2592" s="19" t="s">
        <v>2164</v>
      </c>
      <c r="D2592" s="22">
        <v>209000</v>
      </c>
      <c r="E2592" s="7">
        <v>27</v>
      </c>
      <c r="F2592" s="7">
        <v>4</v>
      </c>
      <c r="G2592" s="7">
        <v>2.1</v>
      </c>
      <c r="H2592" s="12">
        <v>3347</v>
      </c>
      <c r="I2592" s="8">
        <f t="shared" si="80"/>
        <v>62.44397968329848</v>
      </c>
      <c r="J2592" s="3" t="str">
        <f t="shared" si="81"/>
        <v>Low</v>
      </c>
    </row>
    <row r="2593" spans="1:10">
      <c r="A2593" s="4" t="s">
        <v>2676</v>
      </c>
      <c r="B2593" s="16" t="s">
        <v>2168</v>
      </c>
      <c r="C2593" s="17" t="s">
        <v>2164</v>
      </c>
      <c r="D2593" s="21">
        <v>209000</v>
      </c>
      <c r="E2593" s="4">
        <v>9</v>
      </c>
      <c r="F2593" s="4">
        <v>3</v>
      </c>
      <c r="G2593" s="4">
        <v>1.1000000000000001</v>
      </c>
      <c r="H2593" s="10">
        <v>1092</v>
      </c>
      <c r="I2593" s="5">
        <f t="shared" si="80"/>
        <v>191.3919413919414</v>
      </c>
      <c r="J2593" s="3" t="str">
        <f t="shared" si="81"/>
        <v>Low</v>
      </c>
    </row>
    <row r="2594" spans="1:10">
      <c r="A2594" s="7" t="s">
        <v>2677</v>
      </c>
      <c r="B2594" s="18" t="s">
        <v>2166</v>
      </c>
      <c r="C2594" s="19" t="s">
        <v>2164</v>
      </c>
      <c r="D2594" s="22">
        <v>209000</v>
      </c>
      <c r="E2594" s="7">
        <v>90</v>
      </c>
      <c r="F2594" s="7">
        <v>3</v>
      </c>
      <c r="G2594" s="7">
        <v>1</v>
      </c>
      <c r="H2594" s="12">
        <v>1026</v>
      </c>
      <c r="I2594" s="8">
        <f t="shared" si="80"/>
        <v>203.7037037037037</v>
      </c>
      <c r="J2594" s="3" t="str">
        <f t="shared" si="81"/>
        <v>Medium</v>
      </c>
    </row>
    <row r="2595" spans="1:10">
      <c r="A2595" s="4" t="s">
        <v>2678</v>
      </c>
      <c r="B2595" s="16" t="s">
        <v>2181</v>
      </c>
      <c r="C2595" s="17" t="s">
        <v>2164</v>
      </c>
      <c r="D2595" s="21">
        <v>209000</v>
      </c>
      <c r="E2595" s="4">
        <v>126</v>
      </c>
      <c r="F2595" s="4">
        <v>3</v>
      </c>
      <c r="G2595" s="4">
        <v>1.1000000000000001</v>
      </c>
      <c r="H2595" s="10">
        <v>1448</v>
      </c>
      <c r="I2595" s="5">
        <f t="shared" si="80"/>
        <v>144.33701657458565</v>
      </c>
      <c r="J2595" s="3" t="str">
        <f t="shared" si="81"/>
        <v>Low</v>
      </c>
    </row>
    <row r="2596" spans="1:10">
      <c r="A2596" s="7" t="s">
        <v>2679</v>
      </c>
      <c r="B2596" s="18" t="s">
        <v>2181</v>
      </c>
      <c r="C2596" s="19" t="s">
        <v>2164</v>
      </c>
      <c r="D2596" s="22">
        <v>210000</v>
      </c>
      <c r="E2596" s="7">
        <v>60</v>
      </c>
      <c r="F2596" s="7">
        <v>3</v>
      </c>
      <c r="G2596" s="7">
        <v>1</v>
      </c>
      <c r="H2596" s="12">
        <v>1066</v>
      </c>
      <c r="I2596" s="8">
        <f t="shared" si="80"/>
        <v>196.99812382739211</v>
      </c>
      <c r="J2596" s="3" t="str">
        <f t="shared" si="81"/>
        <v>Low</v>
      </c>
    </row>
    <row r="2597" spans="1:10">
      <c r="A2597" s="4" t="s">
        <v>2680</v>
      </c>
      <c r="B2597" s="16" t="s">
        <v>2166</v>
      </c>
      <c r="C2597" s="17" t="s">
        <v>2164</v>
      </c>
      <c r="D2597" s="21">
        <v>210000</v>
      </c>
      <c r="E2597" s="4">
        <v>6</v>
      </c>
      <c r="F2597" s="4">
        <v>3</v>
      </c>
      <c r="G2597" s="4">
        <v>1.1000000000000001</v>
      </c>
      <c r="H2597" s="10">
        <v>1446</v>
      </c>
      <c r="I2597" s="5">
        <f t="shared" si="80"/>
        <v>145.22821576763485</v>
      </c>
      <c r="J2597" s="3" t="str">
        <f t="shared" si="81"/>
        <v>Low</v>
      </c>
    </row>
    <row r="2598" spans="1:10">
      <c r="A2598" s="7" t="s">
        <v>2681</v>
      </c>
      <c r="B2598" s="18" t="s">
        <v>2210</v>
      </c>
      <c r="C2598" s="19" t="s">
        <v>2164</v>
      </c>
      <c r="D2598" s="22">
        <v>210000</v>
      </c>
      <c r="E2598" s="7">
        <v>7</v>
      </c>
      <c r="F2598" s="7">
        <v>3</v>
      </c>
      <c r="G2598" s="7">
        <v>2</v>
      </c>
      <c r="H2598" s="12">
        <v>1161</v>
      </c>
      <c r="I2598" s="8">
        <f t="shared" si="80"/>
        <v>180.87855297157623</v>
      </c>
      <c r="J2598" s="3" t="str">
        <f t="shared" si="81"/>
        <v>Low</v>
      </c>
    </row>
    <row r="2599" spans="1:10">
      <c r="A2599" s="4" t="s">
        <v>2682</v>
      </c>
      <c r="B2599" s="16" t="s">
        <v>2168</v>
      </c>
      <c r="C2599" s="17" t="s">
        <v>2164</v>
      </c>
      <c r="D2599" s="21">
        <v>210000</v>
      </c>
      <c r="E2599" s="4">
        <v>2</v>
      </c>
      <c r="F2599" s="4">
        <v>3</v>
      </c>
      <c r="G2599" s="4">
        <v>1.1000000000000001</v>
      </c>
      <c r="H2599" s="10">
        <v>1300</v>
      </c>
      <c r="I2599" s="5">
        <f t="shared" si="80"/>
        <v>161.53846153846155</v>
      </c>
      <c r="J2599" s="3" t="str">
        <f t="shared" si="81"/>
        <v>Low</v>
      </c>
    </row>
    <row r="2600" spans="1:10">
      <c r="A2600" s="7" t="s">
        <v>2683</v>
      </c>
      <c r="B2600" s="18" t="s">
        <v>2273</v>
      </c>
      <c r="C2600" s="19" t="s">
        <v>2164</v>
      </c>
      <c r="D2600" s="22">
        <v>210000</v>
      </c>
      <c r="E2600" s="7">
        <v>5</v>
      </c>
      <c r="F2600" s="7">
        <v>3</v>
      </c>
      <c r="G2600" s="7">
        <v>1</v>
      </c>
      <c r="H2600" s="12">
        <v>1100</v>
      </c>
      <c r="I2600" s="8">
        <f t="shared" si="80"/>
        <v>190.90909090909091</v>
      </c>
      <c r="J2600" s="3" t="str">
        <f t="shared" si="81"/>
        <v>Low</v>
      </c>
    </row>
    <row r="2601" spans="1:10">
      <c r="A2601" s="4" t="s">
        <v>2684</v>
      </c>
      <c r="B2601" s="16" t="s">
        <v>2685</v>
      </c>
      <c r="C2601" s="17" t="s">
        <v>2164</v>
      </c>
      <c r="D2601" s="21">
        <v>210000</v>
      </c>
      <c r="E2601" s="4">
        <v>15</v>
      </c>
      <c r="F2601" s="4">
        <v>3</v>
      </c>
      <c r="G2601" s="4">
        <v>2</v>
      </c>
      <c r="H2601" s="10">
        <v>1620</v>
      </c>
      <c r="I2601" s="5">
        <f t="shared" si="80"/>
        <v>129.62962962962962</v>
      </c>
      <c r="J2601" s="3" t="str">
        <f t="shared" si="81"/>
        <v>Low</v>
      </c>
    </row>
    <row r="2602" spans="1:10">
      <c r="A2602" s="7" t="s">
        <v>2686</v>
      </c>
      <c r="B2602" s="18" t="s">
        <v>2210</v>
      </c>
      <c r="C2602" s="19" t="s">
        <v>2164</v>
      </c>
      <c r="D2602" s="22">
        <v>210000</v>
      </c>
      <c r="E2602" s="7">
        <v>77</v>
      </c>
      <c r="F2602" s="7">
        <v>3</v>
      </c>
      <c r="G2602" s="7">
        <v>2</v>
      </c>
      <c r="H2602" s="12">
        <v>1832</v>
      </c>
      <c r="I2602" s="8">
        <f t="shared" si="80"/>
        <v>114.62882096069869</v>
      </c>
      <c r="J2602" s="3" t="str">
        <f t="shared" si="81"/>
        <v>Low</v>
      </c>
    </row>
    <row r="2603" spans="1:10">
      <c r="A2603" s="4" t="s">
        <v>2687</v>
      </c>
      <c r="B2603" s="16" t="s">
        <v>2542</v>
      </c>
      <c r="C2603" s="17" t="s">
        <v>2164</v>
      </c>
      <c r="D2603" s="21">
        <v>210000</v>
      </c>
      <c r="E2603" s="4">
        <v>7</v>
      </c>
      <c r="F2603" s="4">
        <v>4</v>
      </c>
      <c r="G2603" s="4">
        <v>2</v>
      </c>
      <c r="H2603" s="10">
        <v>1461</v>
      </c>
      <c r="I2603" s="5">
        <f t="shared" si="80"/>
        <v>143.73716632443532</v>
      </c>
      <c r="J2603" s="3" t="str">
        <f t="shared" si="81"/>
        <v>Low</v>
      </c>
    </row>
    <row r="2604" spans="1:10">
      <c r="A2604" s="7" t="s">
        <v>2688</v>
      </c>
      <c r="B2604" s="18" t="s">
        <v>2181</v>
      </c>
      <c r="C2604" s="19" t="s">
        <v>2164</v>
      </c>
      <c r="D2604" s="22">
        <v>210000</v>
      </c>
      <c r="E2604" s="7">
        <v>26</v>
      </c>
      <c r="F2604" s="7">
        <v>3</v>
      </c>
      <c r="G2604" s="7">
        <v>2</v>
      </c>
      <c r="H2604" s="12">
        <v>1230</v>
      </c>
      <c r="I2604" s="8">
        <f t="shared" si="80"/>
        <v>170.73170731707316</v>
      </c>
      <c r="J2604" s="3" t="str">
        <f t="shared" si="81"/>
        <v>Low</v>
      </c>
    </row>
    <row r="2605" spans="1:10">
      <c r="A2605" s="4" t="s">
        <v>2689</v>
      </c>
      <c r="B2605" s="16" t="s">
        <v>2166</v>
      </c>
      <c r="C2605" s="17" t="s">
        <v>2164</v>
      </c>
      <c r="D2605" s="21">
        <v>210000</v>
      </c>
      <c r="E2605" s="4">
        <v>26</v>
      </c>
      <c r="F2605" s="4">
        <v>4</v>
      </c>
      <c r="G2605" s="4">
        <v>2</v>
      </c>
      <c r="H2605" s="10">
        <v>1408</v>
      </c>
      <c r="I2605" s="5">
        <f t="shared" si="80"/>
        <v>149.14772727272728</v>
      </c>
      <c r="J2605" s="3" t="str">
        <f t="shared" si="81"/>
        <v>Low</v>
      </c>
    </row>
    <row r="2606" spans="1:10">
      <c r="A2606" s="7" t="s">
        <v>2690</v>
      </c>
      <c r="B2606" s="18" t="s">
        <v>2227</v>
      </c>
      <c r="C2606" s="19" t="s">
        <v>2164</v>
      </c>
      <c r="D2606" s="22">
        <v>210000</v>
      </c>
      <c r="E2606" s="7">
        <v>13</v>
      </c>
      <c r="F2606" s="7">
        <v>3</v>
      </c>
      <c r="G2606" s="7">
        <v>1.1000000000000001</v>
      </c>
      <c r="H2606" s="12">
        <v>1189</v>
      </c>
      <c r="I2606" s="8">
        <f t="shared" si="80"/>
        <v>176.61900756938604</v>
      </c>
      <c r="J2606" s="3" t="str">
        <f t="shared" si="81"/>
        <v>Low</v>
      </c>
    </row>
    <row r="2607" spans="1:10">
      <c r="A2607" s="4" t="s">
        <v>2691</v>
      </c>
      <c r="B2607" s="16" t="s">
        <v>2210</v>
      </c>
      <c r="C2607" s="17" t="s">
        <v>2164</v>
      </c>
      <c r="D2607" s="21">
        <v>210000</v>
      </c>
      <c r="E2607" s="4">
        <v>32</v>
      </c>
      <c r="F2607" s="4">
        <v>3</v>
      </c>
      <c r="G2607" s="4">
        <v>2</v>
      </c>
      <c r="H2607" s="10">
        <v>1929</v>
      </c>
      <c r="I2607" s="5">
        <f t="shared" si="80"/>
        <v>108.86469673405909</v>
      </c>
      <c r="J2607" s="3" t="str">
        <f t="shared" si="81"/>
        <v>Low</v>
      </c>
    </row>
    <row r="2608" spans="1:10">
      <c r="A2608" s="7" t="s">
        <v>2692</v>
      </c>
      <c r="B2608" s="18" t="s">
        <v>2210</v>
      </c>
      <c r="C2608" s="19" t="s">
        <v>2164</v>
      </c>
      <c r="D2608" s="22">
        <v>210000</v>
      </c>
      <c r="E2608" s="7">
        <v>2</v>
      </c>
      <c r="F2608" s="7">
        <v>3</v>
      </c>
      <c r="G2608" s="7">
        <v>1</v>
      </c>
      <c r="H2608" s="12">
        <v>1302</v>
      </c>
      <c r="I2608" s="8">
        <f t="shared" si="80"/>
        <v>161.29032258064515</v>
      </c>
      <c r="J2608" s="3" t="str">
        <f t="shared" si="81"/>
        <v>Low</v>
      </c>
    </row>
    <row r="2609" spans="1:10">
      <c r="A2609" s="4" t="s">
        <v>2693</v>
      </c>
      <c r="B2609" s="16" t="s">
        <v>2210</v>
      </c>
      <c r="C2609" s="17" t="s">
        <v>2164</v>
      </c>
      <c r="D2609" s="21">
        <v>210000</v>
      </c>
      <c r="E2609" s="4">
        <v>6</v>
      </c>
      <c r="F2609" s="4">
        <v>5</v>
      </c>
      <c r="G2609" s="4">
        <v>2</v>
      </c>
      <c r="H2609" s="10">
        <v>1555</v>
      </c>
      <c r="I2609" s="5">
        <f t="shared" si="80"/>
        <v>135.04823151125402</v>
      </c>
      <c r="J2609" s="3" t="str">
        <f t="shared" si="81"/>
        <v>Low</v>
      </c>
    </row>
    <row r="2610" spans="1:10">
      <c r="A2610" s="7" t="s">
        <v>2694</v>
      </c>
      <c r="B2610" s="18" t="s">
        <v>2181</v>
      </c>
      <c r="C2610" s="19" t="s">
        <v>2164</v>
      </c>
      <c r="D2610" s="22">
        <v>210000</v>
      </c>
      <c r="E2610" s="7">
        <v>35</v>
      </c>
      <c r="F2610" s="7">
        <v>3</v>
      </c>
      <c r="G2610" s="7">
        <v>1</v>
      </c>
      <c r="H2610" s="12">
        <v>1026</v>
      </c>
      <c r="I2610" s="8">
        <f t="shared" si="80"/>
        <v>204.67836257309941</v>
      </c>
      <c r="J2610" s="3" t="str">
        <f t="shared" si="81"/>
        <v>Medium</v>
      </c>
    </row>
    <row r="2611" spans="1:10">
      <c r="A2611" s="4" t="s">
        <v>2695</v>
      </c>
      <c r="B2611" s="16" t="s">
        <v>2210</v>
      </c>
      <c r="C2611" s="17" t="s">
        <v>2164</v>
      </c>
      <c r="D2611" s="21">
        <v>210000</v>
      </c>
      <c r="E2611" s="4">
        <v>79</v>
      </c>
      <c r="F2611" s="4">
        <v>3</v>
      </c>
      <c r="G2611" s="4">
        <v>1</v>
      </c>
      <c r="H2611" s="10">
        <v>1200</v>
      </c>
      <c r="I2611" s="5">
        <f t="shared" si="80"/>
        <v>175</v>
      </c>
      <c r="J2611" s="3" t="str">
        <f t="shared" si="81"/>
        <v>Low</v>
      </c>
    </row>
    <row r="2612" spans="1:10">
      <c r="A2612" s="7" t="s">
        <v>2696</v>
      </c>
      <c r="B2612" s="18" t="s">
        <v>2210</v>
      </c>
      <c r="C2612" s="19" t="s">
        <v>2164</v>
      </c>
      <c r="D2612" s="22">
        <v>210000</v>
      </c>
      <c r="E2612" s="7">
        <v>34</v>
      </c>
      <c r="F2612" s="7">
        <v>3</v>
      </c>
      <c r="G2612" s="7">
        <v>1.1000000000000001</v>
      </c>
      <c r="H2612" s="12">
        <v>1121</v>
      </c>
      <c r="I2612" s="8">
        <f t="shared" si="80"/>
        <v>187.33273862622659</v>
      </c>
      <c r="J2612" s="3" t="str">
        <f t="shared" si="81"/>
        <v>Low</v>
      </c>
    </row>
    <row r="2613" spans="1:10">
      <c r="A2613" s="4" t="s">
        <v>2697</v>
      </c>
      <c r="B2613" s="16" t="s">
        <v>2168</v>
      </c>
      <c r="C2613" s="17" t="s">
        <v>2164</v>
      </c>
      <c r="D2613" s="21">
        <v>210000</v>
      </c>
      <c r="E2613" s="4">
        <v>22</v>
      </c>
      <c r="F2613" s="4">
        <v>3</v>
      </c>
      <c r="G2613" s="4">
        <v>2.1</v>
      </c>
      <c r="H2613" s="10">
        <v>1177</v>
      </c>
      <c r="I2613" s="5">
        <f t="shared" si="80"/>
        <v>178.4197111299915</v>
      </c>
      <c r="J2613" s="3" t="str">
        <f t="shared" si="81"/>
        <v>Low</v>
      </c>
    </row>
    <row r="2614" spans="1:10">
      <c r="A2614" s="7" t="s">
        <v>2698</v>
      </c>
      <c r="B2614" s="18" t="s">
        <v>2227</v>
      </c>
      <c r="C2614" s="19" t="s">
        <v>2164</v>
      </c>
      <c r="D2614" s="22">
        <v>210000</v>
      </c>
      <c r="E2614" s="7">
        <v>112</v>
      </c>
      <c r="F2614" s="7">
        <v>3</v>
      </c>
      <c r="G2614" s="7">
        <v>1</v>
      </c>
      <c r="H2614" s="12">
        <v>1290</v>
      </c>
      <c r="I2614" s="8">
        <f t="shared" si="80"/>
        <v>162.7906976744186</v>
      </c>
      <c r="J2614" s="3" t="str">
        <f t="shared" si="81"/>
        <v>Low</v>
      </c>
    </row>
    <row r="2615" spans="1:10">
      <c r="A2615" s="4" t="s">
        <v>2699</v>
      </c>
      <c r="B2615" s="16" t="s">
        <v>2210</v>
      </c>
      <c r="C2615" s="17" t="s">
        <v>2164</v>
      </c>
      <c r="D2615" s="21">
        <v>210000</v>
      </c>
      <c r="E2615" s="4">
        <v>82</v>
      </c>
      <c r="F2615" s="4">
        <v>3</v>
      </c>
      <c r="G2615" s="4">
        <v>1</v>
      </c>
      <c r="H2615" s="10">
        <v>1033</v>
      </c>
      <c r="I2615" s="5">
        <f t="shared" si="80"/>
        <v>203.29138431752179</v>
      </c>
      <c r="J2615" s="3" t="str">
        <f t="shared" si="81"/>
        <v>Medium</v>
      </c>
    </row>
    <row r="2616" spans="1:10">
      <c r="A2616" s="7" t="s">
        <v>2700</v>
      </c>
      <c r="B2616" s="18" t="s">
        <v>2210</v>
      </c>
      <c r="C2616" s="19" t="s">
        <v>2164</v>
      </c>
      <c r="D2616" s="22">
        <v>210000</v>
      </c>
      <c r="E2616" s="7">
        <v>18</v>
      </c>
      <c r="F2616" s="7">
        <v>3</v>
      </c>
      <c r="G2616" s="7">
        <v>1</v>
      </c>
      <c r="H2616" s="7">
        <v>930</v>
      </c>
      <c r="I2616" s="8">
        <f t="shared" si="80"/>
        <v>225.80645161290323</v>
      </c>
      <c r="J2616" s="3" t="str">
        <f t="shared" si="81"/>
        <v>Medium</v>
      </c>
    </row>
    <row r="2617" spans="1:10">
      <c r="A2617" s="4" t="s">
        <v>2701</v>
      </c>
      <c r="B2617" s="16" t="s">
        <v>2252</v>
      </c>
      <c r="C2617" s="17" t="s">
        <v>2164</v>
      </c>
      <c r="D2617" s="21">
        <v>210000</v>
      </c>
      <c r="E2617" s="4">
        <v>41</v>
      </c>
      <c r="F2617" s="4">
        <v>3</v>
      </c>
      <c r="G2617" s="4">
        <v>1.1000000000000001</v>
      </c>
      <c r="H2617" s="10">
        <v>1700</v>
      </c>
      <c r="I2617" s="5">
        <f t="shared" si="80"/>
        <v>123.52941176470588</v>
      </c>
      <c r="J2617" s="3" t="str">
        <f t="shared" si="81"/>
        <v>Low</v>
      </c>
    </row>
    <row r="2618" spans="1:10">
      <c r="A2618" s="7" t="s">
        <v>2702</v>
      </c>
      <c r="B2618" s="18" t="s">
        <v>2173</v>
      </c>
      <c r="C2618" s="19" t="s">
        <v>2164</v>
      </c>
      <c r="D2618" s="22">
        <v>210500</v>
      </c>
      <c r="E2618" s="7">
        <v>3</v>
      </c>
      <c r="F2618" s="7">
        <v>5</v>
      </c>
      <c r="G2618" s="7">
        <v>2</v>
      </c>
      <c r="H2618" s="12">
        <v>2226</v>
      </c>
      <c r="I2618" s="8">
        <f t="shared" si="80"/>
        <v>94.564240790655887</v>
      </c>
      <c r="J2618" s="3" t="str">
        <f t="shared" si="81"/>
        <v>Low</v>
      </c>
    </row>
    <row r="2619" spans="1:10">
      <c r="A2619" s="4" t="s">
        <v>2703</v>
      </c>
      <c r="B2619" s="16" t="s">
        <v>2168</v>
      </c>
      <c r="C2619" s="17" t="s">
        <v>2164</v>
      </c>
      <c r="D2619" s="21">
        <v>211000</v>
      </c>
      <c r="E2619" s="4">
        <v>5</v>
      </c>
      <c r="F2619" s="4">
        <v>3</v>
      </c>
      <c r="G2619" s="4">
        <v>1.1000000000000001</v>
      </c>
      <c r="H2619" s="10">
        <v>1326</v>
      </c>
      <c r="I2619" s="5">
        <f t="shared" si="80"/>
        <v>159.12518853695323</v>
      </c>
      <c r="J2619" s="3" t="str">
        <f t="shared" si="81"/>
        <v>Low</v>
      </c>
    </row>
    <row r="2620" spans="1:10">
      <c r="A2620" s="7" t="s">
        <v>2704</v>
      </c>
      <c r="B2620" s="18" t="s">
        <v>2168</v>
      </c>
      <c r="C2620" s="19" t="s">
        <v>2164</v>
      </c>
      <c r="D2620" s="22">
        <v>211000</v>
      </c>
      <c r="E2620" s="7">
        <v>17</v>
      </c>
      <c r="F2620" s="7">
        <v>3</v>
      </c>
      <c r="G2620" s="7">
        <v>1.1000000000000001</v>
      </c>
      <c r="H2620" s="12">
        <v>1095</v>
      </c>
      <c r="I2620" s="8">
        <f t="shared" si="80"/>
        <v>192.69406392694063</v>
      </c>
      <c r="J2620" s="3" t="str">
        <f t="shared" si="81"/>
        <v>Low</v>
      </c>
    </row>
    <row r="2621" spans="1:10">
      <c r="A2621" s="4" t="s">
        <v>2705</v>
      </c>
      <c r="B2621" s="16" t="s">
        <v>2173</v>
      </c>
      <c r="C2621" s="17" t="s">
        <v>2164</v>
      </c>
      <c r="D2621" s="21">
        <v>211000</v>
      </c>
      <c r="E2621" s="4">
        <v>131</v>
      </c>
      <c r="F2621" s="4">
        <v>3</v>
      </c>
      <c r="G2621" s="4">
        <v>1</v>
      </c>
      <c r="H2621" s="10">
        <v>1328</v>
      </c>
      <c r="I2621" s="5">
        <f t="shared" si="80"/>
        <v>158.8855421686747</v>
      </c>
      <c r="J2621" s="3" t="str">
        <f t="shared" si="81"/>
        <v>Low</v>
      </c>
    </row>
    <row r="2622" spans="1:10">
      <c r="A2622" s="7" t="s">
        <v>2706</v>
      </c>
      <c r="B2622" s="18" t="s">
        <v>2168</v>
      </c>
      <c r="C2622" s="19" t="s">
        <v>2164</v>
      </c>
      <c r="D2622" s="22">
        <v>211500</v>
      </c>
      <c r="E2622" s="7">
        <v>73</v>
      </c>
      <c r="F2622" s="7">
        <v>3</v>
      </c>
      <c r="G2622" s="7">
        <v>1.1000000000000001</v>
      </c>
      <c r="H2622" s="12">
        <v>1102</v>
      </c>
      <c r="I2622" s="8">
        <f t="shared" si="80"/>
        <v>191.92377495462796</v>
      </c>
      <c r="J2622" s="3" t="str">
        <f t="shared" si="81"/>
        <v>Low</v>
      </c>
    </row>
    <row r="2623" spans="1:10">
      <c r="A2623" s="4" t="s">
        <v>2707</v>
      </c>
      <c r="B2623" s="16" t="s">
        <v>2166</v>
      </c>
      <c r="C2623" s="17" t="s">
        <v>2164</v>
      </c>
      <c r="D2623" s="21">
        <v>212000</v>
      </c>
      <c r="E2623" s="4">
        <v>5</v>
      </c>
      <c r="F2623" s="4">
        <v>3</v>
      </c>
      <c r="G2623" s="4">
        <v>2</v>
      </c>
      <c r="H2623" s="10">
        <v>1000</v>
      </c>
      <c r="I2623" s="5">
        <f t="shared" si="80"/>
        <v>212</v>
      </c>
      <c r="J2623" s="3" t="str">
        <f t="shared" si="81"/>
        <v>Medium</v>
      </c>
    </row>
    <row r="2624" spans="1:10">
      <c r="A2624" s="7" t="s">
        <v>2708</v>
      </c>
      <c r="B2624" s="18" t="s">
        <v>2181</v>
      </c>
      <c r="C2624" s="19" t="s">
        <v>2164</v>
      </c>
      <c r="D2624" s="22">
        <v>212000</v>
      </c>
      <c r="E2624" s="7">
        <v>4</v>
      </c>
      <c r="F2624" s="7">
        <v>3</v>
      </c>
      <c r="G2624" s="7">
        <v>1</v>
      </c>
      <c r="H2624" s="12">
        <v>1338</v>
      </c>
      <c r="I2624" s="8">
        <f t="shared" si="80"/>
        <v>158.44544095665171</v>
      </c>
      <c r="J2624" s="3" t="str">
        <f t="shared" si="81"/>
        <v>Low</v>
      </c>
    </row>
    <row r="2625" spans="1:10">
      <c r="A2625" s="4" t="s">
        <v>2709</v>
      </c>
      <c r="B2625" s="16" t="s">
        <v>2407</v>
      </c>
      <c r="C2625" s="17" t="s">
        <v>2164</v>
      </c>
      <c r="D2625" s="21">
        <v>213000</v>
      </c>
      <c r="E2625" s="4">
        <v>13</v>
      </c>
      <c r="F2625" s="4">
        <v>3</v>
      </c>
      <c r="G2625" s="4">
        <v>2</v>
      </c>
      <c r="H2625" s="10">
        <v>1503</v>
      </c>
      <c r="I2625" s="5">
        <f t="shared" si="80"/>
        <v>141.71656686626747</v>
      </c>
      <c r="J2625" s="3" t="str">
        <f t="shared" si="81"/>
        <v>Low</v>
      </c>
    </row>
    <row r="2626" spans="1:10">
      <c r="A2626" s="7" t="s">
        <v>2710</v>
      </c>
      <c r="B2626" s="18" t="s">
        <v>2168</v>
      </c>
      <c r="C2626" s="19" t="s">
        <v>2164</v>
      </c>
      <c r="D2626" s="22">
        <v>213000</v>
      </c>
      <c r="E2626" s="7">
        <v>12</v>
      </c>
      <c r="F2626" s="7">
        <v>3</v>
      </c>
      <c r="G2626" s="7">
        <v>3</v>
      </c>
      <c r="H2626" s="12">
        <v>1462</v>
      </c>
      <c r="I2626" s="8">
        <f t="shared" ref="I2626:I2689" si="82">D2626/H2626</f>
        <v>145.6908344733242</v>
      </c>
      <c r="J2626" s="3" t="str">
        <f t="shared" ref="J2626:J2689" si="83">IF(I2626 &gt; 300, "High", IF(AND(I2626 &lt;= 300, I2626 &gt; 200), "Medium", "Low"))</f>
        <v>Low</v>
      </c>
    </row>
    <row r="2627" spans="1:10">
      <c r="A2627" s="4" t="s">
        <v>2711</v>
      </c>
      <c r="B2627" s="16" t="s">
        <v>2193</v>
      </c>
      <c r="C2627" s="17" t="s">
        <v>2164</v>
      </c>
      <c r="D2627" s="21">
        <v>213400</v>
      </c>
      <c r="E2627" s="4">
        <v>16</v>
      </c>
      <c r="F2627" s="4">
        <v>3</v>
      </c>
      <c r="G2627" s="4">
        <v>1</v>
      </c>
      <c r="H2627" s="10">
        <v>1405</v>
      </c>
      <c r="I2627" s="5">
        <f t="shared" si="82"/>
        <v>151.88612099644129</v>
      </c>
      <c r="J2627" s="3" t="str">
        <f t="shared" si="83"/>
        <v>Low</v>
      </c>
    </row>
    <row r="2628" spans="1:10">
      <c r="A2628" s="7" t="s">
        <v>2712</v>
      </c>
      <c r="B2628" s="18" t="s">
        <v>2210</v>
      </c>
      <c r="C2628" s="19" t="s">
        <v>2164</v>
      </c>
      <c r="D2628" s="22">
        <v>214000</v>
      </c>
      <c r="E2628" s="7">
        <v>13</v>
      </c>
      <c r="F2628" s="7">
        <v>3</v>
      </c>
      <c r="G2628" s="7">
        <v>1</v>
      </c>
      <c r="H2628" s="12">
        <v>1186</v>
      </c>
      <c r="I2628" s="8">
        <f t="shared" si="82"/>
        <v>180.43844856661045</v>
      </c>
      <c r="J2628" s="3" t="str">
        <f t="shared" si="83"/>
        <v>Low</v>
      </c>
    </row>
    <row r="2629" spans="1:10">
      <c r="A2629" s="4" t="s">
        <v>2713</v>
      </c>
      <c r="B2629" s="16" t="s">
        <v>2166</v>
      </c>
      <c r="C2629" s="17" t="s">
        <v>2164</v>
      </c>
      <c r="D2629" s="21">
        <v>215000</v>
      </c>
      <c r="E2629" s="4">
        <v>7</v>
      </c>
      <c r="F2629" s="4">
        <v>3</v>
      </c>
      <c r="G2629" s="4">
        <v>1.1000000000000001</v>
      </c>
      <c r="H2629" s="10">
        <v>1049</v>
      </c>
      <c r="I2629" s="5">
        <f t="shared" si="82"/>
        <v>204.95710200190658</v>
      </c>
      <c r="J2629" s="3" t="str">
        <f t="shared" si="83"/>
        <v>Medium</v>
      </c>
    </row>
    <row r="2630" spans="1:10">
      <c r="A2630" s="7" t="s">
        <v>2714</v>
      </c>
      <c r="B2630" s="18" t="s">
        <v>2252</v>
      </c>
      <c r="C2630" s="19" t="s">
        <v>2164</v>
      </c>
      <c r="D2630" s="22">
        <v>215000</v>
      </c>
      <c r="E2630" s="7">
        <v>9</v>
      </c>
      <c r="F2630" s="7">
        <v>3</v>
      </c>
      <c r="G2630" s="7">
        <v>1.1000000000000001</v>
      </c>
      <c r="H2630" s="12">
        <v>1448</v>
      </c>
      <c r="I2630" s="8">
        <f t="shared" si="82"/>
        <v>148.48066298342542</v>
      </c>
      <c r="J2630" s="3" t="str">
        <f t="shared" si="83"/>
        <v>Low</v>
      </c>
    </row>
    <row r="2631" spans="1:10">
      <c r="A2631" s="4" t="s">
        <v>2715</v>
      </c>
      <c r="B2631" s="16" t="s">
        <v>2173</v>
      </c>
      <c r="C2631" s="17" t="s">
        <v>2164</v>
      </c>
      <c r="D2631" s="21">
        <v>215000</v>
      </c>
      <c r="E2631" s="4">
        <v>6</v>
      </c>
      <c r="F2631" s="4">
        <v>3</v>
      </c>
      <c r="G2631" s="4">
        <v>1.1000000000000001</v>
      </c>
      <c r="H2631" s="10">
        <v>1752</v>
      </c>
      <c r="I2631" s="5">
        <f t="shared" si="82"/>
        <v>122.71689497716895</v>
      </c>
      <c r="J2631" s="3" t="str">
        <f t="shared" si="83"/>
        <v>Low</v>
      </c>
    </row>
    <row r="2632" spans="1:10">
      <c r="A2632" s="7" t="s">
        <v>2716</v>
      </c>
      <c r="B2632" s="18" t="s">
        <v>2166</v>
      </c>
      <c r="C2632" s="19" t="s">
        <v>2164</v>
      </c>
      <c r="D2632" s="22">
        <v>215000</v>
      </c>
      <c r="E2632" s="7">
        <v>6</v>
      </c>
      <c r="F2632" s="7">
        <v>3</v>
      </c>
      <c r="G2632" s="7">
        <v>1.1000000000000001</v>
      </c>
      <c r="H2632" s="12">
        <v>1144</v>
      </c>
      <c r="I2632" s="8">
        <f t="shared" si="82"/>
        <v>187.93706293706293</v>
      </c>
      <c r="J2632" s="3" t="str">
        <f t="shared" si="83"/>
        <v>Low</v>
      </c>
    </row>
    <row r="2633" spans="1:10">
      <c r="A2633" s="4" t="s">
        <v>2717</v>
      </c>
      <c r="B2633" s="16" t="s">
        <v>2210</v>
      </c>
      <c r="C2633" s="17" t="s">
        <v>2164</v>
      </c>
      <c r="D2633" s="21">
        <v>215000</v>
      </c>
      <c r="E2633" s="4">
        <v>15</v>
      </c>
      <c r="F2633" s="4">
        <v>3</v>
      </c>
      <c r="G2633" s="4">
        <v>1.1000000000000001</v>
      </c>
      <c r="H2633" s="10">
        <v>1017</v>
      </c>
      <c r="I2633" s="5">
        <f t="shared" si="82"/>
        <v>211.40609636184857</v>
      </c>
      <c r="J2633" s="3" t="str">
        <f t="shared" si="83"/>
        <v>Medium</v>
      </c>
    </row>
    <row r="2634" spans="1:10">
      <c r="A2634" s="7" t="s">
        <v>2718</v>
      </c>
      <c r="B2634" s="18" t="s">
        <v>2227</v>
      </c>
      <c r="C2634" s="19" t="s">
        <v>2164</v>
      </c>
      <c r="D2634" s="22">
        <v>215000</v>
      </c>
      <c r="E2634" s="7">
        <v>29</v>
      </c>
      <c r="F2634" s="7">
        <v>3</v>
      </c>
      <c r="G2634" s="7">
        <v>1</v>
      </c>
      <c r="H2634" s="12">
        <v>1000</v>
      </c>
      <c r="I2634" s="8">
        <f t="shared" si="82"/>
        <v>215</v>
      </c>
      <c r="J2634" s="3" t="str">
        <f t="shared" si="83"/>
        <v>Medium</v>
      </c>
    </row>
    <row r="2635" spans="1:10">
      <c r="A2635" s="4" t="s">
        <v>2719</v>
      </c>
      <c r="B2635" s="16" t="s">
        <v>2210</v>
      </c>
      <c r="C2635" s="17" t="s">
        <v>2164</v>
      </c>
      <c r="D2635" s="21">
        <v>215000</v>
      </c>
      <c r="E2635" s="4">
        <v>55</v>
      </c>
      <c r="F2635" s="4">
        <v>4</v>
      </c>
      <c r="G2635" s="4">
        <v>2.1</v>
      </c>
      <c r="H2635" s="10">
        <v>1580</v>
      </c>
      <c r="I2635" s="5">
        <f t="shared" si="82"/>
        <v>136.07594936708861</v>
      </c>
      <c r="J2635" s="3" t="str">
        <f t="shared" si="83"/>
        <v>Low</v>
      </c>
    </row>
    <row r="2636" spans="1:10">
      <c r="A2636" s="7" t="s">
        <v>2720</v>
      </c>
      <c r="B2636" s="18" t="s">
        <v>2168</v>
      </c>
      <c r="C2636" s="19" t="s">
        <v>2164</v>
      </c>
      <c r="D2636" s="22">
        <v>215000</v>
      </c>
      <c r="E2636" s="7">
        <v>15</v>
      </c>
      <c r="F2636" s="7">
        <v>3</v>
      </c>
      <c r="G2636" s="7">
        <v>1</v>
      </c>
      <c r="H2636" s="7">
        <v>956</v>
      </c>
      <c r="I2636" s="8">
        <f t="shared" si="82"/>
        <v>224.89539748953976</v>
      </c>
      <c r="J2636" s="3" t="str">
        <f t="shared" si="83"/>
        <v>Medium</v>
      </c>
    </row>
    <row r="2637" spans="1:10">
      <c r="A2637" s="4" t="s">
        <v>2721</v>
      </c>
      <c r="B2637" s="16" t="s">
        <v>2168</v>
      </c>
      <c r="C2637" s="17" t="s">
        <v>2164</v>
      </c>
      <c r="D2637" s="21">
        <v>215000</v>
      </c>
      <c r="E2637" s="4">
        <v>2</v>
      </c>
      <c r="F2637" s="4">
        <v>3</v>
      </c>
      <c r="G2637" s="4">
        <v>1.1000000000000001</v>
      </c>
      <c r="H2637" s="10">
        <v>1182</v>
      </c>
      <c r="I2637" s="5">
        <f t="shared" si="82"/>
        <v>181.89509306260575</v>
      </c>
      <c r="J2637" s="3" t="str">
        <f t="shared" si="83"/>
        <v>Low</v>
      </c>
    </row>
    <row r="2638" spans="1:10">
      <c r="A2638" s="7" t="s">
        <v>2722</v>
      </c>
      <c r="B2638" s="18" t="s">
        <v>2193</v>
      </c>
      <c r="C2638" s="19" t="s">
        <v>2164</v>
      </c>
      <c r="D2638" s="22">
        <v>215000</v>
      </c>
      <c r="E2638" s="7">
        <v>5</v>
      </c>
      <c r="F2638" s="7">
        <v>2</v>
      </c>
      <c r="G2638" s="7">
        <v>1.1000000000000001</v>
      </c>
      <c r="H2638" s="12">
        <v>1143</v>
      </c>
      <c r="I2638" s="8">
        <f t="shared" si="82"/>
        <v>188.10148731408574</v>
      </c>
      <c r="J2638" s="3" t="str">
        <f t="shared" si="83"/>
        <v>Low</v>
      </c>
    </row>
    <row r="2639" spans="1:10">
      <c r="A2639" s="4" t="s">
        <v>2723</v>
      </c>
      <c r="B2639" s="16" t="s">
        <v>2168</v>
      </c>
      <c r="C2639" s="17" t="s">
        <v>2164</v>
      </c>
      <c r="D2639" s="21">
        <v>215000</v>
      </c>
      <c r="E2639" s="4">
        <v>3</v>
      </c>
      <c r="F2639" s="4">
        <v>3</v>
      </c>
      <c r="G2639" s="4">
        <v>2</v>
      </c>
      <c r="H2639" s="10">
        <v>1109</v>
      </c>
      <c r="I2639" s="5">
        <f t="shared" si="82"/>
        <v>193.86834986474301</v>
      </c>
      <c r="J2639" s="3" t="str">
        <f t="shared" si="83"/>
        <v>Low</v>
      </c>
    </row>
    <row r="2640" spans="1:10">
      <c r="A2640" s="7" t="s">
        <v>2724</v>
      </c>
      <c r="B2640" s="18" t="s">
        <v>2166</v>
      </c>
      <c r="C2640" s="19" t="s">
        <v>2164</v>
      </c>
      <c r="D2640" s="22">
        <v>215000</v>
      </c>
      <c r="E2640" s="7">
        <v>26</v>
      </c>
      <c r="F2640" s="7">
        <v>3</v>
      </c>
      <c r="G2640" s="7">
        <v>2</v>
      </c>
      <c r="H2640" s="12">
        <v>1106</v>
      </c>
      <c r="I2640" s="8">
        <f t="shared" si="82"/>
        <v>194.39421338155515</v>
      </c>
      <c r="J2640" s="3" t="str">
        <f t="shared" si="83"/>
        <v>Low</v>
      </c>
    </row>
    <row r="2641" spans="1:10">
      <c r="A2641" s="4" t="s">
        <v>2725</v>
      </c>
      <c r="B2641" s="16" t="s">
        <v>2252</v>
      </c>
      <c r="C2641" s="17" t="s">
        <v>2164</v>
      </c>
      <c r="D2641" s="21">
        <v>215000</v>
      </c>
      <c r="E2641" s="4">
        <v>69</v>
      </c>
      <c r="F2641" s="4">
        <v>3</v>
      </c>
      <c r="G2641" s="4">
        <v>1</v>
      </c>
      <c r="H2641" s="10">
        <v>1620</v>
      </c>
      <c r="I2641" s="5">
        <f t="shared" si="82"/>
        <v>132.71604938271605</v>
      </c>
      <c r="J2641" s="3" t="str">
        <f t="shared" si="83"/>
        <v>Low</v>
      </c>
    </row>
    <row r="2642" spans="1:10">
      <c r="A2642" s="7" t="s">
        <v>2726</v>
      </c>
      <c r="B2642" s="18" t="s">
        <v>2407</v>
      </c>
      <c r="C2642" s="19" t="s">
        <v>2164</v>
      </c>
      <c r="D2642" s="22">
        <v>215000</v>
      </c>
      <c r="E2642" s="7">
        <v>59</v>
      </c>
      <c r="F2642" s="7">
        <v>4</v>
      </c>
      <c r="G2642" s="7">
        <v>2</v>
      </c>
      <c r="H2642" s="12">
        <v>1514</v>
      </c>
      <c r="I2642" s="8">
        <f t="shared" si="82"/>
        <v>142.00792602377808</v>
      </c>
      <c r="J2642" s="3" t="str">
        <f t="shared" si="83"/>
        <v>Low</v>
      </c>
    </row>
    <row r="2643" spans="1:10">
      <c r="A2643" s="4" t="s">
        <v>2727</v>
      </c>
      <c r="B2643" s="16" t="s">
        <v>2523</v>
      </c>
      <c r="C2643" s="17" t="s">
        <v>2164</v>
      </c>
      <c r="D2643" s="21">
        <v>215000</v>
      </c>
      <c r="E2643" s="4">
        <v>131</v>
      </c>
      <c r="F2643" s="4">
        <v>3</v>
      </c>
      <c r="G2643" s="4">
        <v>1.1000000000000001</v>
      </c>
      <c r="H2643" s="10">
        <v>1116</v>
      </c>
      <c r="I2643" s="5">
        <f t="shared" si="82"/>
        <v>192.65232974910396</v>
      </c>
      <c r="J2643" s="3" t="str">
        <f t="shared" si="83"/>
        <v>Low</v>
      </c>
    </row>
    <row r="2644" spans="1:10">
      <c r="A2644" s="7" t="s">
        <v>2728</v>
      </c>
      <c r="B2644" s="18" t="s">
        <v>2171</v>
      </c>
      <c r="C2644" s="19" t="s">
        <v>2164</v>
      </c>
      <c r="D2644" s="22">
        <v>215000</v>
      </c>
      <c r="E2644" s="7">
        <v>110</v>
      </c>
      <c r="F2644" s="7">
        <v>3</v>
      </c>
      <c r="G2644" s="7">
        <v>2</v>
      </c>
      <c r="H2644" s="12">
        <v>1750</v>
      </c>
      <c r="I2644" s="8">
        <f t="shared" si="82"/>
        <v>122.85714285714286</v>
      </c>
      <c r="J2644" s="3" t="str">
        <f t="shared" si="83"/>
        <v>Low</v>
      </c>
    </row>
    <row r="2645" spans="1:10">
      <c r="A2645" s="4" t="s">
        <v>2729</v>
      </c>
      <c r="B2645" s="16" t="s">
        <v>2210</v>
      </c>
      <c r="C2645" s="17" t="s">
        <v>2164</v>
      </c>
      <c r="D2645" s="21">
        <v>216000</v>
      </c>
      <c r="E2645" s="4">
        <v>41</v>
      </c>
      <c r="F2645" s="4">
        <v>3</v>
      </c>
      <c r="G2645" s="4">
        <v>1</v>
      </c>
      <c r="H2645" s="10">
        <v>1150</v>
      </c>
      <c r="I2645" s="5">
        <f t="shared" si="82"/>
        <v>187.82608695652175</v>
      </c>
      <c r="J2645" s="3" t="str">
        <f t="shared" si="83"/>
        <v>Low</v>
      </c>
    </row>
    <row r="2646" spans="1:10">
      <c r="A2646" s="7" t="s">
        <v>2730</v>
      </c>
      <c r="B2646" s="18" t="s">
        <v>2181</v>
      </c>
      <c r="C2646" s="19" t="s">
        <v>2164</v>
      </c>
      <c r="D2646" s="22">
        <v>216000</v>
      </c>
      <c r="E2646" s="7">
        <v>44</v>
      </c>
      <c r="F2646" s="7">
        <v>3</v>
      </c>
      <c r="G2646" s="7">
        <v>1</v>
      </c>
      <c r="H2646" s="12">
        <v>1304</v>
      </c>
      <c r="I2646" s="8">
        <f t="shared" si="82"/>
        <v>165.64417177914112</v>
      </c>
      <c r="J2646" s="3" t="str">
        <f t="shared" si="83"/>
        <v>Low</v>
      </c>
    </row>
    <row r="2647" spans="1:10">
      <c r="A2647" s="4" t="s">
        <v>2731</v>
      </c>
      <c r="B2647" s="16" t="s">
        <v>2166</v>
      </c>
      <c r="C2647" s="17" t="s">
        <v>2164</v>
      </c>
      <c r="D2647" s="21">
        <v>216500</v>
      </c>
      <c r="E2647" s="4">
        <v>9</v>
      </c>
      <c r="F2647" s="4">
        <v>3</v>
      </c>
      <c r="G2647" s="4">
        <v>1.1000000000000001</v>
      </c>
      <c r="H2647" s="10">
        <v>1000</v>
      </c>
      <c r="I2647" s="5">
        <f t="shared" si="82"/>
        <v>216.5</v>
      </c>
      <c r="J2647" s="3" t="str">
        <f t="shared" si="83"/>
        <v>Medium</v>
      </c>
    </row>
    <row r="2648" spans="1:10">
      <c r="A2648" s="7" t="s">
        <v>2732</v>
      </c>
      <c r="B2648" s="18" t="s">
        <v>2407</v>
      </c>
      <c r="C2648" s="19" t="s">
        <v>2164</v>
      </c>
      <c r="D2648" s="22">
        <v>216600</v>
      </c>
      <c r="E2648" s="7">
        <v>10</v>
      </c>
      <c r="F2648" s="7">
        <v>3</v>
      </c>
      <c r="G2648" s="7">
        <v>2</v>
      </c>
      <c r="H2648" s="12">
        <v>1542</v>
      </c>
      <c r="I2648" s="8">
        <f t="shared" si="82"/>
        <v>140.46692607003891</v>
      </c>
      <c r="J2648" s="3" t="str">
        <f t="shared" si="83"/>
        <v>Low</v>
      </c>
    </row>
    <row r="2649" spans="1:10">
      <c r="A2649" s="4" t="s">
        <v>2733</v>
      </c>
      <c r="B2649" s="16" t="s">
        <v>2168</v>
      </c>
      <c r="C2649" s="17" t="s">
        <v>2164</v>
      </c>
      <c r="D2649" s="21">
        <v>217000</v>
      </c>
      <c r="E2649" s="4">
        <v>5</v>
      </c>
      <c r="F2649" s="4">
        <v>3</v>
      </c>
      <c r="G2649" s="4">
        <v>1.1000000000000001</v>
      </c>
      <c r="H2649" s="10">
        <v>1148</v>
      </c>
      <c r="I2649" s="5">
        <f t="shared" si="82"/>
        <v>189.02439024390245</v>
      </c>
      <c r="J2649" s="3" t="str">
        <f t="shared" si="83"/>
        <v>Low</v>
      </c>
    </row>
    <row r="2650" spans="1:10">
      <c r="A2650" s="7" t="s">
        <v>2734</v>
      </c>
      <c r="B2650" s="18" t="s">
        <v>2181</v>
      </c>
      <c r="C2650" s="19" t="s">
        <v>2164</v>
      </c>
      <c r="D2650" s="22">
        <v>217000</v>
      </c>
      <c r="E2650" s="7">
        <v>53</v>
      </c>
      <c r="F2650" s="7">
        <v>3</v>
      </c>
      <c r="G2650" s="7">
        <v>1.1000000000000001</v>
      </c>
      <c r="H2650" s="12">
        <v>1075</v>
      </c>
      <c r="I2650" s="8">
        <f t="shared" si="82"/>
        <v>201.86046511627907</v>
      </c>
      <c r="J2650" s="3" t="str">
        <f t="shared" si="83"/>
        <v>Medium</v>
      </c>
    </row>
    <row r="2651" spans="1:10">
      <c r="A2651" s="4" t="s">
        <v>2735</v>
      </c>
      <c r="B2651" s="16" t="s">
        <v>2181</v>
      </c>
      <c r="C2651" s="17" t="s">
        <v>2164</v>
      </c>
      <c r="D2651" s="21">
        <v>217500</v>
      </c>
      <c r="E2651" s="4">
        <v>11</v>
      </c>
      <c r="F2651" s="4">
        <v>3</v>
      </c>
      <c r="G2651" s="4">
        <v>1.1000000000000001</v>
      </c>
      <c r="H2651" s="10">
        <v>1505</v>
      </c>
      <c r="I2651" s="5">
        <f t="shared" si="82"/>
        <v>144.51827242524917</v>
      </c>
      <c r="J2651" s="3" t="str">
        <f t="shared" si="83"/>
        <v>Low</v>
      </c>
    </row>
    <row r="2652" spans="1:10">
      <c r="A2652" s="7" t="s">
        <v>2736</v>
      </c>
      <c r="B2652" s="18" t="s">
        <v>2523</v>
      </c>
      <c r="C2652" s="19" t="s">
        <v>2164</v>
      </c>
      <c r="D2652" s="22">
        <v>218000</v>
      </c>
      <c r="E2652" s="7">
        <v>22</v>
      </c>
      <c r="F2652" s="7">
        <v>3</v>
      </c>
      <c r="G2652" s="7">
        <v>1.1000000000000001</v>
      </c>
      <c r="H2652" s="12">
        <v>1300</v>
      </c>
      <c r="I2652" s="8">
        <f t="shared" si="82"/>
        <v>167.69230769230768</v>
      </c>
      <c r="J2652" s="3" t="str">
        <f t="shared" si="83"/>
        <v>Low</v>
      </c>
    </row>
    <row r="2653" spans="1:10">
      <c r="A2653" s="4" t="s">
        <v>2737</v>
      </c>
      <c r="B2653" s="16" t="s">
        <v>2181</v>
      </c>
      <c r="C2653" s="17" t="s">
        <v>2164</v>
      </c>
      <c r="D2653" s="21">
        <v>218000</v>
      </c>
      <c r="E2653" s="4">
        <v>5</v>
      </c>
      <c r="F2653" s="4">
        <v>4</v>
      </c>
      <c r="G2653" s="4">
        <v>1.1000000000000001</v>
      </c>
      <c r="H2653" s="10">
        <v>1218</v>
      </c>
      <c r="I2653" s="5">
        <f t="shared" si="82"/>
        <v>178.98193760262726</v>
      </c>
      <c r="J2653" s="3" t="str">
        <f t="shared" si="83"/>
        <v>Low</v>
      </c>
    </row>
    <row r="2654" spans="1:10">
      <c r="A2654" s="7" t="s">
        <v>2738</v>
      </c>
      <c r="B2654" s="18" t="s">
        <v>2163</v>
      </c>
      <c r="C2654" s="19" t="s">
        <v>2164</v>
      </c>
      <c r="D2654" s="22">
        <v>218000</v>
      </c>
      <c r="E2654" s="7">
        <v>28</v>
      </c>
      <c r="F2654" s="7">
        <v>3</v>
      </c>
      <c r="G2654" s="7">
        <v>1.1000000000000001</v>
      </c>
      <c r="H2654" s="12">
        <v>1100</v>
      </c>
      <c r="I2654" s="8">
        <f t="shared" si="82"/>
        <v>198.18181818181819</v>
      </c>
      <c r="J2654" s="3" t="str">
        <f t="shared" si="83"/>
        <v>Low</v>
      </c>
    </row>
    <row r="2655" spans="1:10">
      <c r="A2655" s="4" t="s">
        <v>2739</v>
      </c>
      <c r="B2655" s="16" t="s">
        <v>2181</v>
      </c>
      <c r="C2655" s="17" t="s">
        <v>2164</v>
      </c>
      <c r="D2655" s="21">
        <v>218000</v>
      </c>
      <c r="E2655" s="4">
        <v>53</v>
      </c>
      <c r="F2655" s="4">
        <v>6</v>
      </c>
      <c r="G2655" s="4">
        <v>2</v>
      </c>
      <c r="H2655" s="10">
        <v>2458</v>
      </c>
      <c r="I2655" s="5">
        <f t="shared" si="82"/>
        <v>88.689991863303504</v>
      </c>
      <c r="J2655" s="3" t="str">
        <f t="shared" si="83"/>
        <v>Low</v>
      </c>
    </row>
    <row r="2656" spans="1:10">
      <c r="A2656" s="7" t="s">
        <v>2740</v>
      </c>
      <c r="B2656" s="18" t="s">
        <v>2166</v>
      </c>
      <c r="C2656" s="19" t="s">
        <v>2164</v>
      </c>
      <c r="D2656" s="22">
        <v>219000</v>
      </c>
      <c r="E2656" s="7">
        <v>11</v>
      </c>
      <c r="F2656" s="7">
        <v>3</v>
      </c>
      <c r="G2656" s="7">
        <v>1.1000000000000001</v>
      </c>
      <c r="H2656" s="7">
        <v>945</v>
      </c>
      <c r="I2656" s="8">
        <f t="shared" si="82"/>
        <v>231.74603174603175</v>
      </c>
      <c r="J2656" s="3" t="str">
        <f t="shared" si="83"/>
        <v>Medium</v>
      </c>
    </row>
    <row r="2657" spans="1:10">
      <c r="A2657" s="4" t="s">
        <v>2741</v>
      </c>
      <c r="B2657" s="16" t="s">
        <v>2210</v>
      </c>
      <c r="C2657" s="17" t="s">
        <v>2164</v>
      </c>
      <c r="D2657" s="21">
        <v>219000</v>
      </c>
      <c r="E2657" s="4">
        <v>12</v>
      </c>
      <c r="F2657" s="4">
        <v>3</v>
      </c>
      <c r="G2657" s="4">
        <v>2</v>
      </c>
      <c r="H2657" s="10">
        <v>1151</v>
      </c>
      <c r="I2657" s="5">
        <f t="shared" si="82"/>
        <v>190.26933101650738</v>
      </c>
      <c r="J2657" s="3" t="str">
        <f t="shared" si="83"/>
        <v>Low</v>
      </c>
    </row>
    <row r="2658" spans="1:10">
      <c r="A2658" s="7" t="s">
        <v>2742</v>
      </c>
      <c r="B2658" s="18" t="s">
        <v>2210</v>
      </c>
      <c r="C2658" s="19" t="s">
        <v>2164</v>
      </c>
      <c r="D2658" s="22">
        <v>219900</v>
      </c>
      <c r="E2658" s="7">
        <v>9</v>
      </c>
      <c r="F2658" s="7">
        <v>3</v>
      </c>
      <c r="G2658" s="7">
        <v>2</v>
      </c>
      <c r="H2658" s="7">
        <v>973</v>
      </c>
      <c r="I2658" s="8">
        <f t="shared" si="82"/>
        <v>226.00205549845839</v>
      </c>
      <c r="J2658" s="3" t="str">
        <f t="shared" si="83"/>
        <v>Medium</v>
      </c>
    </row>
    <row r="2659" spans="1:10">
      <c r="A2659" s="4" t="s">
        <v>2743</v>
      </c>
      <c r="B2659" s="16" t="s">
        <v>2168</v>
      </c>
      <c r="C2659" s="17" t="s">
        <v>2164</v>
      </c>
      <c r="D2659" s="21">
        <v>219900</v>
      </c>
      <c r="E2659" s="4">
        <v>48</v>
      </c>
      <c r="F2659" s="4">
        <v>3</v>
      </c>
      <c r="G2659" s="4">
        <v>2</v>
      </c>
      <c r="H2659" s="10">
        <v>1150</v>
      </c>
      <c r="I2659" s="5">
        <f t="shared" si="82"/>
        <v>191.21739130434781</v>
      </c>
      <c r="J2659" s="3" t="str">
        <f t="shared" si="83"/>
        <v>Low</v>
      </c>
    </row>
    <row r="2660" spans="1:10">
      <c r="A2660" s="7" t="s">
        <v>2744</v>
      </c>
      <c r="B2660" s="18" t="s">
        <v>2523</v>
      </c>
      <c r="C2660" s="19" t="s">
        <v>2164</v>
      </c>
      <c r="D2660" s="22">
        <v>220000</v>
      </c>
      <c r="E2660" s="7">
        <v>29</v>
      </c>
      <c r="F2660" s="7">
        <v>3</v>
      </c>
      <c r="G2660" s="7">
        <v>1</v>
      </c>
      <c r="H2660" s="12">
        <v>1128</v>
      </c>
      <c r="I2660" s="8">
        <f t="shared" si="82"/>
        <v>195.03546099290782</v>
      </c>
      <c r="J2660" s="3" t="str">
        <f t="shared" si="83"/>
        <v>Low</v>
      </c>
    </row>
    <row r="2661" spans="1:10">
      <c r="A2661" s="4" t="s">
        <v>2745</v>
      </c>
      <c r="B2661" s="16" t="s">
        <v>2685</v>
      </c>
      <c r="C2661" s="17" t="s">
        <v>2164</v>
      </c>
      <c r="D2661" s="21">
        <v>220000</v>
      </c>
      <c r="E2661" s="4">
        <v>4</v>
      </c>
      <c r="F2661" s="4">
        <v>2</v>
      </c>
      <c r="G2661" s="4">
        <v>1</v>
      </c>
      <c r="H2661" s="4">
        <v>864</v>
      </c>
      <c r="I2661" s="5">
        <f t="shared" si="82"/>
        <v>254.62962962962962</v>
      </c>
      <c r="J2661" s="3" t="str">
        <f t="shared" si="83"/>
        <v>Medium</v>
      </c>
    </row>
    <row r="2662" spans="1:10">
      <c r="A2662" s="7" t="s">
        <v>2746</v>
      </c>
      <c r="B2662" s="18" t="s">
        <v>2210</v>
      </c>
      <c r="C2662" s="19" t="s">
        <v>2164</v>
      </c>
      <c r="D2662" s="22">
        <v>220000</v>
      </c>
      <c r="E2662" s="7">
        <v>8</v>
      </c>
      <c r="F2662" s="7">
        <v>3</v>
      </c>
      <c r="G2662" s="7">
        <v>1.1000000000000001</v>
      </c>
      <c r="H2662" s="12">
        <v>1254</v>
      </c>
      <c r="I2662" s="8">
        <f t="shared" si="82"/>
        <v>175.43859649122808</v>
      </c>
      <c r="J2662" s="3" t="str">
        <f t="shared" si="83"/>
        <v>Low</v>
      </c>
    </row>
    <row r="2663" spans="1:10">
      <c r="A2663" s="4" t="s">
        <v>2747</v>
      </c>
      <c r="B2663" s="16" t="s">
        <v>2173</v>
      </c>
      <c r="C2663" s="17" t="s">
        <v>2164</v>
      </c>
      <c r="D2663" s="21">
        <v>220000</v>
      </c>
      <c r="E2663" s="4">
        <v>5</v>
      </c>
      <c r="F2663" s="4">
        <v>3</v>
      </c>
      <c r="G2663" s="4">
        <v>2</v>
      </c>
      <c r="H2663" s="10">
        <v>1120</v>
      </c>
      <c r="I2663" s="5">
        <f t="shared" si="82"/>
        <v>196.42857142857142</v>
      </c>
      <c r="J2663" s="3" t="str">
        <f t="shared" si="83"/>
        <v>Low</v>
      </c>
    </row>
    <row r="2664" spans="1:10">
      <c r="A2664" s="7" t="s">
        <v>2748</v>
      </c>
      <c r="B2664" s="18" t="s">
        <v>2523</v>
      </c>
      <c r="C2664" s="19" t="s">
        <v>2164</v>
      </c>
      <c r="D2664" s="22">
        <v>220000</v>
      </c>
      <c r="E2664" s="7">
        <v>62</v>
      </c>
      <c r="F2664" s="7">
        <v>3</v>
      </c>
      <c r="G2664" s="7">
        <v>1.1000000000000001</v>
      </c>
      <c r="H2664" s="12">
        <v>1440</v>
      </c>
      <c r="I2664" s="8">
        <f t="shared" si="82"/>
        <v>152.77777777777777</v>
      </c>
      <c r="J2664" s="3" t="str">
        <f t="shared" si="83"/>
        <v>Low</v>
      </c>
    </row>
    <row r="2665" spans="1:10">
      <c r="A2665" s="4" t="s">
        <v>2749</v>
      </c>
      <c r="B2665" s="16" t="s">
        <v>2210</v>
      </c>
      <c r="C2665" s="17" t="s">
        <v>2164</v>
      </c>
      <c r="D2665" s="21">
        <v>220000</v>
      </c>
      <c r="E2665" s="4">
        <v>5</v>
      </c>
      <c r="F2665" s="4">
        <v>3</v>
      </c>
      <c r="G2665" s="4">
        <v>1</v>
      </c>
      <c r="H2665" s="10">
        <v>1022</v>
      </c>
      <c r="I2665" s="5">
        <f t="shared" si="82"/>
        <v>215.26418786692759</v>
      </c>
      <c r="J2665" s="3" t="str">
        <f t="shared" si="83"/>
        <v>Medium</v>
      </c>
    </row>
    <row r="2666" spans="1:10">
      <c r="A2666" s="7" t="s">
        <v>2750</v>
      </c>
      <c r="B2666" s="18" t="s">
        <v>2210</v>
      </c>
      <c r="C2666" s="19" t="s">
        <v>2164</v>
      </c>
      <c r="D2666" s="22">
        <v>220000</v>
      </c>
      <c r="E2666" s="7">
        <v>123</v>
      </c>
      <c r="F2666" s="7">
        <v>3</v>
      </c>
      <c r="G2666" s="7">
        <v>1.1000000000000001</v>
      </c>
      <c r="H2666" s="12">
        <v>1288</v>
      </c>
      <c r="I2666" s="8">
        <f t="shared" si="82"/>
        <v>170.80745341614906</v>
      </c>
      <c r="J2666" s="3" t="str">
        <f t="shared" si="83"/>
        <v>Low</v>
      </c>
    </row>
    <row r="2667" spans="1:10">
      <c r="A2667" s="4" t="s">
        <v>2751</v>
      </c>
      <c r="B2667" s="16" t="s">
        <v>2316</v>
      </c>
      <c r="C2667" s="17" t="s">
        <v>2164</v>
      </c>
      <c r="D2667" s="21">
        <v>220000</v>
      </c>
      <c r="E2667" s="4">
        <v>38</v>
      </c>
      <c r="F2667" s="4">
        <v>3</v>
      </c>
      <c r="G2667" s="4">
        <v>1.1000000000000001</v>
      </c>
      <c r="H2667" s="10">
        <v>1282</v>
      </c>
      <c r="I2667" s="5">
        <f t="shared" si="82"/>
        <v>171.606864274571</v>
      </c>
      <c r="J2667" s="3" t="str">
        <f t="shared" si="83"/>
        <v>Low</v>
      </c>
    </row>
    <row r="2668" spans="1:10">
      <c r="A2668" s="7" t="s">
        <v>2752</v>
      </c>
      <c r="B2668" s="18" t="s">
        <v>2168</v>
      </c>
      <c r="C2668" s="19" t="s">
        <v>2164</v>
      </c>
      <c r="D2668" s="22">
        <v>220000</v>
      </c>
      <c r="E2668" s="7">
        <v>154</v>
      </c>
      <c r="F2668" s="7">
        <v>2</v>
      </c>
      <c r="G2668" s="7">
        <v>1</v>
      </c>
      <c r="H2668" s="12">
        <v>1638</v>
      </c>
      <c r="I2668" s="8">
        <f t="shared" si="82"/>
        <v>134.31013431013432</v>
      </c>
      <c r="J2668" s="3" t="str">
        <f t="shared" si="83"/>
        <v>Low</v>
      </c>
    </row>
    <row r="2669" spans="1:10">
      <c r="A2669" s="4" t="s">
        <v>2753</v>
      </c>
      <c r="B2669" s="16" t="s">
        <v>2181</v>
      </c>
      <c r="C2669" s="17" t="s">
        <v>2164</v>
      </c>
      <c r="D2669" s="21">
        <v>220000</v>
      </c>
      <c r="E2669" s="4">
        <v>6</v>
      </c>
      <c r="F2669" s="4">
        <v>3</v>
      </c>
      <c r="G2669" s="4">
        <v>1</v>
      </c>
      <c r="H2669" s="10">
        <v>1300</v>
      </c>
      <c r="I2669" s="5">
        <f t="shared" si="82"/>
        <v>169.23076923076923</v>
      </c>
      <c r="J2669" s="3" t="str">
        <f t="shared" si="83"/>
        <v>Low</v>
      </c>
    </row>
    <row r="2670" spans="1:10">
      <c r="A2670" s="7" t="s">
        <v>2754</v>
      </c>
      <c r="B2670" s="18" t="s">
        <v>2210</v>
      </c>
      <c r="C2670" s="19" t="s">
        <v>2164</v>
      </c>
      <c r="D2670" s="22">
        <v>220000</v>
      </c>
      <c r="E2670" s="7">
        <v>6</v>
      </c>
      <c r="F2670" s="7">
        <v>3</v>
      </c>
      <c r="G2670" s="7">
        <v>1.1000000000000001</v>
      </c>
      <c r="H2670" s="7">
        <v>936</v>
      </c>
      <c r="I2670" s="8">
        <f t="shared" si="82"/>
        <v>235.04273504273505</v>
      </c>
      <c r="J2670" s="3" t="str">
        <f t="shared" si="83"/>
        <v>Medium</v>
      </c>
    </row>
    <row r="2671" spans="1:10">
      <c r="A2671" s="4" t="s">
        <v>2755</v>
      </c>
      <c r="B2671" s="16" t="s">
        <v>2168</v>
      </c>
      <c r="C2671" s="17" t="s">
        <v>2164</v>
      </c>
      <c r="D2671" s="21">
        <v>220000</v>
      </c>
      <c r="E2671" s="4">
        <v>4</v>
      </c>
      <c r="F2671" s="4">
        <v>3</v>
      </c>
      <c r="G2671" s="4">
        <v>1.1000000000000001</v>
      </c>
      <c r="H2671" s="10">
        <v>1000</v>
      </c>
      <c r="I2671" s="5">
        <f t="shared" si="82"/>
        <v>220</v>
      </c>
      <c r="J2671" s="3" t="str">
        <f t="shared" si="83"/>
        <v>Medium</v>
      </c>
    </row>
    <row r="2672" spans="1:10">
      <c r="A2672" s="7" t="s">
        <v>2756</v>
      </c>
      <c r="B2672" s="18" t="s">
        <v>2193</v>
      </c>
      <c r="C2672" s="19" t="s">
        <v>2164</v>
      </c>
      <c r="D2672" s="22">
        <v>220000</v>
      </c>
      <c r="E2672" s="7">
        <v>37</v>
      </c>
      <c r="F2672" s="7">
        <v>3</v>
      </c>
      <c r="G2672" s="7">
        <v>2</v>
      </c>
      <c r="H2672" s="7">
        <v>950</v>
      </c>
      <c r="I2672" s="8">
        <f t="shared" si="82"/>
        <v>231.57894736842104</v>
      </c>
      <c r="J2672" s="3" t="str">
        <f t="shared" si="83"/>
        <v>Medium</v>
      </c>
    </row>
    <row r="2673" spans="1:10">
      <c r="A2673" s="4" t="s">
        <v>2757</v>
      </c>
      <c r="B2673" s="16" t="s">
        <v>2210</v>
      </c>
      <c r="C2673" s="17" t="s">
        <v>2164</v>
      </c>
      <c r="D2673" s="21">
        <v>220000</v>
      </c>
      <c r="E2673" s="4">
        <v>9</v>
      </c>
      <c r="F2673" s="4">
        <v>3</v>
      </c>
      <c r="G2673" s="4">
        <v>1</v>
      </c>
      <c r="H2673" s="10">
        <v>1065</v>
      </c>
      <c r="I2673" s="5">
        <f t="shared" si="82"/>
        <v>206.57276995305165</v>
      </c>
      <c r="J2673" s="3" t="str">
        <f t="shared" si="83"/>
        <v>Medium</v>
      </c>
    </row>
    <row r="2674" spans="1:10">
      <c r="A2674" s="7" t="s">
        <v>2758</v>
      </c>
      <c r="B2674" s="18" t="s">
        <v>2181</v>
      </c>
      <c r="C2674" s="19" t="s">
        <v>2164</v>
      </c>
      <c r="D2674" s="22">
        <v>220000</v>
      </c>
      <c r="E2674" s="7">
        <v>0</v>
      </c>
      <c r="F2674" s="7">
        <v>4</v>
      </c>
      <c r="G2674" s="7">
        <v>1.2</v>
      </c>
      <c r="H2674" s="12">
        <v>2208</v>
      </c>
      <c r="I2674" s="8">
        <f t="shared" si="82"/>
        <v>99.637681159420296</v>
      </c>
      <c r="J2674" s="3" t="str">
        <f t="shared" si="83"/>
        <v>Low</v>
      </c>
    </row>
    <row r="2675" spans="1:10">
      <c r="A2675" s="4" t="s">
        <v>2759</v>
      </c>
      <c r="B2675" s="16" t="s">
        <v>2181</v>
      </c>
      <c r="C2675" s="17" t="s">
        <v>2164</v>
      </c>
      <c r="D2675" s="21">
        <v>220000</v>
      </c>
      <c r="E2675" s="4">
        <v>68</v>
      </c>
      <c r="F2675" s="4">
        <v>4</v>
      </c>
      <c r="G2675" s="4">
        <v>2</v>
      </c>
      <c r="H2675" s="10">
        <v>1729</v>
      </c>
      <c r="I2675" s="5">
        <f t="shared" si="82"/>
        <v>127.24117987275882</v>
      </c>
      <c r="J2675" s="3" t="str">
        <f t="shared" si="83"/>
        <v>Low</v>
      </c>
    </row>
    <row r="2676" spans="1:10">
      <c r="A2676" s="7" t="s">
        <v>2760</v>
      </c>
      <c r="B2676" s="18" t="s">
        <v>2163</v>
      </c>
      <c r="C2676" s="19" t="s">
        <v>2164</v>
      </c>
      <c r="D2676" s="22">
        <v>220000</v>
      </c>
      <c r="E2676" s="7">
        <v>141</v>
      </c>
      <c r="F2676" s="7">
        <v>3</v>
      </c>
      <c r="G2676" s="7">
        <v>2</v>
      </c>
      <c r="H2676" s="12">
        <v>1386</v>
      </c>
      <c r="I2676" s="8">
        <f t="shared" si="82"/>
        <v>158.73015873015873</v>
      </c>
      <c r="J2676" s="3" t="str">
        <f t="shared" si="83"/>
        <v>Low</v>
      </c>
    </row>
    <row r="2677" spans="1:10">
      <c r="A2677" s="4" t="s">
        <v>2761</v>
      </c>
      <c r="B2677" s="16" t="s">
        <v>2166</v>
      </c>
      <c r="C2677" s="17" t="s">
        <v>2164</v>
      </c>
      <c r="D2677" s="21">
        <v>220001</v>
      </c>
      <c r="E2677" s="4">
        <v>4</v>
      </c>
      <c r="F2677" s="4">
        <v>3</v>
      </c>
      <c r="G2677" s="4">
        <v>2</v>
      </c>
      <c r="H2677" s="4">
        <v>987</v>
      </c>
      <c r="I2677" s="5">
        <f t="shared" si="82"/>
        <v>222.89868287740629</v>
      </c>
      <c r="J2677" s="3" t="str">
        <f t="shared" si="83"/>
        <v>Medium</v>
      </c>
    </row>
    <row r="2678" spans="1:10">
      <c r="A2678" s="7" t="s">
        <v>2762</v>
      </c>
      <c r="B2678" s="18" t="s">
        <v>2166</v>
      </c>
      <c r="C2678" s="19" t="s">
        <v>2164</v>
      </c>
      <c r="D2678" s="22">
        <v>221000</v>
      </c>
      <c r="E2678" s="7">
        <v>4</v>
      </c>
      <c r="F2678" s="7">
        <v>3</v>
      </c>
      <c r="G2678" s="7">
        <v>2</v>
      </c>
      <c r="H2678" s="12">
        <v>1040</v>
      </c>
      <c r="I2678" s="8">
        <f t="shared" si="82"/>
        <v>212.5</v>
      </c>
      <c r="J2678" s="3" t="str">
        <f t="shared" si="83"/>
        <v>Medium</v>
      </c>
    </row>
    <row r="2679" spans="1:10">
      <c r="A2679" s="4" t="s">
        <v>2763</v>
      </c>
      <c r="B2679" s="16" t="s">
        <v>2407</v>
      </c>
      <c r="C2679" s="17" t="s">
        <v>2164</v>
      </c>
      <c r="D2679" s="21">
        <v>221000</v>
      </c>
      <c r="E2679" s="4">
        <v>4</v>
      </c>
      <c r="F2679" s="4">
        <v>3</v>
      </c>
      <c r="G2679" s="4">
        <v>1</v>
      </c>
      <c r="H2679" s="10">
        <v>1000</v>
      </c>
      <c r="I2679" s="5">
        <f t="shared" si="82"/>
        <v>221</v>
      </c>
      <c r="J2679" s="3" t="str">
        <f t="shared" si="83"/>
        <v>Medium</v>
      </c>
    </row>
    <row r="2680" spans="1:10">
      <c r="A2680" s="7" t="s">
        <v>2764</v>
      </c>
      <c r="B2680" s="18" t="s">
        <v>2168</v>
      </c>
      <c r="C2680" s="19" t="s">
        <v>2164</v>
      </c>
      <c r="D2680" s="22">
        <v>221000</v>
      </c>
      <c r="E2680" s="7">
        <v>10</v>
      </c>
      <c r="F2680" s="7">
        <v>0</v>
      </c>
      <c r="G2680" s="7">
        <v>0.1</v>
      </c>
      <c r="H2680" s="12">
        <v>1000</v>
      </c>
      <c r="I2680" s="8">
        <f t="shared" si="82"/>
        <v>221</v>
      </c>
      <c r="J2680" s="3" t="str">
        <f t="shared" si="83"/>
        <v>Medium</v>
      </c>
    </row>
    <row r="2681" spans="1:10">
      <c r="A2681" s="4" t="s">
        <v>2765</v>
      </c>
      <c r="B2681" s="16" t="s">
        <v>2166</v>
      </c>
      <c r="C2681" s="17" t="s">
        <v>2164</v>
      </c>
      <c r="D2681" s="21">
        <v>222000</v>
      </c>
      <c r="E2681" s="4">
        <v>17</v>
      </c>
      <c r="F2681" s="4">
        <v>4</v>
      </c>
      <c r="G2681" s="4">
        <v>2</v>
      </c>
      <c r="H2681" s="10">
        <v>2101</v>
      </c>
      <c r="I2681" s="5">
        <f t="shared" si="82"/>
        <v>105.66396953831509</v>
      </c>
      <c r="J2681" s="3" t="str">
        <f t="shared" si="83"/>
        <v>Low</v>
      </c>
    </row>
    <row r="2682" spans="1:10">
      <c r="A2682" s="7" t="s">
        <v>2766</v>
      </c>
      <c r="B2682" s="18" t="s">
        <v>2181</v>
      </c>
      <c r="C2682" s="19" t="s">
        <v>2164</v>
      </c>
      <c r="D2682" s="22">
        <v>222000</v>
      </c>
      <c r="E2682" s="7">
        <v>35</v>
      </c>
      <c r="F2682" s="7">
        <v>3</v>
      </c>
      <c r="G2682" s="7">
        <v>1</v>
      </c>
      <c r="H2682" s="12">
        <v>1240</v>
      </c>
      <c r="I2682" s="8">
        <f t="shared" si="82"/>
        <v>179.03225806451613</v>
      </c>
      <c r="J2682" s="3" t="str">
        <f t="shared" si="83"/>
        <v>Low</v>
      </c>
    </row>
    <row r="2683" spans="1:10">
      <c r="A2683" s="4" t="s">
        <v>2767</v>
      </c>
      <c r="B2683" s="16" t="s">
        <v>2181</v>
      </c>
      <c r="C2683" s="17" t="s">
        <v>2164</v>
      </c>
      <c r="D2683" s="21">
        <v>222000</v>
      </c>
      <c r="E2683" s="4">
        <v>20</v>
      </c>
      <c r="F2683" s="4">
        <v>4</v>
      </c>
      <c r="G2683" s="4">
        <v>1.1000000000000001</v>
      </c>
      <c r="H2683" s="10">
        <v>1480</v>
      </c>
      <c r="I2683" s="5">
        <f t="shared" si="82"/>
        <v>150</v>
      </c>
      <c r="J2683" s="3" t="str">
        <f t="shared" si="83"/>
        <v>Low</v>
      </c>
    </row>
    <row r="2684" spans="1:10">
      <c r="A2684" s="7" t="s">
        <v>2768</v>
      </c>
      <c r="B2684" s="18" t="s">
        <v>2181</v>
      </c>
      <c r="C2684" s="19" t="s">
        <v>2164</v>
      </c>
      <c r="D2684" s="22">
        <v>222200</v>
      </c>
      <c r="E2684" s="7">
        <v>47</v>
      </c>
      <c r="F2684" s="7">
        <v>3</v>
      </c>
      <c r="G2684" s="7">
        <v>2</v>
      </c>
      <c r="H2684" s="12">
        <v>1299</v>
      </c>
      <c r="I2684" s="8">
        <f t="shared" si="82"/>
        <v>171.05465742879139</v>
      </c>
      <c r="J2684" s="3" t="str">
        <f t="shared" si="83"/>
        <v>Low</v>
      </c>
    </row>
    <row r="2685" spans="1:10">
      <c r="A2685" s="4" t="s">
        <v>2769</v>
      </c>
      <c r="B2685" s="16" t="s">
        <v>2210</v>
      </c>
      <c r="C2685" s="17" t="s">
        <v>2164</v>
      </c>
      <c r="D2685" s="21">
        <v>223000</v>
      </c>
      <c r="E2685" s="4">
        <v>52</v>
      </c>
      <c r="F2685" s="4">
        <v>3</v>
      </c>
      <c r="G2685" s="4">
        <v>1</v>
      </c>
      <c r="H2685" s="4">
        <v>954</v>
      </c>
      <c r="I2685" s="5">
        <f t="shared" si="82"/>
        <v>233.75262054507337</v>
      </c>
      <c r="J2685" s="3" t="str">
        <f t="shared" si="83"/>
        <v>Medium</v>
      </c>
    </row>
    <row r="2686" spans="1:10">
      <c r="A2686" s="7" t="s">
        <v>2770</v>
      </c>
      <c r="B2686" s="18" t="s">
        <v>2523</v>
      </c>
      <c r="C2686" s="19" t="s">
        <v>2164</v>
      </c>
      <c r="D2686" s="22">
        <v>223000</v>
      </c>
      <c r="E2686" s="7">
        <v>168</v>
      </c>
      <c r="F2686" s="7">
        <v>3</v>
      </c>
      <c r="G2686" s="7">
        <v>1.1000000000000001</v>
      </c>
      <c r="H2686" s="12">
        <v>1040</v>
      </c>
      <c r="I2686" s="8">
        <f t="shared" si="82"/>
        <v>214.42307692307693</v>
      </c>
      <c r="J2686" s="3" t="str">
        <f t="shared" si="83"/>
        <v>Medium</v>
      </c>
    </row>
    <row r="2687" spans="1:10">
      <c r="A2687" s="4" t="s">
        <v>2771</v>
      </c>
      <c r="B2687" s="16" t="s">
        <v>2166</v>
      </c>
      <c r="C2687" s="17" t="s">
        <v>2164</v>
      </c>
      <c r="D2687" s="21">
        <v>224000</v>
      </c>
      <c r="E2687" s="4">
        <v>12</v>
      </c>
      <c r="F2687" s="4">
        <v>4</v>
      </c>
      <c r="G2687" s="4">
        <v>1.1000000000000001</v>
      </c>
      <c r="H2687" s="10">
        <v>1091</v>
      </c>
      <c r="I2687" s="5">
        <f t="shared" si="82"/>
        <v>205.31622364802934</v>
      </c>
      <c r="J2687" s="3" t="str">
        <f t="shared" si="83"/>
        <v>Medium</v>
      </c>
    </row>
    <row r="2688" spans="1:10">
      <c r="A2688" s="7" t="s">
        <v>2772</v>
      </c>
      <c r="B2688" s="18" t="s">
        <v>2261</v>
      </c>
      <c r="C2688" s="19" t="s">
        <v>2164</v>
      </c>
      <c r="D2688" s="22">
        <v>224000</v>
      </c>
      <c r="E2688" s="7">
        <v>3</v>
      </c>
      <c r="F2688" s="7">
        <v>3</v>
      </c>
      <c r="G2688" s="7">
        <v>1.1000000000000001</v>
      </c>
      <c r="H2688" s="12">
        <v>1115</v>
      </c>
      <c r="I2688" s="8">
        <f t="shared" si="82"/>
        <v>200.8968609865471</v>
      </c>
      <c r="J2688" s="3" t="str">
        <f t="shared" si="83"/>
        <v>Medium</v>
      </c>
    </row>
    <row r="2689" spans="1:10">
      <c r="A2689" s="4" t="s">
        <v>2773</v>
      </c>
      <c r="B2689" s="16" t="s">
        <v>2210</v>
      </c>
      <c r="C2689" s="17" t="s">
        <v>2164</v>
      </c>
      <c r="D2689" s="21">
        <v>224500</v>
      </c>
      <c r="E2689" s="4">
        <v>15</v>
      </c>
      <c r="F2689" s="4">
        <v>3</v>
      </c>
      <c r="G2689" s="4">
        <v>2</v>
      </c>
      <c r="H2689" s="10">
        <v>1298</v>
      </c>
      <c r="I2689" s="5">
        <f t="shared" si="82"/>
        <v>172.95839753466873</v>
      </c>
      <c r="J2689" s="3" t="str">
        <f t="shared" si="83"/>
        <v>Low</v>
      </c>
    </row>
    <row r="2690" spans="1:10">
      <c r="A2690" s="7" t="s">
        <v>2774</v>
      </c>
      <c r="B2690" s="18" t="s">
        <v>2166</v>
      </c>
      <c r="C2690" s="19" t="s">
        <v>2164</v>
      </c>
      <c r="D2690" s="22">
        <v>224500</v>
      </c>
      <c r="E2690" s="7">
        <v>57</v>
      </c>
      <c r="F2690" s="7">
        <v>3</v>
      </c>
      <c r="G2690" s="7">
        <v>2</v>
      </c>
      <c r="H2690" s="12">
        <v>1052</v>
      </c>
      <c r="I2690" s="8">
        <f t="shared" ref="I2690:I2753" si="84">D2690/H2690</f>
        <v>213.40304182509504</v>
      </c>
      <c r="J2690" s="3" t="str">
        <f t="shared" ref="J2690:J2753" si="85">IF(I2690 &gt; 300, "High", IF(AND(I2690 &lt;= 300, I2690 &gt; 200), "Medium", "Low"))</f>
        <v>Medium</v>
      </c>
    </row>
    <row r="2691" spans="1:10">
      <c r="A2691" s="4" t="s">
        <v>2775</v>
      </c>
      <c r="B2691" s="16" t="s">
        <v>2166</v>
      </c>
      <c r="C2691" s="17" t="s">
        <v>2164</v>
      </c>
      <c r="D2691" s="21">
        <v>224500</v>
      </c>
      <c r="E2691" s="4">
        <v>2</v>
      </c>
      <c r="F2691" s="4">
        <v>4</v>
      </c>
      <c r="G2691" s="4">
        <v>2</v>
      </c>
      <c r="H2691" s="10">
        <v>1836</v>
      </c>
      <c r="I2691" s="5">
        <f t="shared" si="84"/>
        <v>122.27668845315904</v>
      </c>
      <c r="J2691" s="3" t="str">
        <f t="shared" si="85"/>
        <v>Low</v>
      </c>
    </row>
    <row r="2692" spans="1:10">
      <c r="A2692" s="7" t="s">
        <v>2776</v>
      </c>
      <c r="B2692" s="18" t="s">
        <v>2193</v>
      </c>
      <c r="C2692" s="19" t="s">
        <v>2164</v>
      </c>
      <c r="D2692" s="22">
        <v>224500</v>
      </c>
      <c r="E2692" s="7">
        <v>8</v>
      </c>
      <c r="F2692" s="7">
        <v>3</v>
      </c>
      <c r="G2692" s="7">
        <v>1</v>
      </c>
      <c r="H2692" s="7">
        <v>925</v>
      </c>
      <c r="I2692" s="8">
        <f t="shared" si="84"/>
        <v>242.70270270270271</v>
      </c>
      <c r="J2692" s="3" t="str">
        <f t="shared" si="85"/>
        <v>Medium</v>
      </c>
    </row>
    <row r="2693" spans="1:10">
      <c r="A2693" s="4" t="s">
        <v>2777</v>
      </c>
      <c r="B2693" s="16" t="s">
        <v>2210</v>
      </c>
      <c r="C2693" s="17" t="s">
        <v>2164</v>
      </c>
      <c r="D2693" s="21">
        <v>224900</v>
      </c>
      <c r="E2693" s="4">
        <v>35</v>
      </c>
      <c r="F2693" s="4">
        <v>3</v>
      </c>
      <c r="G2693" s="4">
        <v>1.1000000000000001</v>
      </c>
      <c r="H2693" s="10">
        <v>1074</v>
      </c>
      <c r="I2693" s="5">
        <f t="shared" si="84"/>
        <v>209.40409683426444</v>
      </c>
      <c r="J2693" s="3" t="str">
        <f t="shared" si="85"/>
        <v>Medium</v>
      </c>
    </row>
    <row r="2694" spans="1:10">
      <c r="A2694" s="7" t="s">
        <v>2778</v>
      </c>
      <c r="B2694" s="18" t="s">
        <v>2193</v>
      </c>
      <c r="C2694" s="19" t="s">
        <v>2164</v>
      </c>
      <c r="D2694" s="22">
        <v>225000</v>
      </c>
      <c r="E2694" s="7">
        <v>6</v>
      </c>
      <c r="F2694" s="7">
        <v>3</v>
      </c>
      <c r="G2694" s="7">
        <v>1</v>
      </c>
      <c r="H2694" s="12">
        <v>1280</v>
      </c>
      <c r="I2694" s="8">
        <f t="shared" si="84"/>
        <v>175.78125</v>
      </c>
      <c r="J2694" s="3" t="str">
        <f t="shared" si="85"/>
        <v>Low</v>
      </c>
    </row>
    <row r="2695" spans="1:10">
      <c r="A2695" s="4" t="s">
        <v>2779</v>
      </c>
      <c r="B2695" s="16" t="s">
        <v>2407</v>
      </c>
      <c r="C2695" s="17" t="s">
        <v>2164</v>
      </c>
      <c r="D2695" s="21">
        <v>225000</v>
      </c>
      <c r="E2695" s="4">
        <v>1</v>
      </c>
      <c r="F2695" s="4">
        <v>3</v>
      </c>
      <c r="G2695" s="4">
        <v>1</v>
      </c>
      <c r="H2695" s="10">
        <v>1008</v>
      </c>
      <c r="I2695" s="5">
        <f t="shared" si="84"/>
        <v>223.21428571428572</v>
      </c>
      <c r="J2695" s="3" t="str">
        <f t="shared" si="85"/>
        <v>Medium</v>
      </c>
    </row>
    <row r="2696" spans="1:10">
      <c r="A2696" s="7" t="s">
        <v>2780</v>
      </c>
      <c r="B2696" s="18" t="s">
        <v>2781</v>
      </c>
      <c r="C2696" s="19" t="s">
        <v>2164</v>
      </c>
      <c r="D2696" s="22">
        <v>225000</v>
      </c>
      <c r="E2696" s="7">
        <v>2</v>
      </c>
      <c r="F2696" s="7">
        <v>3</v>
      </c>
      <c r="G2696" s="7">
        <v>1.1000000000000001</v>
      </c>
      <c r="H2696" s="12">
        <v>1111</v>
      </c>
      <c r="I2696" s="8">
        <f t="shared" si="84"/>
        <v>202.52025202520252</v>
      </c>
      <c r="J2696" s="3" t="str">
        <f t="shared" si="85"/>
        <v>Medium</v>
      </c>
    </row>
    <row r="2697" spans="1:10">
      <c r="A2697" s="4" t="s">
        <v>2782</v>
      </c>
      <c r="B2697" s="16" t="s">
        <v>2163</v>
      </c>
      <c r="C2697" s="17" t="s">
        <v>2164</v>
      </c>
      <c r="D2697" s="21">
        <v>225000</v>
      </c>
      <c r="E2697" s="4">
        <v>10</v>
      </c>
      <c r="F2697" s="4">
        <v>3</v>
      </c>
      <c r="G2697" s="4">
        <v>2</v>
      </c>
      <c r="H2697" s="10">
        <v>1520</v>
      </c>
      <c r="I2697" s="5">
        <f t="shared" si="84"/>
        <v>148.02631578947367</v>
      </c>
      <c r="J2697" s="3" t="str">
        <f t="shared" si="85"/>
        <v>Low</v>
      </c>
    </row>
    <row r="2698" spans="1:10">
      <c r="A2698" s="7" t="s">
        <v>2783</v>
      </c>
      <c r="B2698" s="18" t="s">
        <v>2168</v>
      </c>
      <c r="C2698" s="19" t="s">
        <v>2164</v>
      </c>
      <c r="D2698" s="22">
        <v>225000</v>
      </c>
      <c r="E2698" s="7">
        <v>3</v>
      </c>
      <c r="F2698" s="7">
        <v>3</v>
      </c>
      <c r="G2698" s="7">
        <v>1.1000000000000001</v>
      </c>
      <c r="H2698" s="12">
        <v>1005</v>
      </c>
      <c r="I2698" s="8">
        <f t="shared" si="84"/>
        <v>223.88059701492537</v>
      </c>
      <c r="J2698" s="3" t="str">
        <f t="shared" si="85"/>
        <v>Medium</v>
      </c>
    </row>
    <row r="2699" spans="1:10">
      <c r="A2699" s="4" t="s">
        <v>2784</v>
      </c>
      <c r="B2699" s="16" t="s">
        <v>2168</v>
      </c>
      <c r="C2699" s="17" t="s">
        <v>2164</v>
      </c>
      <c r="D2699" s="21">
        <v>225000</v>
      </c>
      <c r="E2699" s="4">
        <v>6</v>
      </c>
      <c r="F2699" s="4">
        <v>3</v>
      </c>
      <c r="G2699" s="4">
        <v>2</v>
      </c>
      <c r="H2699" s="10">
        <v>1191</v>
      </c>
      <c r="I2699" s="5">
        <f t="shared" si="84"/>
        <v>188.91687657430731</v>
      </c>
      <c r="J2699" s="3" t="str">
        <f t="shared" si="85"/>
        <v>Low</v>
      </c>
    </row>
    <row r="2700" spans="1:10">
      <c r="A2700" s="7" t="s">
        <v>2785</v>
      </c>
      <c r="B2700" s="18" t="s">
        <v>2193</v>
      </c>
      <c r="C2700" s="19" t="s">
        <v>2164</v>
      </c>
      <c r="D2700" s="22">
        <v>225000</v>
      </c>
      <c r="E2700" s="7">
        <v>13</v>
      </c>
      <c r="F2700" s="7">
        <v>3</v>
      </c>
      <c r="G2700" s="7">
        <v>1</v>
      </c>
      <c r="H2700" s="12">
        <v>1204</v>
      </c>
      <c r="I2700" s="8">
        <f t="shared" si="84"/>
        <v>186.87707641196013</v>
      </c>
      <c r="J2700" s="3" t="str">
        <f t="shared" si="85"/>
        <v>Low</v>
      </c>
    </row>
    <row r="2701" spans="1:10">
      <c r="A2701" s="4" t="s">
        <v>2786</v>
      </c>
      <c r="B2701" s="16" t="s">
        <v>2210</v>
      </c>
      <c r="C2701" s="17" t="s">
        <v>2164</v>
      </c>
      <c r="D2701" s="21">
        <v>225000</v>
      </c>
      <c r="E2701" s="4">
        <v>5</v>
      </c>
      <c r="F2701" s="4">
        <v>3</v>
      </c>
      <c r="G2701" s="4">
        <v>1</v>
      </c>
      <c r="H2701" s="10">
        <v>1354</v>
      </c>
      <c r="I2701" s="5">
        <f t="shared" si="84"/>
        <v>166.17429837518463</v>
      </c>
      <c r="J2701" s="3" t="str">
        <f t="shared" si="85"/>
        <v>Low</v>
      </c>
    </row>
    <row r="2702" spans="1:10">
      <c r="A2702" s="7" t="s">
        <v>2787</v>
      </c>
      <c r="B2702" s="18" t="s">
        <v>2168</v>
      </c>
      <c r="C2702" s="19" t="s">
        <v>2164</v>
      </c>
      <c r="D2702" s="22">
        <v>225000</v>
      </c>
      <c r="E2702" s="7">
        <v>19</v>
      </c>
      <c r="F2702" s="7">
        <v>3</v>
      </c>
      <c r="G2702" s="7">
        <v>2</v>
      </c>
      <c r="H2702" s="12">
        <v>1299</v>
      </c>
      <c r="I2702" s="8">
        <f t="shared" si="84"/>
        <v>173.21016166281754</v>
      </c>
      <c r="J2702" s="3" t="str">
        <f t="shared" si="85"/>
        <v>Low</v>
      </c>
    </row>
    <row r="2703" spans="1:10">
      <c r="A2703" s="4" t="s">
        <v>2788</v>
      </c>
      <c r="B2703" s="16" t="s">
        <v>2168</v>
      </c>
      <c r="C2703" s="17" t="s">
        <v>2164</v>
      </c>
      <c r="D2703" s="21">
        <v>225000</v>
      </c>
      <c r="E2703" s="4">
        <v>55</v>
      </c>
      <c r="F2703" s="4">
        <v>3</v>
      </c>
      <c r="G2703" s="4">
        <v>1</v>
      </c>
      <c r="H2703" s="10">
        <v>1000</v>
      </c>
      <c r="I2703" s="5">
        <f t="shared" si="84"/>
        <v>225</v>
      </c>
      <c r="J2703" s="3" t="str">
        <f t="shared" si="85"/>
        <v>Medium</v>
      </c>
    </row>
    <row r="2704" spans="1:10">
      <c r="A2704" s="7" t="s">
        <v>2789</v>
      </c>
      <c r="B2704" s="18" t="s">
        <v>2168</v>
      </c>
      <c r="C2704" s="19" t="s">
        <v>2164</v>
      </c>
      <c r="D2704" s="22">
        <v>225000</v>
      </c>
      <c r="E2704" s="7">
        <v>2</v>
      </c>
      <c r="F2704" s="7">
        <v>3</v>
      </c>
      <c r="G2704" s="7">
        <v>1.1000000000000001</v>
      </c>
      <c r="H2704" s="12">
        <v>1000</v>
      </c>
      <c r="I2704" s="8">
        <f t="shared" si="84"/>
        <v>225</v>
      </c>
      <c r="J2704" s="3" t="str">
        <f t="shared" si="85"/>
        <v>Medium</v>
      </c>
    </row>
    <row r="2705" spans="1:10">
      <c r="A2705" s="4" t="s">
        <v>2790</v>
      </c>
      <c r="B2705" s="16" t="s">
        <v>2171</v>
      </c>
      <c r="C2705" s="17" t="s">
        <v>2164</v>
      </c>
      <c r="D2705" s="21">
        <v>225000</v>
      </c>
      <c r="E2705" s="4">
        <v>31</v>
      </c>
      <c r="F2705" s="4">
        <v>2</v>
      </c>
      <c r="G2705" s="4">
        <v>1</v>
      </c>
      <c r="H2705" s="10">
        <v>1166</v>
      </c>
      <c r="I2705" s="5">
        <f t="shared" si="84"/>
        <v>192.96740994854201</v>
      </c>
      <c r="J2705" s="3" t="str">
        <f t="shared" si="85"/>
        <v>Low</v>
      </c>
    </row>
    <row r="2706" spans="1:10">
      <c r="A2706" s="7" t="s">
        <v>2791</v>
      </c>
      <c r="B2706" s="18" t="s">
        <v>2210</v>
      </c>
      <c r="C2706" s="19" t="s">
        <v>2164</v>
      </c>
      <c r="D2706" s="22">
        <v>225000</v>
      </c>
      <c r="E2706" s="7">
        <v>4</v>
      </c>
      <c r="F2706" s="7">
        <v>2</v>
      </c>
      <c r="G2706" s="7">
        <v>1.1000000000000001</v>
      </c>
      <c r="H2706" s="12">
        <v>1223</v>
      </c>
      <c r="I2706" s="8">
        <f t="shared" si="84"/>
        <v>183.9738348323794</v>
      </c>
      <c r="J2706" s="3" t="str">
        <f t="shared" si="85"/>
        <v>Low</v>
      </c>
    </row>
    <row r="2707" spans="1:10">
      <c r="A2707" s="4" t="s">
        <v>2792</v>
      </c>
      <c r="B2707" s="16" t="s">
        <v>2168</v>
      </c>
      <c r="C2707" s="17" t="s">
        <v>2164</v>
      </c>
      <c r="D2707" s="21">
        <v>225000</v>
      </c>
      <c r="E2707" s="4">
        <v>35</v>
      </c>
      <c r="F2707" s="4">
        <v>3</v>
      </c>
      <c r="G2707" s="4">
        <v>1</v>
      </c>
      <c r="H2707" s="10">
        <v>1055</v>
      </c>
      <c r="I2707" s="5">
        <f t="shared" si="84"/>
        <v>213.27014218009478</v>
      </c>
      <c r="J2707" s="3" t="str">
        <f t="shared" si="85"/>
        <v>Medium</v>
      </c>
    </row>
    <row r="2708" spans="1:10">
      <c r="A2708" s="7" t="s">
        <v>2793</v>
      </c>
      <c r="B2708" s="18" t="s">
        <v>2316</v>
      </c>
      <c r="C2708" s="19" t="s">
        <v>2164</v>
      </c>
      <c r="D2708" s="22">
        <v>225000</v>
      </c>
      <c r="E2708" s="7">
        <v>38</v>
      </c>
      <c r="F2708" s="7">
        <v>3</v>
      </c>
      <c r="G2708" s="7">
        <v>1</v>
      </c>
      <c r="H2708" s="12">
        <v>1347</v>
      </c>
      <c r="I2708" s="8">
        <f t="shared" si="84"/>
        <v>167.03786191536747</v>
      </c>
      <c r="J2708" s="3" t="str">
        <f t="shared" si="85"/>
        <v>Low</v>
      </c>
    </row>
    <row r="2709" spans="1:10">
      <c r="A2709" s="4" t="s">
        <v>2794</v>
      </c>
      <c r="B2709" s="16" t="s">
        <v>2210</v>
      </c>
      <c r="C2709" s="17" t="s">
        <v>2164</v>
      </c>
      <c r="D2709" s="21">
        <v>225000</v>
      </c>
      <c r="E2709" s="4">
        <v>71</v>
      </c>
      <c r="F2709" s="4">
        <v>3</v>
      </c>
      <c r="G2709" s="4">
        <v>1.1000000000000001</v>
      </c>
      <c r="H2709" s="10">
        <v>1396</v>
      </c>
      <c r="I2709" s="5">
        <f t="shared" si="84"/>
        <v>161.17478510028653</v>
      </c>
      <c r="J2709" s="3" t="str">
        <f t="shared" si="85"/>
        <v>Low</v>
      </c>
    </row>
    <row r="2710" spans="1:10">
      <c r="A2710" s="7" t="s">
        <v>2795</v>
      </c>
      <c r="B2710" s="18" t="s">
        <v>2193</v>
      </c>
      <c r="C2710" s="19" t="s">
        <v>2164</v>
      </c>
      <c r="D2710" s="22">
        <v>225000</v>
      </c>
      <c r="E2710" s="7">
        <v>28</v>
      </c>
      <c r="F2710" s="7">
        <v>3</v>
      </c>
      <c r="G2710" s="7">
        <v>2</v>
      </c>
      <c r="H2710" s="7">
        <v>960</v>
      </c>
      <c r="I2710" s="8">
        <f t="shared" si="84"/>
        <v>234.375</v>
      </c>
      <c r="J2710" s="3" t="str">
        <f t="shared" si="85"/>
        <v>Medium</v>
      </c>
    </row>
    <row r="2711" spans="1:10">
      <c r="A2711" s="4" t="s">
        <v>2796</v>
      </c>
      <c r="B2711" s="16" t="s">
        <v>2252</v>
      </c>
      <c r="C2711" s="17" t="s">
        <v>2164</v>
      </c>
      <c r="D2711" s="21">
        <v>225000</v>
      </c>
      <c r="E2711" s="4">
        <v>60</v>
      </c>
      <c r="F2711" s="4">
        <v>4</v>
      </c>
      <c r="G2711" s="4">
        <v>2</v>
      </c>
      <c r="H2711" s="10">
        <v>1694</v>
      </c>
      <c r="I2711" s="5">
        <f t="shared" si="84"/>
        <v>132.82172373081465</v>
      </c>
      <c r="J2711" s="3" t="str">
        <f t="shared" si="85"/>
        <v>Low</v>
      </c>
    </row>
    <row r="2712" spans="1:10">
      <c r="A2712" s="7" t="s">
        <v>2797</v>
      </c>
      <c r="B2712" s="18" t="s">
        <v>2316</v>
      </c>
      <c r="C2712" s="19" t="s">
        <v>2164</v>
      </c>
      <c r="D2712" s="22">
        <v>225000</v>
      </c>
      <c r="E2712" s="7">
        <v>203</v>
      </c>
      <c r="F2712" s="7">
        <v>4</v>
      </c>
      <c r="G2712" s="7">
        <v>2</v>
      </c>
      <c r="H2712" s="12">
        <v>1834</v>
      </c>
      <c r="I2712" s="8">
        <f t="shared" si="84"/>
        <v>122.68266085059979</v>
      </c>
      <c r="J2712" s="3" t="str">
        <f t="shared" si="85"/>
        <v>Low</v>
      </c>
    </row>
    <row r="2713" spans="1:10">
      <c r="A2713" s="4" t="s">
        <v>2798</v>
      </c>
      <c r="B2713" s="16" t="s">
        <v>2168</v>
      </c>
      <c r="C2713" s="17" t="s">
        <v>2164</v>
      </c>
      <c r="D2713" s="21">
        <v>225500</v>
      </c>
      <c r="E2713" s="4">
        <v>11</v>
      </c>
      <c r="F2713" s="4">
        <v>3</v>
      </c>
      <c r="G2713" s="4">
        <v>1.1000000000000001</v>
      </c>
      <c r="H2713" s="10">
        <v>1160</v>
      </c>
      <c r="I2713" s="5">
        <f t="shared" si="84"/>
        <v>194.39655172413794</v>
      </c>
      <c r="J2713" s="3" t="str">
        <f t="shared" si="85"/>
        <v>Low</v>
      </c>
    </row>
    <row r="2714" spans="1:10">
      <c r="A2714" s="7" t="s">
        <v>2799</v>
      </c>
      <c r="B2714" s="18" t="s">
        <v>2181</v>
      </c>
      <c r="C2714" s="19" t="s">
        <v>2164</v>
      </c>
      <c r="D2714" s="22">
        <v>226000</v>
      </c>
      <c r="E2714" s="7">
        <v>39</v>
      </c>
      <c r="F2714" s="7">
        <v>5</v>
      </c>
      <c r="G2714" s="7">
        <v>3.1</v>
      </c>
      <c r="H2714" s="12">
        <v>1478</v>
      </c>
      <c r="I2714" s="8">
        <f t="shared" si="84"/>
        <v>152.90933694181325</v>
      </c>
      <c r="J2714" s="3" t="str">
        <f t="shared" si="85"/>
        <v>Low</v>
      </c>
    </row>
    <row r="2715" spans="1:10">
      <c r="A2715" s="4" t="s">
        <v>2800</v>
      </c>
      <c r="B2715" s="16" t="s">
        <v>2168</v>
      </c>
      <c r="C2715" s="17" t="s">
        <v>2164</v>
      </c>
      <c r="D2715" s="21">
        <v>226000</v>
      </c>
      <c r="E2715" s="4">
        <v>104</v>
      </c>
      <c r="F2715" s="4">
        <v>3</v>
      </c>
      <c r="G2715" s="4">
        <v>1.1000000000000001</v>
      </c>
      <c r="H2715" s="10">
        <v>1132</v>
      </c>
      <c r="I2715" s="5">
        <f t="shared" si="84"/>
        <v>199.64664310954063</v>
      </c>
      <c r="J2715" s="3" t="str">
        <f t="shared" si="85"/>
        <v>Low</v>
      </c>
    </row>
    <row r="2716" spans="1:10">
      <c r="A2716" s="7" t="s">
        <v>2801</v>
      </c>
      <c r="B2716" s="18" t="s">
        <v>2210</v>
      </c>
      <c r="C2716" s="19" t="s">
        <v>2164</v>
      </c>
      <c r="D2716" s="22">
        <v>227000</v>
      </c>
      <c r="E2716" s="7">
        <v>11</v>
      </c>
      <c r="F2716" s="7">
        <v>3</v>
      </c>
      <c r="G2716" s="7">
        <v>1</v>
      </c>
      <c r="H2716" s="12">
        <v>1089</v>
      </c>
      <c r="I2716" s="8">
        <f t="shared" si="84"/>
        <v>208.44811753902664</v>
      </c>
      <c r="J2716" s="3" t="str">
        <f t="shared" si="85"/>
        <v>Medium</v>
      </c>
    </row>
    <row r="2717" spans="1:10">
      <c r="A2717" s="4" t="s">
        <v>2802</v>
      </c>
      <c r="B2717" s="16" t="s">
        <v>2181</v>
      </c>
      <c r="C2717" s="17" t="s">
        <v>2164</v>
      </c>
      <c r="D2717" s="21">
        <v>227000</v>
      </c>
      <c r="E2717" s="4">
        <v>26</v>
      </c>
      <c r="F2717" s="4">
        <v>3</v>
      </c>
      <c r="G2717" s="4">
        <v>1.1000000000000001</v>
      </c>
      <c r="H2717" s="4">
        <v>925</v>
      </c>
      <c r="I2717" s="5">
        <f t="shared" si="84"/>
        <v>245.40540540540542</v>
      </c>
      <c r="J2717" s="3" t="str">
        <f t="shared" si="85"/>
        <v>Medium</v>
      </c>
    </row>
    <row r="2718" spans="1:10">
      <c r="A2718" s="7" t="s">
        <v>2803</v>
      </c>
      <c r="B2718" s="18" t="s">
        <v>2252</v>
      </c>
      <c r="C2718" s="19" t="s">
        <v>2164</v>
      </c>
      <c r="D2718" s="22">
        <v>227000</v>
      </c>
      <c r="E2718" s="7">
        <v>7</v>
      </c>
      <c r="F2718" s="7">
        <v>3</v>
      </c>
      <c r="G2718" s="7">
        <v>2</v>
      </c>
      <c r="H2718" s="12">
        <v>1478</v>
      </c>
      <c r="I2718" s="8">
        <f t="shared" si="84"/>
        <v>153.58592692828145</v>
      </c>
      <c r="J2718" s="3" t="str">
        <f t="shared" si="85"/>
        <v>Low</v>
      </c>
    </row>
    <row r="2719" spans="1:10">
      <c r="A2719" s="4" t="s">
        <v>2804</v>
      </c>
      <c r="B2719" s="16" t="s">
        <v>2168</v>
      </c>
      <c r="C2719" s="17" t="s">
        <v>2164</v>
      </c>
      <c r="D2719" s="21">
        <v>227000</v>
      </c>
      <c r="E2719" s="4">
        <v>15</v>
      </c>
      <c r="F2719" s="4">
        <v>3</v>
      </c>
      <c r="G2719" s="4">
        <v>1.2</v>
      </c>
      <c r="H2719" s="10">
        <v>1781</v>
      </c>
      <c r="I2719" s="5">
        <f t="shared" si="84"/>
        <v>127.4564851207187</v>
      </c>
      <c r="J2719" s="3" t="str">
        <f t="shared" si="85"/>
        <v>Low</v>
      </c>
    </row>
    <row r="2720" spans="1:10">
      <c r="A2720" s="7" t="s">
        <v>2805</v>
      </c>
      <c r="B2720" s="18" t="s">
        <v>2168</v>
      </c>
      <c r="C2720" s="19" t="s">
        <v>2164</v>
      </c>
      <c r="D2720" s="22">
        <v>227500</v>
      </c>
      <c r="E2720" s="7">
        <v>22</v>
      </c>
      <c r="F2720" s="7">
        <v>3</v>
      </c>
      <c r="G2720" s="7">
        <v>1.1000000000000001</v>
      </c>
      <c r="H2720" s="12">
        <v>1404</v>
      </c>
      <c r="I2720" s="8">
        <f t="shared" si="84"/>
        <v>162.03703703703704</v>
      </c>
      <c r="J2720" s="3" t="str">
        <f t="shared" si="85"/>
        <v>Low</v>
      </c>
    </row>
    <row r="2721" spans="1:10">
      <c r="A2721" s="4" t="s">
        <v>2806</v>
      </c>
      <c r="B2721" s="16" t="s">
        <v>2181</v>
      </c>
      <c r="C2721" s="17" t="s">
        <v>2164</v>
      </c>
      <c r="D2721" s="21">
        <v>227500</v>
      </c>
      <c r="E2721" s="4">
        <v>51</v>
      </c>
      <c r="F2721" s="4">
        <v>3</v>
      </c>
      <c r="G2721" s="4">
        <v>1</v>
      </c>
      <c r="H2721" s="10">
        <v>1014</v>
      </c>
      <c r="I2721" s="5">
        <f t="shared" si="84"/>
        <v>224.35897435897436</v>
      </c>
      <c r="J2721" s="3" t="str">
        <f t="shared" si="85"/>
        <v>Medium</v>
      </c>
    </row>
    <row r="2722" spans="1:10">
      <c r="A2722" s="7" t="s">
        <v>2807</v>
      </c>
      <c r="B2722" s="18" t="s">
        <v>2166</v>
      </c>
      <c r="C2722" s="19" t="s">
        <v>2164</v>
      </c>
      <c r="D2722" s="22">
        <v>227500</v>
      </c>
      <c r="E2722" s="7">
        <v>6</v>
      </c>
      <c r="F2722" s="7">
        <v>3</v>
      </c>
      <c r="G2722" s="7">
        <v>2.1</v>
      </c>
      <c r="H2722" s="12">
        <v>1556</v>
      </c>
      <c r="I2722" s="8">
        <f t="shared" si="84"/>
        <v>146.20822622107968</v>
      </c>
      <c r="J2722" s="3" t="str">
        <f t="shared" si="85"/>
        <v>Low</v>
      </c>
    </row>
    <row r="2723" spans="1:10">
      <c r="A2723" s="4" t="s">
        <v>2808</v>
      </c>
      <c r="B2723" s="16" t="s">
        <v>2173</v>
      </c>
      <c r="C2723" s="17" t="s">
        <v>2164</v>
      </c>
      <c r="D2723" s="21">
        <v>228000</v>
      </c>
      <c r="E2723" s="4">
        <v>62</v>
      </c>
      <c r="F2723" s="4">
        <v>3</v>
      </c>
      <c r="G2723" s="4">
        <v>1.1000000000000001</v>
      </c>
      <c r="H2723" s="10">
        <v>1396</v>
      </c>
      <c r="I2723" s="5">
        <f t="shared" si="84"/>
        <v>163.32378223495701</v>
      </c>
      <c r="J2723" s="3" t="str">
        <f t="shared" si="85"/>
        <v>Low</v>
      </c>
    </row>
    <row r="2724" spans="1:10">
      <c r="A2724" s="7" t="s">
        <v>2809</v>
      </c>
      <c r="B2724" s="18" t="s">
        <v>2210</v>
      </c>
      <c r="C2724" s="19" t="s">
        <v>2164</v>
      </c>
      <c r="D2724" s="22">
        <v>229500</v>
      </c>
      <c r="E2724" s="7">
        <v>6</v>
      </c>
      <c r="F2724" s="7">
        <v>4</v>
      </c>
      <c r="G2724" s="7">
        <v>1.1000000000000001</v>
      </c>
      <c r="H2724" s="12">
        <v>1258</v>
      </c>
      <c r="I2724" s="8">
        <f t="shared" si="84"/>
        <v>182.43243243243242</v>
      </c>
      <c r="J2724" s="3" t="str">
        <f t="shared" si="85"/>
        <v>Low</v>
      </c>
    </row>
    <row r="2725" spans="1:10">
      <c r="A2725" s="4" t="s">
        <v>2810</v>
      </c>
      <c r="B2725" s="16" t="s">
        <v>2210</v>
      </c>
      <c r="C2725" s="17" t="s">
        <v>2164</v>
      </c>
      <c r="D2725" s="21">
        <v>229900</v>
      </c>
      <c r="E2725" s="4">
        <v>7</v>
      </c>
      <c r="F2725" s="4">
        <v>3</v>
      </c>
      <c r="G2725" s="4">
        <v>1</v>
      </c>
      <c r="H2725" s="10">
        <v>1100</v>
      </c>
      <c r="I2725" s="5">
        <f t="shared" si="84"/>
        <v>209</v>
      </c>
      <c r="J2725" s="3" t="str">
        <f t="shared" si="85"/>
        <v>Medium</v>
      </c>
    </row>
    <row r="2726" spans="1:10">
      <c r="A2726" s="7" t="s">
        <v>2811</v>
      </c>
      <c r="B2726" s="18" t="s">
        <v>2168</v>
      </c>
      <c r="C2726" s="19" t="s">
        <v>2164</v>
      </c>
      <c r="D2726" s="22">
        <v>230000</v>
      </c>
      <c r="E2726" s="7">
        <v>11</v>
      </c>
      <c r="F2726" s="7">
        <v>3</v>
      </c>
      <c r="G2726" s="7">
        <v>1.1000000000000001</v>
      </c>
      <c r="H2726" s="12">
        <v>1055</v>
      </c>
      <c r="I2726" s="8">
        <f t="shared" si="84"/>
        <v>218.00947867298578</v>
      </c>
      <c r="J2726" s="3" t="str">
        <f t="shared" si="85"/>
        <v>Medium</v>
      </c>
    </row>
    <row r="2727" spans="1:10">
      <c r="A2727" s="4" t="s">
        <v>2812</v>
      </c>
      <c r="B2727" s="16" t="s">
        <v>2210</v>
      </c>
      <c r="C2727" s="17" t="s">
        <v>2164</v>
      </c>
      <c r="D2727" s="21">
        <v>230000</v>
      </c>
      <c r="E2727" s="4">
        <v>5</v>
      </c>
      <c r="F2727" s="4">
        <v>3</v>
      </c>
      <c r="G2727" s="4">
        <v>1</v>
      </c>
      <c r="H2727" s="4">
        <v>931</v>
      </c>
      <c r="I2727" s="5">
        <f t="shared" si="84"/>
        <v>247.04618689581096</v>
      </c>
      <c r="J2727" s="3" t="str">
        <f t="shared" si="85"/>
        <v>Medium</v>
      </c>
    </row>
    <row r="2728" spans="1:10">
      <c r="A2728" s="7" t="s">
        <v>2813</v>
      </c>
      <c r="B2728" s="18" t="s">
        <v>2168</v>
      </c>
      <c r="C2728" s="19" t="s">
        <v>2164</v>
      </c>
      <c r="D2728" s="22">
        <v>230000</v>
      </c>
      <c r="E2728" s="7">
        <v>3</v>
      </c>
      <c r="F2728" s="7">
        <v>3</v>
      </c>
      <c r="G2728" s="7">
        <v>1</v>
      </c>
      <c r="H2728" s="12">
        <v>1100</v>
      </c>
      <c r="I2728" s="8">
        <f t="shared" si="84"/>
        <v>209.09090909090909</v>
      </c>
      <c r="J2728" s="3" t="str">
        <f t="shared" si="85"/>
        <v>Medium</v>
      </c>
    </row>
    <row r="2729" spans="1:10">
      <c r="A2729" s="4" t="s">
        <v>2814</v>
      </c>
      <c r="B2729" s="16" t="s">
        <v>2227</v>
      </c>
      <c r="C2729" s="17" t="s">
        <v>2164</v>
      </c>
      <c r="D2729" s="21">
        <v>230000</v>
      </c>
      <c r="E2729" s="4">
        <v>28</v>
      </c>
      <c r="F2729" s="4">
        <v>4</v>
      </c>
      <c r="G2729" s="4">
        <v>2.1</v>
      </c>
      <c r="H2729" s="10">
        <v>1774</v>
      </c>
      <c r="I2729" s="5">
        <f t="shared" si="84"/>
        <v>129.65050732807217</v>
      </c>
      <c r="J2729" s="3" t="str">
        <f t="shared" si="85"/>
        <v>Low</v>
      </c>
    </row>
    <row r="2730" spans="1:10">
      <c r="A2730" s="7" t="s">
        <v>2815</v>
      </c>
      <c r="B2730" s="18" t="s">
        <v>2181</v>
      </c>
      <c r="C2730" s="19" t="s">
        <v>2164</v>
      </c>
      <c r="D2730" s="22">
        <v>230000</v>
      </c>
      <c r="E2730" s="7">
        <v>1</v>
      </c>
      <c r="F2730" s="7">
        <v>3</v>
      </c>
      <c r="G2730" s="7">
        <v>2</v>
      </c>
      <c r="H2730" s="12">
        <v>1289</v>
      </c>
      <c r="I2730" s="8">
        <f t="shared" si="84"/>
        <v>178.43289371605897</v>
      </c>
      <c r="J2730" s="3" t="str">
        <f t="shared" si="85"/>
        <v>Low</v>
      </c>
    </row>
    <row r="2731" spans="1:10">
      <c r="A2731" s="4" t="s">
        <v>2816</v>
      </c>
      <c r="B2731" s="16" t="s">
        <v>2168</v>
      </c>
      <c r="C2731" s="17" t="s">
        <v>2164</v>
      </c>
      <c r="D2731" s="21">
        <v>230000</v>
      </c>
      <c r="E2731" s="4">
        <v>12</v>
      </c>
      <c r="F2731" s="4">
        <v>3</v>
      </c>
      <c r="G2731" s="4">
        <v>1.1000000000000001</v>
      </c>
      <c r="H2731" s="10">
        <v>1332</v>
      </c>
      <c r="I2731" s="5">
        <f t="shared" si="84"/>
        <v>172.67267267267266</v>
      </c>
      <c r="J2731" s="3" t="str">
        <f t="shared" si="85"/>
        <v>Low</v>
      </c>
    </row>
    <row r="2732" spans="1:10">
      <c r="A2732" s="7" t="s">
        <v>2817</v>
      </c>
      <c r="B2732" s="18" t="s">
        <v>2210</v>
      </c>
      <c r="C2732" s="19" t="s">
        <v>2164</v>
      </c>
      <c r="D2732" s="22">
        <v>230000</v>
      </c>
      <c r="E2732" s="7">
        <v>11</v>
      </c>
      <c r="F2732" s="7">
        <v>3</v>
      </c>
      <c r="G2732" s="7">
        <v>1.1000000000000001</v>
      </c>
      <c r="H2732" s="12">
        <v>1223</v>
      </c>
      <c r="I2732" s="8">
        <f t="shared" si="84"/>
        <v>188.06214227309894</v>
      </c>
      <c r="J2732" s="3" t="str">
        <f t="shared" si="85"/>
        <v>Low</v>
      </c>
    </row>
    <row r="2733" spans="1:10">
      <c r="A2733" s="4" t="s">
        <v>2818</v>
      </c>
      <c r="B2733" s="16" t="s">
        <v>2181</v>
      </c>
      <c r="C2733" s="17" t="s">
        <v>2164</v>
      </c>
      <c r="D2733" s="21">
        <v>230000</v>
      </c>
      <c r="E2733" s="4">
        <v>4</v>
      </c>
      <c r="F2733" s="4">
        <v>3</v>
      </c>
      <c r="G2733" s="4">
        <v>1.1000000000000001</v>
      </c>
      <c r="H2733" s="10">
        <v>1075</v>
      </c>
      <c r="I2733" s="5">
        <f t="shared" si="84"/>
        <v>213.95348837209303</v>
      </c>
      <c r="J2733" s="3" t="str">
        <f t="shared" si="85"/>
        <v>Medium</v>
      </c>
    </row>
    <row r="2734" spans="1:10">
      <c r="A2734" s="7" t="s">
        <v>2819</v>
      </c>
      <c r="B2734" s="18" t="s">
        <v>2210</v>
      </c>
      <c r="C2734" s="19" t="s">
        <v>2164</v>
      </c>
      <c r="D2734" s="22">
        <v>230000</v>
      </c>
      <c r="E2734" s="7">
        <v>11</v>
      </c>
      <c r="F2734" s="7">
        <v>3</v>
      </c>
      <c r="G2734" s="7">
        <v>1</v>
      </c>
      <c r="H2734" s="12">
        <v>1060</v>
      </c>
      <c r="I2734" s="8">
        <f t="shared" si="84"/>
        <v>216.98113207547169</v>
      </c>
      <c r="J2734" s="3" t="str">
        <f t="shared" si="85"/>
        <v>Medium</v>
      </c>
    </row>
    <row r="2735" spans="1:10">
      <c r="A2735" s="4" t="s">
        <v>2820</v>
      </c>
      <c r="B2735" s="16" t="s">
        <v>2210</v>
      </c>
      <c r="C2735" s="17" t="s">
        <v>2164</v>
      </c>
      <c r="D2735" s="21">
        <v>230000</v>
      </c>
      <c r="E2735" s="4">
        <v>8</v>
      </c>
      <c r="F2735" s="4">
        <v>3</v>
      </c>
      <c r="G2735" s="4">
        <v>1.1000000000000001</v>
      </c>
      <c r="H2735" s="10">
        <v>1057</v>
      </c>
      <c r="I2735" s="5">
        <f t="shared" si="84"/>
        <v>217.59697256385999</v>
      </c>
      <c r="J2735" s="3" t="str">
        <f t="shared" si="85"/>
        <v>Medium</v>
      </c>
    </row>
    <row r="2736" spans="1:10">
      <c r="A2736" s="7" t="s">
        <v>2821</v>
      </c>
      <c r="B2736" s="18" t="s">
        <v>2210</v>
      </c>
      <c r="C2736" s="19" t="s">
        <v>2164</v>
      </c>
      <c r="D2736" s="22">
        <v>230000</v>
      </c>
      <c r="E2736" s="7">
        <v>21</v>
      </c>
      <c r="F2736" s="7">
        <v>3</v>
      </c>
      <c r="G2736" s="7">
        <v>1</v>
      </c>
      <c r="H2736" s="12">
        <v>1069</v>
      </c>
      <c r="I2736" s="8">
        <f t="shared" si="84"/>
        <v>215.15434985968196</v>
      </c>
      <c r="J2736" s="3" t="str">
        <f t="shared" si="85"/>
        <v>Medium</v>
      </c>
    </row>
    <row r="2737" spans="1:10">
      <c r="A2737" s="4" t="s">
        <v>2822</v>
      </c>
      <c r="B2737" s="16" t="s">
        <v>2210</v>
      </c>
      <c r="C2737" s="17" t="s">
        <v>2164</v>
      </c>
      <c r="D2737" s="21">
        <v>230000</v>
      </c>
      <c r="E2737" s="4">
        <v>34</v>
      </c>
      <c r="F2737" s="4">
        <v>3</v>
      </c>
      <c r="G2737" s="4">
        <v>1.1000000000000001</v>
      </c>
      <c r="H2737" s="4">
        <v>937</v>
      </c>
      <c r="I2737" s="5">
        <f t="shared" si="84"/>
        <v>245.46424759871931</v>
      </c>
      <c r="J2737" s="3" t="str">
        <f t="shared" si="85"/>
        <v>Medium</v>
      </c>
    </row>
    <row r="2738" spans="1:10">
      <c r="A2738" s="7" t="s">
        <v>2823</v>
      </c>
      <c r="B2738" s="18" t="s">
        <v>2181</v>
      </c>
      <c r="C2738" s="19" t="s">
        <v>2164</v>
      </c>
      <c r="D2738" s="22">
        <v>230000</v>
      </c>
      <c r="E2738" s="7">
        <v>11</v>
      </c>
      <c r="F2738" s="7">
        <v>3</v>
      </c>
      <c r="G2738" s="7">
        <v>1.1000000000000001</v>
      </c>
      <c r="H2738" s="12">
        <v>1353</v>
      </c>
      <c r="I2738" s="8">
        <f t="shared" si="84"/>
        <v>169.99260901699927</v>
      </c>
      <c r="J2738" s="3" t="str">
        <f t="shared" si="85"/>
        <v>Low</v>
      </c>
    </row>
    <row r="2739" spans="1:10">
      <c r="A2739" s="4" t="s">
        <v>2824</v>
      </c>
      <c r="B2739" s="16" t="s">
        <v>2210</v>
      </c>
      <c r="C2739" s="17" t="s">
        <v>2164</v>
      </c>
      <c r="D2739" s="21">
        <v>230000</v>
      </c>
      <c r="E2739" s="4">
        <v>7</v>
      </c>
      <c r="F2739" s="4">
        <v>3</v>
      </c>
      <c r="G2739" s="4">
        <v>1.1000000000000001</v>
      </c>
      <c r="H2739" s="10">
        <v>1370</v>
      </c>
      <c r="I2739" s="5">
        <f t="shared" si="84"/>
        <v>167.88321167883211</v>
      </c>
      <c r="J2739" s="3" t="str">
        <f t="shared" si="85"/>
        <v>Low</v>
      </c>
    </row>
    <row r="2740" spans="1:10">
      <c r="A2740" s="7" t="s">
        <v>2825</v>
      </c>
      <c r="B2740" s="18" t="s">
        <v>2210</v>
      </c>
      <c r="C2740" s="19" t="s">
        <v>2164</v>
      </c>
      <c r="D2740" s="22">
        <v>230000</v>
      </c>
      <c r="E2740" s="7">
        <v>14</v>
      </c>
      <c r="F2740" s="7">
        <v>3</v>
      </c>
      <c r="G2740" s="7">
        <v>1.1000000000000001</v>
      </c>
      <c r="H2740" s="12">
        <v>1000</v>
      </c>
      <c r="I2740" s="8">
        <f t="shared" si="84"/>
        <v>230</v>
      </c>
      <c r="J2740" s="3" t="str">
        <f t="shared" si="85"/>
        <v>Medium</v>
      </c>
    </row>
    <row r="2741" spans="1:10">
      <c r="A2741" s="4" t="s">
        <v>2826</v>
      </c>
      <c r="B2741" s="16" t="s">
        <v>2168</v>
      </c>
      <c r="C2741" s="17" t="s">
        <v>2164</v>
      </c>
      <c r="D2741" s="21">
        <v>230000</v>
      </c>
      <c r="E2741" s="4">
        <v>50</v>
      </c>
      <c r="F2741" s="4">
        <v>4</v>
      </c>
      <c r="G2741" s="4">
        <v>1.1000000000000001</v>
      </c>
      <c r="H2741" s="10">
        <v>1347</v>
      </c>
      <c r="I2741" s="5">
        <f t="shared" si="84"/>
        <v>170.74981440237565</v>
      </c>
      <c r="J2741" s="3" t="str">
        <f t="shared" si="85"/>
        <v>Low</v>
      </c>
    </row>
    <row r="2742" spans="1:10">
      <c r="A2742" s="7" t="s">
        <v>2827</v>
      </c>
      <c r="B2742" s="18" t="s">
        <v>2168</v>
      </c>
      <c r="C2742" s="19" t="s">
        <v>2164</v>
      </c>
      <c r="D2742" s="22">
        <v>230000</v>
      </c>
      <c r="E2742" s="7">
        <v>481</v>
      </c>
      <c r="F2742" s="7">
        <v>3</v>
      </c>
      <c r="G2742" s="7">
        <v>2</v>
      </c>
      <c r="H2742" s="12">
        <v>1109</v>
      </c>
      <c r="I2742" s="8">
        <f t="shared" si="84"/>
        <v>207.39404869251578</v>
      </c>
      <c r="J2742" s="3" t="str">
        <f t="shared" si="85"/>
        <v>Medium</v>
      </c>
    </row>
    <row r="2743" spans="1:10">
      <c r="A2743" s="4" t="s">
        <v>2828</v>
      </c>
      <c r="B2743" s="16" t="s">
        <v>2316</v>
      </c>
      <c r="C2743" s="17" t="s">
        <v>2164</v>
      </c>
      <c r="D2743" s="21">
        <v>230000</v>
      </c>
      <c r="E2743" s="4">
        <v>42</v>
      </c>
      <c r="F2743" s="4">
        <v>3</v>
      </c>
      <c r="G2743" s="4">
        <v>2</v>
      </c>
      <c r="H2743" s="10">
        <v>1732</v>
      </c>
      <c r="I2743" s="5">
        <f t="shared" si="84"/>
        <v>132.79445727482678</v>
      </c>
      <c r="J2743" s="3" t="str">
        <f t="shared" si="85"/>
        <v>Low</v>
      </c>
    </row>
    <row r="2744" spans="1:10">
      <c r="A2744" s="7" t="s">
        <v>2829</v>
      </c>
      <c r="B2744" s="18" t="s">
        <v>2193</v>
      </c>
      <c r="C2744" s="19" t="s">
        <v>2164</v>
      </c>
      <c r="D2744" s="22">
        <v>230000</v>
      </c>
      <c r="E2744" s="7">
        <v>94</v>
      </c>
      <c r="F2744" s="7">
        <v>3</v>
      </c>
      <c r="G2744" s="7">
        <v>2</v>
      </c>
      <c r="H2744" s="12">
        <v>1452</v>
      </c>
      <c r="I2744" s="8">
        <f t="shared" si="84"/>
        <v>158.40220385674931</v>
      </c>
      <c r="J2744" s="3" t="str">
        <f t="shared" si="85"/>
        <v>Low</v>
      </c>
    </row>
    <row r="2745" spans="1:10">
      <c r="A2745" s="4" t="s">
        <v>2830</v>
      </c>
      <c r="B2745" s="16" t="s">
        <v>2181</v>
      </c>
      <c r="C2745" s="17" t="s">
        <v>2164</v>
      </c>
      <c r="D2745" s="21">
        <v>230000</v>
      </c>
      <c r="E2745" s="4">
        <v>75</v>
      </c>
      <c r="F2745" s="4">
        <v>4</v>
      </c>
      <c r="G2745" s="4">
        <v>2</v>
      </c>
      <c r="H2745" s="10">
        <v>1475</v>
      </c>
      <c r="I2745" s="5">
        <f t="shared" si="84"/>
        <v>155.93220338983051</v>
      </c>
      <c r="J2745" s="3" t="str">
        <f t="shared" si="85"/>
        <v>Low</v>
      </c>
    </row>
    <row r="2746" spans="1:10">
      <c r="A2746" s="7" t="s">
        <v>2831</v>
      </c>
      <c r="B2746" s="18" t="s">
        <v>2210</v>
      </c>
      <c r="C2746" s="19" t="s">
        <v>2164</v>
      </c>
      <c r="D2746" s="22">
        <v>231000</v>
      </c>
      <c r="E2746" s="7">
        <v>41</v>
      </c>
      <c r="F2746" s="7">
        <v>3</v>
      </c>
      <c r="G2746" s="7">
        <v>1</v>
      </c>
      <c r="H2746" s="12">
        <v>1287</v>
      </c>
      <c r="I2746" s="8">
        <f t="shared" si="84"/>
        <v>179.48717948717947</v>
      </c>
      <c r="J2746" s="3" t="str">
        <f t="shared" si="85"/>
        <v>Low</v>
      </c>
    </row>
    <row r="2747" spans="1:10">
      <c r="A2747" s="4" t="s">
        <v>2832</v>
      </c>
      <c r="B2747" s="16" t="s">
        <v>2168</v>
      </c>
      <c r="C2747" s="17" t="s">
        <v>2164</v>
      </c>
      <c r="D2747" s="21">
        <v>233000</v>
      </c>
      <c r="E2747" s="4">
        <v>90</v>
      </c>
      <c r="F2747" s="4">
        <v>3</v>
      </c>
      <c r="G2747" s="4">
        <v>1</v>
      </c>
      <c r="H2747" s="4">
        <v>919</v>
      </c>
      <c r="I2747" s="5">
        <f t="shared" si="84"/>
        <v>253.53645266594123</v>
      </c>
      <c r="J2747" s="3" t="str">
        <f t="shared" si="85"/>
        <v>Medium</v>
      </c>
    </row>
    <row r="2748" spans="1:10">
      <c r="A2748" s="7" t="s">
        <v>2833</v>
      </c>
      <c r="B2748" s="18" t="s">
        <v>2166</v>
      </c>
      <c r="C2748" s="19" t="s">
        <v>2164</v>
      </c>
      <c r="D2748" s="22">
        <v>234900</v>
      </c>
      <c r="E2748" s="7">
        <v>2</v>
      </c>
      <c r="F2748" s="7">
        <v>4</v>
      </c>
      <c r="G2748" s="7">
        <v>2.1</v>
      </c>
      <c r="H2748" s="12">
        <v>1500</v>
      </c>
      <c r="I2748" s="8">
        <f t="shared" si="84"/>
        <v>156.6</v>
      </c>
      <c r="J2748" s="3" t="str">
        <f t="shared" si="85"/>
        <v>Low</v>
      </c>
    </row>
    <row r="2749" spans="1:10">
      <c r="A2749" s="4" t="s">
        <v>2834</v>
      </c>
      <c r="B2749" s="16" t="s">
        <v>2163</v>
      </c>
      <c r="C2749" s="17" t="s">
        <v>2164</v>
      </c>
      <c r="D2749" s="21">
        <v>235000</v>
      </c>
      <c r="E2749" s="4">
        <v>0</v>
      </c>
      <c r="F2749" s="4">
        <v>3</v>
      </c>
      <c r="G2749" s="4">
        <v>2.1</v>
      </c>
      <c r="H2749" s="10">
        <v>1545</v>
      </c>
      <c r="I2749" s="5">
        <f t="shared" si="84"/>
        <v>152.10355987055016</v>
      </c>
      <c r="J2749" s="3" t="str">
        <f t="shared" si="85"/>
        <v>Low</v>
      </c>
    </row>
    <row r="2750" spans="1:10">
      <c r="A2750" s="7" t="s">
        <v>2835</v>
      </c>
      <c r="B2750" s="18" t="s">
        <v>2210</v>
      </c>
      <c r="C2750" s="19" t="s">
        <v>2164</v>
      </c>
      <c r="D2750" s="22">
        <v>235000</v>
      </c>
      <c r="E2750" s="7">
        <v>4</v>
      </c>
      <c r="F2750" s="7">
        <v>3</v>
      </c>
      <c r="G2750" s="7">
        <v>2</v>
      </c>
      <c r="H2750" s="12">
        <v>1000</v>
      </c>
      <c r="I2750" s="8">
        <f t="shared" si="84"/>
        <v>235</v>
      </c>
      <c r="J2750" s="3" t="str">
        <f t="shared" si="85"/>
        <v>Medium</v>
      </c>
    </row>
    <row r="2751" spans="1:10">
      <c r="A2751" s="4" t="s">
        <v>2836</v>
      </c>
      <c r="B2751" s="16" t="s">
        <v>2168</v>
      </c>
      <c r="C2751" s="17" t="s">
        <v>2164</v>
      </c>
      <c r="D2751" s="21">
        <v>235000</v>
      </c>
      <c r="E2751" s="4">
        <v>3</v>
      </c>
      <c r="F2751" s="4">
        <v>3</v>
      </c>
      <c r="G2751" s="4">
        <v>2.1</v>
      </c>
      <c r="H2751" s="10">
        <v>1160</v>
      </c>
      <c r="I2751" s="5">
        <f t="shared" si="84"/>
        <v>202.58620689655172</v>
      </c>
      <c r="J2751" s="3" t="str">
        <f t="shared" si="85"/>
        <v>Medium</v>
      </c>
    </row>
    <row r="2752" spans="1:10">
      <c r="A2752" s="7" t="s">
        <v>2837</v>
      </c>
      <c r="B2752" s="18" t="s">
        <v>2181</v>
      </c>
      <c r="C2752" s="19" t="s">
        <v>2164</v>
      </c>
      <c r="D2752" s="22">
        <v>235000</v>
      </c>
      <c r="E2752" s="7">
        <v>5</v>
      </c>
      <c r="F2752" s="7">
        <v>3</v>
      </c>
      <c r="G2752" s="7">
        <v>1</v>
      </c>
      <c r="H2752" s="12">
        <v>1036</v>
      </c>
      <c r="I2752" s="8">
        <f t="shared" si="84"/>
        <v>226.83397683397683</v>
      </c>
      <c r="J2752" s="3" t="str">
        <f t="shared" si="85"/>
        <v>Medium</v>
      </c>
    </row>
    <row r="2753" spans="1:10">
      <c r="A2753" s="4" t="s">
        <v>2838</v>
      </c>
      <c r="B2753" s="16" t="s">
        <v>2168</v>
      </c>
      <c r="C2753" s="17" t="s">
        <v>2164</v>
      </c>
      <c r="D2753" s="21">
        <v>235000</v>
      </c>
      <c r="E2753" s="4">
        <v>4</v>
      </c>
      <c r="F2753" s="4">
        <v>3</v>
      </c>
      <c r="G2753" s="4">
        <v>1.1000000000000001</v>
      </c>
      <c r="H2753" s="10">
        <v>1145</v>
      </c>
      <c r="I2753" s="5">
        <f t="shared" si="84"/>
        <v>205.24017467248908</v>
      </c>
      <c r="J2753" s="3" t="str">
        <f t="shared" si="85"/>
        <v>Medium</v>
      </c>
    </row>
    <row r="2754" spans="1:10">
      <c r="A2754" s="7" t="s">
        <v>2839</v>
      </c>
      <c r="B2754" s="18" t="s">
        <v>2181</v>
      </c>
      <c r="C2754" s="19" t="s">
        <v>2164</v>
      </c>
      <c r="D2754" s="22">
        <v>235000</v>
      </c>
      <c r="E2754" s="7">
        <v>1</v>
      </c>
      <c r="F2754" s="7">
        <v>3</v>
      </c>
      <c r="G2754" s="7">
        <v>1.1000000000000001</v>
      </c>
      <c r="H2754" s="12">
        <v>1505</v>
      </c>
      <c r="I2754" s="8">
        <f t="shared" ref="I2754:I2817" si="86">D2754/H2754</f>
        <v>156.14617940199335</v>
      </c>
      <c r="J2754" s="3" t="str">
        <f t="shared" ref="J2754:J2817" si="87">IF(I2754 &gt; 300, "High", IF(AND(I2754 &lt;= 300, I2754 &gt; 200), "Medium", "Low"))</f>
        <v>Low</v>
      </c>
    </row>
    <row r="2755" spans="1:10">
      <c r="A2755" s="4" t="s">
        <v>2840</v>
      </c>
      <c r="B2755" s="16" t="s">
        <v>2168</v>
      </c>
      <c r="C2755" s="17" t="s">
        <v>2164</v>
      </c>
      <c r="D2755" s="21">
        <v>235000</v>
      </c>
      <c r="E2755" s="4">
        <v>12</v>
      </c>
      <c r="F2755" s="4">
        <v>3</v>
      </c>
      <c r="G2755" s="4">
        <v>1.1000000000000001</v>
      </c>
      <c r="H2755" s="10">
        <v>1308</v>
      </c>
      <c r="I2755" s="5">
        <f t="shared" si="86"/>
        <v>179.66360856269114</v>
      </c>
      <c r="J2755" s="3" t="str">
        <f t="shared" si="87"/>
        <v>Low</v>
      </c>
    </row>
    <row r="2756" spans="1:10">
      <c r="A2756" s="7" t="s">
        <v>2841</v>
      </c>
      <c r="B2756" s="18" t="s">
        <v>2163</v>
      </c>
      <c r="C2756" s="19" t="s">
        <v>2164</v>
      </c>
      <c r="D2756" s="22">
        <v>235000</v>
      </c>
      <c r="E2756" s="7">
        <v>20</v>
      </c>
      <c r="F2756" s="7">
        <v>3</v>
      </c>
      <c r="G2756" s="7">
        <v>1.1000000000000001</v>
      </c>
      <c r="H2756" s="12">
        <v>1527</v>
      </c>
      <c r="I2756" s="8">
        <f t="shared" si="86"/>
        <v>153.8965291421087</v>
      </c>
      <c r="J2756" s="3" t="str">
        <f t="shared" si="87"/>
        <v>Low</v>
      </c>
    </row>
    <row r="2757" spans="1:10">
      <c r="A2757" s="4" t="s">
        <v>2842</v>
      </c>
      <c r="B2757" s="16" t="s">
        <v>2168</v>
      </c>
      <c r="C2757" s="17" t="s">
        <v>2164</v>
      </c>
      <c r="D2757" s="21">
        <v>235000</v>
      </c>
      <c r="E2757" s="4">
        <v>12</v>
      </c>
      <c r="F2757" s="4">
        <v>3</v>
      </c>
      <c r="G2757" s="4">
        <v>2.1</v>
      </c>
      <c r="H2757" s="10">
        <v>1249</v>
      </c>
      <c r="I2757" s="5">
        <f t="shared" si="86"/>
        <v>188.15052041633308</v>
      </c>
      <c r="J2757" s="3" t="str">
        <f t="shared" si="87"/>
        <v>Low</v>
      </c>
    </row>
    <row r="2758" spans="1:10">
      <c r="A2758" s="7" t="s">
        <v>2843</v>
      </c>
      <c r="B2758" s="18" t="s">
        <v>2316</v>
      </c>
      <c r="C2758" s="19" t="s">
        <v>2164</v>
      </c>
      <c r="D2758" s="22">
        <v>235000</v>
      </c>
      <c r="E2758" s="7">
        <v>14</v>
      </c>
      <c r="F2758" s="7">
        <v>3</v>
      </c>
      <c r="G2758" s="7">
        <v>1</v>
      </c>
      <c r="H2758" s="7">
        <v>906</v>
      </c>
      <c r="I2758" s="8">
        <f t="shared" si="86"/>
        <v>259.38189845474614</v>
      </c>
      <c r="J2758" s="3" t="str">
        <f t="shared" si="87"/>
        <v>Medium</v>
      </c>
    </row>
    <row r="2759" spans="1:10">
      <c r="A2759" s="4" t="s">
        <v>2844</v>
      </c>
      <c r="B2759" s="16" t="s">
        <v>2181</v>
      </c>
      <c r="C2759" s="17" t="s">
        <v>2164</v>
      </c>
      <c r="D2759" s="21">
        <v>235000</v>
      </c>
      <c r="E2759" s="4">
        <v>6</v>
      </c>
      <c r="F2759" s="4">
        <v>3</v>
      </c>
      <c r="G2759" s="4">
        <v>2</v>
      </c>
      <c r="H2759" s="10">
        <v>1505</v>
      </c>
      <c r="I2759" s="5">
        <f t="shared" si="86"/>
        <v>156.14617940199335</v>
      </c>
      <c r="J2759" s="3" t="str">
        <f t="shared" si="87"/>
        <v>Low</v>
      </c>
    </row>
    <row r="2760" spans="1:10">
      <c r="A2760" s="7" t="s">
        <v>2845</v>
      </c>
      <c r="B2760" s="18" t="s">
        <v>2168</v>
      </c>
      <c r="C2760" s="19" t="s">
        <v>2164</v>
      </c>
      <c r="D2760" s="22">
        <v>235000</v>
      </c>
      <c r="E2760" s="7">
        <v>7</v>
      </c>
      <c r="F2760" s="7">
        <v>3</v>
      </c>
      <c r="G2760" s="7">
        <v>2</v>
      </c>
      <c r="H2760" s="12">
        <v>1340</v>
      </c>
      <c r="I2760" s="8">
        <f t="shared" si="86"/>
        <v>175.37313432835822</v>
      </c>
      <c r="J2760" s="3" t="str">
        <f t="shared" si="87"/>
        <v>Low</v>
      </c>
    </row>
    <row r="2761" spans="1:10">
      <c r="A2761" s="4" t="s">
        <v>2846</v>
      </c>
      <c r="B2761" s="16" t="s">
        <v>2210</v>
      </c>
      <c r="C2761" s="17" t="s">
        <v>2164</v>
      </c>
      <c r="D2761" s="21">
        <v>235000</v>
      </c>
      <c r="E2761" s="4">
        <v>8</v>
      </c>
      <c r="F2761" s="4">
        <v>3</v>
      </c>
      <c r="G2761" s="4">
        <v>2</v>
      </c>
      <c r="H2761" s="10">
        <v>1026</v>
      </c>
      <c r="I2761" s="5">
        <f t="shared" si="86"/>
        <v>229.0448343079922</v>
      </c>
      <c r="J2761" s="3" t="str">
        <f t="shared" si="87"/>
        <v>Medium</v>
      </c>
    </row>
    <row r="2762" spans="1:10">
      <c r="A2762" s="7" t="s">
        <v>2847</v>
      </c>
      <c r="B2762" s="18" t="s">
        <v>2252</v>
      </c>
      <c r="C2762" s="19" t="s">
        <v>2164</v>
      </c>
      <c r="D2762" s="22">
        <v>235000</v>
      </c>
      <c r="E2762" s="7">
        <v>19</v>
      </c>
      <c r="F2762" s="7">
        <v>3</v>
      </c>
      <c r="G2762" s="7">
        <v>2.1</v>
      </c>
      <c r="H2762" s="12">
        <v>1737</v>
      </c>
      <c r="I2762" s="8">
        <f t="shared" si="86"/>
        <v>135.29073114565344</v>
      </c>
      <c r="J2762" s="3" t="str">
        <f t="shared" si="87"/>
        <v>Low</v>
      </c>
    </row>
    <row r="2763" spans="1:10">
      <c r="A2763" s="4" t="s">
        <v>2848</v>
      </c>
      <c r="B2763" s="16" t="s">
        <v>2168</v>
      </c>
      <c r="C2763" s="17" t="s">
        <v>2164</v>
      </c>
      <c r="D2763" s="21">
        <v>235000</v>
      </c>
      <c r="E2763" s="4">
        <v>17</v>
      </c>
      <c r="F2763" s="4">
        <v>3</v>
      </c>
      <c r="G2763" s="4">
        <v>2.1</v>
      </c>
      <c r="H2763" s="10">
        <v>1500</v>
      </c>
      <c r="I2763" s="5">
        <f t="shared" si="86"/>
        <v>156.66666666666666</v>
      </c>
      <c r="J2763" s="3" t="str">
        <f t="shared" si="87"/>
        <v>Low</v>
      </c>
    </row>
    <row r="2764" spans="1:10">
      <c r="A2764" s="7" t="s">
        <v>2849</v>
      </c>
      <c r="B2764" s="18" t="s">
        <v>2168</v>
      </c>
      <c r="C2764" s="19" t="s">
        <v>2164</v>
      </c>
      <c r="D2764" s="22">
        <v>235000</v>
      </c>
      <c r="E2764" s="7">
        <v>4</v>
      </c>
      <c r="F2764" s="7">
        <v>3</v>
      </c>
      <c r="G2764" s="7">
        <v>1.1000000000000001</v>
      </c>
      <c r="H2764" s="12">
        <v>1453</v>
      </c>
      <c r="I2764" s="8">
        <f t="shared" si="86"/>
        <v>161.73434273916035</v>
      </c>
      <c r="J2764" s="3" t="str">
        <f t="shared" si="87"/>
        <v>Low</v>
      </c>
    </row>
    <row r="2765" spans="1:10">
      <c r="A2765" s="4" t="s">
        <v>2850</v>
      </c>
      <c r="B2765" s="16" t="s">
        <v>2210</v>
      </c>
      <c r="C2765" s="17" t="s">
        <v>2164</v>
      </c>
      <c r="D2765" s="21">
        <v>235000</v>
      </c>
      <c r="E2765" s="4">
        <v>2</v>
      </c>
      <c r="F2765" s="4">
        <v>3</v>
      </c>
      <c r="G2765" s="4">
        <v>2</v>
      </c>
      <c r="H2765" s="10">
        <v>1026</v>
      </c>
      <c r="I2765" s="5">
        <f t="shared" si="86"/>
        <v>229.0448343079922</v>
      </c>
      <c r="J2765" s="3" t="str">
        <f t="shared" si="87"/>
        <v>Medium</v>
      </c>
    </row>
    <row r="2766" spans="1:10">
      <c r="A2766" s="7" t="s">
        <v>2851</v>
      </c>
      <c r="B2766" s="18" t="s">
        <v>2168</v>
      </c>
      <c r="C2766" s="19" t="s">
        <v>2164</v>
      </c>
      <c r="D2766" s="22">
        <v>235000</v>
      </c>
      <c r="E2766" s="7">
        <v>32</v>
      </c>
      <c r="F2766" s="7">
        <v>3</v>
      </c>
      <c r="G2766" s="7">
        <v>1.1000000000000001</v>
      </c>
      <c r="H2766" s="12">
        <v>1471</v>
      </c>
      <c r="I2766" s="8">
        <f t="shared" si="86"/>
        <v>159.75526852481306</v>
      </c>
      <c r="J2766" s="3" t="str">
        <f t="shared" si="87"/>
        <v>Low</v>
      </c>
    </row>
    <row r="2767" spans="1:10">
      <c r="A2767" s="4" t="s">
        <v>2852</v>
      </c>
      <c r="B2767" s="16" t="s">
        <v>2210</v>
      </c>
      <c r="C2767" s="17" t="s">
        <v>2164</v>
      </c>
      <c r="D2767" s="21">
        <v>235000</v>
      </c>
      <c r="E2767" s="4">
        <v>52</v>
      </c>
      <c r="F2767" s="4">
        <v>3</v>
      </c>
      <c r="G2767" s="4">
        <v>1.1000000000000001</v>
      </c>
      <c r="H2767" s="10">
        <v>1143</v>
      </c>
      <c r="I2767" s="5">
        <f t="shared" si="86"/>
        <v>205.59930008748907</v>
      </c>
      <c r="J2767" s="3" t="str">
        <f t="shared" si="87"/>
        <v>Medium</v>
      </c>
    </row>
    <row r="2768" spans="1:10">
      <c r="A2768" s="7" t="s">
        <v>2853</v>
      </c>
      <c r="B2768" s="18" t="s">
        <v>2168</v>
      </c>
      <c r="C2768" s="19" t="s">
        <v>2164</v>
      </c>
      <c r="D2768" s="22">
        <v>235000</v>
      </c>
      <c r="E2768" s="7">
        <v>12</v>
      </c>
      <c r="F2768" s="7">
        <v>4</v>
      </c>
      <c r="G2768" s="7">
        <v>3</v>
      </c>
      <c r="H2768" s="12">
        <v>1610</v>
      </c>
      <c r="I2768" s="8">
        <f t="shared" si="86"/>
        <v>145.96273291925465</v>
      </c>
      <c r="J2768" s="3" t="str">
        <f t="shared" si="87"/>
        <v>Low</v>
      </c>
    </row>
    <row r="2769" spans="1:10">
      <c r="A2769" s="4" t="s">
        <v>2854</v>
      </c>
      <c r="B2769" s="16" t="s">
        <v>2168</v>
      </c>
      <c r="C2769" s="17" t="s">
        <v>2164</v>
      </c>
      <c r="D2769" s="21">
        <v>235000</v>
      </c>
      <c r="E2769" s="4">
        <v>6</v>
      </c>
      <c r="F2769" s="4">
        <v>3</v>
      </c>
      <c r="G2769" s="4">
        <v>1.1000000000000001</v>
      </c>
      <c r="H2769" s="10">
        <v>1571</v>
      </c>
      <c r="I2769" s="5">
        <f t="shared" si="86"/>
        <v>149.58625079567156</v>
      </c>
      <c r="J2769" s="3" t="str">
        <f t="shared" si="87"/>
        <v>Low</v>
      </c>
    </row>
    <row r="2770" spans="1:10">
      <c r="A2770" s="7" t="s">
        <v>2855</v>
      </c>
      <c r="B2770" s="18" t="s">
        <v>2168</v>
      </c>
      <c r="C2770" s="19" t="s">
        <v>2164</v>
      </c>
      <c r="D2770" s="22">
        <v>235000</v>
      </c>
      <c r="E2770" s="7">
        <v>49</v>
      </c>
      <c r="F2770" s="7">
        <v>3</v>
      </c>
      <c r="G2770" s="7">
        <v>1.2</v>
      </c>
      <c r="H2770" s="12">
        <v>2189</v>
      </c>
      <c r="I2770" s="8">
        <f t="shared" si="86"/>
        <v>107.35495660118775</v>
      </c>
      <c r="J2770" s="3" t="str">
        <f t="shared" si="87"/>
        <v>Low</v>
      </c>
    </row>
    <row r="2771" spans="1:10">
      <c r="A2771" s="4" t="s">
        <v>2856</v>
      </c>
      <c r="B2771" s="16" t="s">
        <v>2210</v>
      </c>
      <c r="C2771" s="17" t="s">
        <v>2164</v>
      </c>
      <c r="D2771" s="21">
        <v>235000</v>
      </c>
      <c r="E2771" s="4">
        <v>118</v>
      </c>
      <c r="F2771" s="4">
        <v>4</v>
      </c>
      <c r="G2771" s="4">
        <v>1.1000000000000001</v>
      </c>
      <c r="H2771" s="10">
        <v>1136</v>
      </c>
      <c r="I2771" s="5">
        <f t="shared" si="86"/>
        <v>206.86619718309859</v>
      </c>
      <c r="J2771" s="3" t="str">
        <f t="shared" si="87"/>
        <v>Medium</v>
      </c>
    </row>
    <row r="2772" spans="1:10">
      <c r="A2772" s="7" t="s">
        <v>2857</v>
      </c>
      <c r="B2772" s="18" t="s">
        <v>2168</v>
      </c>
      <c r="C2772" s="19" t="s">
        <v>2164</v>
      </c>
      <c r="D2772" s="22">
        <v>236000</v>
      </c>
      <c r="E2772" s="7">
        <v>2</v>
      </c>
      <c r="F2772" s="7">
        <v>3</v>
      </c>
      <c r="G2772" s="7">
        <v>1.1000000000000001</v>
      </c>
      <c r="H2772" s="12">
        <v>1366</v>
      </c>
      <c r="I2772" s="8">
        <f t="shared" si="86"/>
        <v>172.76720351390924</v>
      </c>
      <c r="J2772" s="3" t="str">
        <f t="shared" si="87"/>
        <v>Low</v>
      </c>
    </row>
    <row r="2773" spans="1:10">
      <c r="A2773" s="4" t="s">
        <v>2858</v>
      </c>
      <c r="B2773" s="16" t="s">
        <v>2181</v>
      </c>
      <c r="C2773" s="17" t="s">
        <v>2164</v>
      </c>
      <c r="D2773" s="21">
        <v>236000</v>
      </c>
      <c r="E2773" s="4">
        <v>42</v>
      </c>
      <c r="F2773" s="4">
        <v>4</v>
      </c>
      <c r="G2773" s="4">
        <v>2.1</v>
      </c>
      <c r="H2773" s="10">
        <v>1686</v>
      </c>
      <c r="I2773" s="5">
        <f t="shared" si="86"/>
        <v>139.97627520759193</v>
      </c>
      <c r="J2773" s="3" t="str">
        <f t="shared" si="87"/>
        <v>Low</v>
      </c>
    </row>
    <row r="2774" spans="1:10">
      <c r="A2774" s="7" t="s">
        <v>2859</v>
      </c>
      <c r="B2774" s="18" t="s">
        <v>2210</v>
      </c>
      <c r="C2774" s="19" t="s">
        <v>2164</v>
      </c>
      <c r="D2774" s="22">
        <v>236500</v>
      </c>
      <c r="E2774" s="7">
        <v>26</v>
      </c>
      <c r="F2774" s="7">
        <v>3</v>
      </c>
      <c r="G2774" s="7">
        <v>1.1000000000000001</v>
      </c>
      <c r="H2774" s="12">
        <v>1020</v>
      </c>
      <c r="I2774" s="8">
        <f t="shared" si="86"/>
        <v>231.86274509803923</v>
      </c>
      <c r="J2774" s="3" t="str">
        <f t="shared" si="87"/>
        <v>Medium</v>
      </c>
    </row>
    <row r="2775" spans="1:10">
      <c r="A2775" s="4" t="s">
        <v>2860</v>
      </c>
      <c r="B2775" s="16" t="s">
        <v>2407</v>
      </c>
      <c r="C2775" s="17" t="s">
        <v>2164</v>
      </c>
      <c r="D2775" s="21">
        <v>237000</v>
      </c>
      <c r="E2775" s="4">
        <v>3</v>
      </c>
      <c r="F2775" s="4">
        <v>3</v>
      </c>
      <c r="G2775" s="4">
        <v>1</v>
      </c>
      <c r="H2775" s="10">
        <v>1015</v>
      </c>
      <c r="I2775" s="5">
        <f t="shared" si="86"/>
        <v>233.49753694581281</v>
      </c>
      <c r="J2775" s="3" t="str">
        <f t="shared" si="87"/>
        <v>Medium</v>
      </c>
    </row>
    <row r="2776" spans="1:10">
      <c r="A2776" s="7" t="s">
        <v>2861</v>
      </c>
      <c r="B2776" s="18" t="s">
        <v>2173</v>
      </c>
      <c r="C2776" s="19" t="s">
        <v>2164</v>
      </c>
      <c r="D2776" s="22">
        <v>237000</v>
      </c>
      <c r="E2776" s="7">
        <v>40</v>
      </c>
      <c r="F2776" s="7">
        <v>3</v>
      </c>
      <c r="G2776" s="7">
        <v>2</v>
      </c>
      <c r="H2776" s="12">
        <v>1350</v>
      </c>
      <c r="I2776" s="8">
        <f t="shared" si="86"/>
        <v>175.55555555555554</v>
      </c>
      <c r="J2776" s="3" t="str">
        <f t="shared" si="87"/>
        <v>Low</v>
      </c>
    </row>
    <row r="2777" spans="1:10">
      <c r="A2777" s="4" t="s">
        <v>2862</v>
      </c>
      <c r="B2777" s="16" t="s">
        <v>2210</v>
      </c>
      <c r="C2777" s="17" t="s">
        <v>2164</v>
      </c>
      <c r="D2777" s="21">
        <v>237000</v>
      </c>
      <c r="E2777" s="4">
        <v>6</v>
      </c>
      <c r="F2777" s="4">
        <v>3</v>
      </c>
      <c r="G2777" s="4">
        <v>2</v>
      </c>
      <c r="H2777" s="10">
        <v>1000</v>
      </c>
      <c r="I2777" s="5">
        <f t="shared" si="86"/>
        <v>237</v>
      </c>
      <c r="J2777" s="3" t="str">
        <f t="shared" si="87"/>
        <v>Medium</v>
      </c>
    </row>
    <row r="2778" spans="1:10">
      <c r="A2778" s="7" t="s">
        <v>2863</v>
      </c>
      <c r="B2778" s="18" t="s">
        <v>2168</v>
      </c>
      <c r="C2778" s="19" t="s">
        <v>2164</v>
      </c>
      <c r="D2778" s="22">
        <v>237000</v>
      </c>
      <c r="E2778" s="7">
        <v>8</v>
      </c>
      <c r="F2778" s="7">
        <v>3</v>
      </c>
      <c r="G2778" s="7">
        <v>1.2</v>
      </c>
      <c r="H2778" s="12">
        <v>1197</v>
      </c>
      <c r="I2778" s="8">
        <f t="shared" si="86"/>
        <v>197.99498746867167</v>
      </c>
      <c r="J2778" s="3" t="str">
        <f t="shared" si="87"/>
        <v>Low</v>
      </c>
    </row>
    <row r="2779" spans="1:10">
      <c r="A2779" s="4" t="s">
        <v>2864</v>
      </c>
      <c r="B2779" s="16" t="s">
        <v>2168</v>
      </c>
      <c r="C2779" s="17" t="s">
        <v>2164</v>
      </c>
      <c r="D2779" s="21">
        <v>237150</v>
      </c>
      <c r="E2779" s="4">
        <v>4</v>
      </c>
      <c r="F2779" s="4">
        <v>3</v>
      </c>
      <c r="G2779" s="4">
        <v>2.1</v>
      </c>
      <c r="H2779" s="10">
        <v>1189</v>
      </c>
      <c r="I2779" s="5">
        <f t="shared" si="86"/>
        <v>199.45332211942809</v>
      </c>
      <c r="J2779" s="3" t="str">
        <f t="shared" si="87"/>
        <v>Low</v>
      </c>
    </row>
    <row r="2780" spans="1:10">
      <c r="A2780" s="7" t="s">
        <v>2865</v>
      </c>
      <c r="B2780" s="18" t="s">
        <v>2163</v>
      </c>
      <c r="C2780" s="19" t="s">
        <v>2164</v>
      </c>
      <c r="D2780" s="22">
        <v>238000</v>
      </c>
      <c r="E2780" s="7">
        <v>9</v>
      </c>
      <c r="F2780" s="7">
        <v>3</v>
      </c>
      <c r="G2780" s="7">
        <v>1.1000000000000001</v>
      </c>
      <c r="H2780" s="12">
        <v>1255</v>
      </c>
      <c r="I2780" s="8">
        <f t="shared" si="86"/>
        <v>189.6414342629482</v>
      </c>
      <c r="J2780" s="3" t="str">
        <f t="shared" si="87"/>
        <v>Low</v>
      </c>
    </row>
    <row r="2781" spans="1:10">
      <c r="A2781" s="4" t="s">
        <v>2866</v>
      </c>
      <c r="B2781" s="16" t="s">
        <v>2523</v>
      </c>
      <c r="C2781" s="17" t="s">
        <v>2164</v>
      </c>
      <c r="D2781" s="21">
        <v>238000</v>
      </c>
      <c r="E2781" s="4">
        <v>9</v>
      </c>
      <c r="F2781" s="4">
        <v>5</v>
      </c>
      <c r="G2781" s="4">
        <v>2.1</v>
      </c>
      <c r="H2781" s="10">
        <v>1852</v>
      </c>
      <c r="I2781" s="5">
        <f t="shared" si="86"/>
        <v>128.50971922246219</v>
      </c>
      <c r="J2781" s="3" t="str">
        <f t="shared" si="87"/>
        <v>Low</v>
      </c>
    </row>
    <row r="2782" spans="1:10">
      <c r="A2782" s="7" t="s">
        <v>2867</v>
      </c>
      <c r="B2782" s="18" t="s">
        <v>2168</v>
      </c>
      <c r="C2782" s="19" t="s">
        <v>2164</v>
      </c>
      <c r="D2782" s="22">
        <v>238000</v>
      </c>
      <c r="E2782" s="7">
        <v>47</v>
      </c>
      <c r="F2782" s="7">
        <v>3</v>
      </c>
      <c r="G2782" s="7">
        <v>1.1000000000000001</v>
      </c>
      <c r="H2782" s="12">
        <v>1205</v>
      </c>
      <c r="I2782" s="8">
        <f t="shared" si="86"/>
        <v>197.51037344398341</v>
      </c>
      <c r="J2782" s="3" t="str">
        <f t="shared" si="87"/>
        <v>Low</v>
      </c>
    </row>
    <row r="2783" spans="1:10">
      <c r="A2783" s="4" t="s">
        <v>2868</v>
      </c>
      <c r="B2783" s="16" t="s">
        <v>2685</v>
      </c>
      <c r="C2783" s="17" t="s">
        <v>2164</v>
      </c>
      <c r="D2783" s="21">
        <v>238000</v>
      </c>
      <c r="E2783" s="4">
        <v>63</v>
      </c>
      <c r="F2783" s="4">
        <v>2</v>
      </c>
      <c r="G2783" s="4">
        <v>1</v>
      </c>
      <c r="H2783" s="10">
        <v>1218</v>
      </c>
      <c r="I2783" s="5">
        <f t="shared" si="86"/>
        <v>195.40229885057471</v>
      </c>
      <c r="J2783" s="3" t="str">
        <f t="shared" si="87"/>
        <v>Low</v>
      </c>
    </row>
    <row r="2784" spans="1:10">
      <c r="A2784" s="7" t="s">
        <v>2869</v>
      </c>
      <c r="B2784" s="18" t="s">
        <v>2168</v>
      </c>
      <c r="C2784" s="19" t="s">
        <v>2164</v>
      </c>
      <c r="D2784" s="22">
        <v>238500</v>
      </c>
      <c r="E2784" s="7">
        <v>15</v>
      </c>
      <c r="F2784" s="7">
        <v>3</v>
      </c>
      <c r="G2784" s="7">
        <v>1.1000000000000001</v>
      </c>
      <c r="H2784" s="12">
        <v>1194</v>
      </c>
      <c r="I2784" s="8">
        <f t="shared" si="86"/>
        <v>199.74874371859298</v>
      </c>
      <c r="J2784" s="3" t="str">
        <f t="shared" si="87"/>
        <v>Low</v>
      </c>
    </row>
    <row r="2785" spans="1:10">
      <c r="A2785" s="4" t="s">
        <v>2870</v>
      </c>
      <c r="B2785" s="16" t="s">
        <v>2210</v>
      </c>
      <c r="C2785" s="17" t="s">
        <v>2164</v>
      </c>
      <c r="D2785" s="21">
        <v>239000</v>
      </c>
      <c r="E2785" s="4">
        <v>12</v>
      </c>
      <c r="F2785" s="4">
        <v>3</v>
      </c>
      <c r="G2785" s="4">
        <v>1.1000000000000001</v>
      </c>
      <c r="H2785" s="4">
        <v>988</v>
      </c>
      <c r="I2785" s="5">
        <f t="shared" si="86"/>
        <v>241.90283400809716</v>
      </c>
      <c r="J2785" s="3" t="str">
        <f t="shared" si="87"/>
        <v>Medium</v>
      </c>
    </row>
    <row r="2786" spans="1:10">
      <c r="A2786" s="7" t="s">
        <v>2871</v>
      </c>
      <c r="B2786" s="18" t="s">
        <v>2210</v>
      </c>
      <c r="C2786" s="19" t="s">
        <v>2164</v>
      </c>
      <c r="D2786" s="22">
        <v>239000</v>
      </c>
      <c r="E2786" s="7">
        <v>30</v>
      </c>
      <c r="F2786" s="7">
        <v>3</v>
      </c>
      <c r="G2786" s="7">
        <v>1</v>
      </c>
      <c r="H2786" s="12">
        <v>1252</v>
      </c>
      <c r="I2786" s="8">
        <f t="shared" si="86"/>
        <v>190.89456869009584</v>
      </c>
      <c r="J2786" s="3" t="str">
        <f t="shared" si="87"/>
        <v>Low</v>
      </c>
    </row>
    <row r="2787" spans="1:10">
      <c r="A2787" s="4" t="s">
        <v>2872</v>
      </c>
      <c r="B2787" s="16" t="s">
        <v>2210</v>
      </c>
      <c r="C2787" s="17" t="s">
        <v>2164</v>
      </c>
      <c r="D2787" s="21">
        <v>239000</v>
      </c>
      <c r="E2787" s="4">
        <v>128</v>
      </c>
      <c r="F2787" s="4">
        <v>3</v>
      </c>
      <c r="G2787" s="4">
        <v>2.1</v>
      </c>
      <c r="H2787" s="10">
        <v>1291</v>
      </c>
      <c r="I2787" s="5">
        <f t="shared" si="86"/>
        <v>185.12780790085205</v>
      </c>
      <c r="J2787" s="3" t="str">
        <f t="shared" si="87"/>
        <v>Low</v>
      </c>
    </row>
    <row r="2788" spans="1:10">
      <c r="A2788" s="7" t="s">
        <v>2873</v>
      </c>
      <c r="B2788" s="18" t="s">
        <v>2193</v>
      </c>
      <c r="C2788" s="19" t="s">
        <v>2164</v>
      </c>
      <c r="D2788" s="22">
        <v>239900</v>
      </c>
      <c r="E2788" s="7">
        <v>2</v>
      </c>
      <c r="F2788" s="7">
        <v>3</v>
      </c>
      <c r="G2788" s="7">
        <v>1.1000000000000001</v>
      </c>
      <c r="H2788" s="7">
        <v>968</v>
      </c>
      <c r="I2788" s="8">
        <f t="shared" si="86"/>
        <v>247.8305785123967</v>
      </c>
      <c r="J2788" s="3" t="str">
        <f t="shared" si="87"/>
        <v>Medium</v>
      </c>
    </row>
    <row r="2789" spans="1:10">
      <c r="A2789" s="4" t="s">
        <v>2874</v>
      </c>
      <c r="B2789" s="16" t="s">
        <v>2168</v>
      </c>
      <c r="C2789" s="17" t="s">
        <v>2164</v>
      </c>
      <c r="D2789" s="21">
        <v>239900</v>
      </c>
      <c r="E2789" s="4">
        <v>4</v>
      </c>
      <c r="F2789" s="4">
        <v>3</v>
      </c>
      <c r="G2789" s="4">
        <v>1.1000000000000001</v>
      </c>
      <c r="H2789" s="10">
        <v>1008</v>
      </c>
      <c r="I2789" s="5">
        <f t="shared" si="86"/>
        <v>237.99603174603175</v>
      </c>
      <c r="J2789" s="3" t="str">
        <f t="shared" si="87"/>
        <v>Medium</v>
      </c>
    </row>
    <row r="2790" spans="1:10">
      <c r="A2790" s="7" t="s">
        <v>2875</v>
      </c>
      <c r="B2790" s="18" t="s">
        <v>2168</v>
      </c>
      <c r="C2790" s="19" t="s">
        <v>2164</v>
      </c>
      <c r="D2790" s="22">
        <v>239900</v>
      </c>
      <c r="E2790" s="7">
        <v>52</v>
      </c>
      <c r="F2790" s="7">
        <v>3</v>
      </c>
      <c r="G2790" s="7">
        <v>1.1000000000000001</v>
      </c>
      <c r="H2790" s="12">
        <v>1210</v>
      </c>
      <c r="I2790" s="8">
        <f t="shared" si="86"/>
        <v>198.26446280991735</v>
      </c>
      <c r="J2790" s="3" t="str">
        <f t="shared" si="87"/>
        <v>Low</v>
      </c>
    </row>
    <row r="2791" spans="1:10">
      <c r="A2791" s="4" t="s">
        <v>2876</v>
      </c>
      <c r="B2791" s="16" t="s">
        <v>2181</v>
      </c>
      <c r="C2791" s="17" t="s">
        <v>2164</v>
      </c>
      <c r="D2791" s="21">
        <v>239900</v>
      </c>
      <c r="E2791" s="4">
        <v>4</v>
      </c>
      <c r="F2791" s="4">
        <v>3</v>
      </c>
      <c r="G2791" s="4">
        <v>2</v>
      </c>
      <c r="H2791" s="4">
        <v>972</v>
      </c>
      <c r="I2791" s="5">
        <f t="shared" si="86"/>
        <v>246.81069958847738</v>
      </c>
      <c r="J2791" s="3" t="str">
        <f t="shared" si="87"/>
        <v>Medium</v>
      </c>
    </row>
    <row r="2792" spans="1:10">
      <c r="A2792" s="7" t="s">
        <v>2877</v>
      </c>
      <c r="B2792" s="18" t="s">
        <v>2273</v>
      </c>
      <c r="C2792" s="19" t="s">
        <v>2164</v>
      </c>
      <c r="D2792" s="22">
        <v>240000</v>
      </c>
      <c r="E2792" s="7">
        <v>8</v>
      </c>
      <c r="F2792" s="7">
        <v>3</v>
      </c>
      <c r="G2792" s="7">
        <v>2</v>
      </c>
      <c r="H2792" s="12">
        <v>2071</v>
      </c>
      <c r="I2792" s="8">
        <f t="shared" si="86"/>
        <v>115.88604538870111</v>
      </c>
      <c r="J2792" s="3" t="str">
        <f t="shared" si="87"/>
        <v>Low</v>
      </c>
    </row>
    <row r="2793" spans="1:10">
      <c r="A2793" s="4" t="s">
        <v>2878</v>
      </c>
      <c r="B2793" s="16" t="s">
        <v>2210</v>
      </c>
      <c r="C2793" s="17" t="s">
        <v>2164</v>
      </c>
      <c r="D2793" s="21">
        <v>240000</v>
      </c>
      <c r="E2793" s="4">
        <v>4</v>
      </c>
      <c r="F2793" s="4">
        <v>3</v>
      </c>
      <c r="G2793" s="4">
        <v>1</v>
      </c>
      <c r="H2793" s="10">
        <v>1276</v>
      </c>
      <c r="I2793" s="5">
        <f t="shared" si="86"/>
        <v>188.08777429467085</v>
      </c>
      <c r="J2793" s="3" t="str">
        <f t="shared" si="87"/>
        <v>Low</v>
      </c>
    </row>
    <row r="2794" spans="1:10">
      <c r="A2794" s="7" t="s">
        <v>2879</v>
      </c>
      <c r="B2794" s="18" t="s">
        <v>2171</v>
      </c>
      <c r="C2794" s="19" t="s">
        <v>2164</v>
      </c>
      <c r="D2794" s="22">
        <v>240000</v>
      </c>
      <c r="E2794" s="7">
        <v>11</v>
      </c>
      <c r="F2794" s="7">
        <v>4</v>
      </c>
      <c r="G2794" s="7">
        <v>2</v>
      </c>
      <c r="H2794" s="12">
        <v>1858</v>
      </c>
      <c r="I2794" s="8">
        <f t="shared" si="86"/>
        <v>129.17115177610333</v>
      </c>
      <c r="J2794" s="3" t="str">
        <f t="shared" si="87"/>
        <v>Low</v>
      </c>
    </row>
    <row r="2795" spans="1:10">
      <c r="A2795" s="4" t="s">
        <v>2880</v>
      </c>
      <c r="B2795" s="16" t="s">
        <v>2210</v>
      </c>
      <c r="C2795" s="17" t="s">
        <v>2164</v>
      </c>
      <c r="D2795" s="21">
        <v>240000</v>
      </c>
      <c r="E2795" s="4">
        <v>5</v>
      </c>
      <c r="F2795" s="4">
        <v>3</v>
      </c>
      <c r="G2795" s="4">
        <v>2</v>
      </c>
      <c r="H2795" s="10">
        <v>1066</v>
      </c>
      <c r="I2795" s="5">
        <f t="shared" si="86"/>
        <v>225.14071294559099</v>
      </c>
      <c r="J2795" s="3" t="str">
        <f t="shared" si="87"/>
        <v>Medium</v>
      </c>
    </row>
    <row r="2796" spans="1:10">
      <c r="A2796" s="7" t="s">
        <v>2881</v>
      </c>
      <c r="B2796" s="18" t="s">
        <v>2168</v>
      </c>
      <c r="C2796" s="19" t="s">
        <v>2164</v>
      </c>
      <c r="D2796" s="22">
        <v>240000</v>
      </c>
      <c r="E2796" s="7">
        <v>6</v>
      </c>
      <c r="F2796" s="7">
        <v>3</v>
      </c>
      <c r="G2796" s="7">
        <v>2</v>
      </c>
      <c r="H2796" s="12">
        <v>1055</v>
      </c>
      <c r="I2796" s="8">
        <f t="shared" si="86"/>
        <v>227.48815165876778</v>
      </c>
      <c r="J2796" s="3" t="str">
        <f t="shared" si="87"/>
        <v>Medium</v>
      </c>
    </row>
    <row r="2797" spans="1:10">
      <c r="A2797" s="4" t="s">
        <v>2882</v>
      </c>
      <c r="B2797" s="16" t="s">
        <v>2168</v>
      </c>
      <c r="C2797" s="17" t="s">
        <v>2164</v>
      </c>
      <c r="D2797" s="21">
        <v>240000</v>
      </c>
      <c r="E2797" s="4">
        <v>3</v>
      </c>
      <c r="F2797" s="4">
        <v>3</v>
      </c>
      <c r="G2797" s="4">
        <v>1.1000000000000001</v>
      </c>
      <c r="H2797" s="10">
        <v>1080</v>
      </c>
      <c r="I2797" s="5">
        <f t="shared" si="86"/>
        <v>222.22222222222223</v>
      </c>
      <c r="J2797" s="3" t="str">
        <f t="shared" si="87"/>
        <v>Medium</v>
      </c>
    </row>
    <row r="2798" spans="1:10">
      <c r="A2798" s="7" t="s">
        <v>2883</v>
      </c>
      <c r="B2798" s="18" t="s">
        <v>2193</v>
      </c>
      <c r="C2798" s="19" t="s">
        <v>2164</v>
      </c>
      <c r="D2798" s="22">
        <v>240000</v>
      </c>
      <c r="E2798" s="7">
        <v>5</v>
      </c>
      <c r="F2798" s="7">
        <v>3</v>
      </c>
      <c r="G2798" s="7">
        <v>2</v>
      </c>
      <c r="H2798" s="7">
        <v>950</v>
      </c>
      <c r="I2798" s="8">
        <f t="shared" si="86"/>
        <v>252.63157894736841</v>
      </c>
      <c r="J2798" s="3" t="str">
        <f t="shared" si="87"/>
        <v>Medium</v>
      </c>
    </row>
    <row r="2799" spans="1:10">
      <c r="A2799" s="4" t="s">
        <v>2884</v>
      </c>
      <c r="B2799" s="16" t="s">
        <v>2173</v>
      </c>
      <c r="C2799" s="17" t="s">
        <v>2164</v>
      </c>
      <c r="D2799" s="21">
        <v>240000</v>
      </c>
      <c r="E2799" s="4">
        <v>64</v>
      </c>
      <c r="F2799" s="4">
        <v>4</v>
      </c>
      <c r="G2799" s="4">
        <v>2.1</v>
      </c>
      <c r="H2799" s="10">
        <v>2316</v>
      </c>
      <c r="I2799" s="5">
        <f t="shared" si="86"/>
        <v>103.62694300518135</v>
      </c>
      <c r="J2799" s="3" t="str">
        <f t="shared" si="87"/>
        <v>Low</v>
      </c>
    </row>
    <row r="2800" spans="1:10">
      <c r="A2800" s="7" t="s">
        <v>2885</v>
      </c>
      <c r="B2800" s="18" t="s">
        <v>2168</v>
      </c>
      <c r="C2800" s="19" t="s">
        <v>2164</v>
      </c>
      <c r="D2800" s="22">
        <v>240000</v>
      </c>
      <c r="E2800" s="7">
        <v>33</v>
      </c>
      <c r="F2800" s="7">
        <v>3</v>
      </c>
      <c r="G2800" s="7">
        <v>1.1000000000000001</v>
      </c>
      <c r="H2800" s="12">
        <v>1091</v>
      </c>
      <c r="I2800" s="8">
        <f t="shared" si="86"/>
        <v>219.98166819431714</v>
      </c>
      <c r="J2800" s="3" t="str">
        <f t="shared" si="87"/>
        <v>Medium</v>
      </c>
    </row>
    <row r="2801" spans="1:10">
      <c r="A2801" s="4" t="s">
        <v>2886</v>
      </c>
      <c r="B2801" s="16" t="s">
        <v>2252</v>
      </c>
      <c r="C2801" s="17" t="s">
        <v>2164</v>
      </c>
      <c r="D2801" s="21">
        <v>240000</v>
      </c>
      <c r="E2801" s="4">
        <v>58</v>
      </c>
      <c r="F2801" s="4">
        <v>3</v>
      </c>
      <c r="G2801" s="4">
        <v>1.1000000000000001</v>
      </c>
      <c r="H2801" s="10">
        <v>1555</v>
      </c>
      <c r="I2801" s="5">
        <f t="shared" si="86"/>
        <v>154.34083601286173</v>
      </c>
      <c r="J2801" s="3" t="str">
        <f t="shared" si="87"/>
        <v>Low</v>
      </c>
    </row>
    <row r="2802" spans="1:10">
      <c r="A2802" s="7" t="s">
        <v>2887</v>
      </c>
      <c r="B2802" s="18" t="s">
        <v>2166</v>
      </c>
      <c r="C2802" s="19" t="s">
        <v>2164</v>
      </c>
      <c r="D2802" s="22">
        <v>240000</v>
      </c>
      <c r="E2802" s="7">
        <v>33</v>
      </c>
      <c r="F2802" s="7">
        <v>3</v>
      </c>
      <c r="G2802" s="7">
        <v>1.1000000000000001</v>
      </c>
      <c r="H2802" s="12">
        <v>1533</v>
      </c>
      <c r="I2802" s="8">
        <f t="shared" si="86"/>
        <v>156.55577299412917</v>
      </c>
      <c r="J2802" s="3" t="str">
        <f t="shared" si="87"/>
        <v>Low</v>
      </c>
    </row>
    <row r="2803" spans="1:10">
      <c r="A2803" s="4" t="s">
        <v>2888</v>
      </c>
      <c r="B2803" s="16" t="s">
        <v>2316</v>
      </c>
      <c r="C2803" s="17" t="s">
        <v>2164</v>
      </c>
      <c r="D2803" s="21">
        <v>240000</v>
      </c>
      <c r="E2803" s="4">
        <v>52</v>
      </c>
      <c r="F2803" s="4">
        <v>2</v>
      </c>
      <c r="G2803" s="4">
        <v>1</v>
      </c>
      <c r="H2803" s="10">
        <v>1117</v>
      </c>
      <c r="I2803" s="5">
        <f t="shared" si="86"/>
        <v>214.86123545210384</v>
      </c>
      <c r="J2803" s="3" t="str">
        <f t="shared" si="87"/>
        <v>Medium</v>
      </c>
    </row>
    <row r="2804" spans="1:10">
      <c r="A2804" s="7" t="s">
        <v>2889</v>
      </c>
      <c r="B2804" s="18" t="s">
        <v>2168</v>
      </c>
      <c r="C2804" s="19" t="s">
        <v>2164</v>
      </c>
      <c r="D2804" s="22">
        <v>240000</v>
      </c>
      <c r="E2804" s="7">
        <v>11</v>
      </c>
      <c r="F2804" s="7">
        <v>3</v>
      </c>
      <c r="G2804" s="7">
        <v>1.1000000000000001</v>
      </c>
      <c r="H2804" s="12">
        <v>1157</v>
      </c>
      <c r="I2804" s="8">
        <f t="shared" si="86"/>
        <v>207.43301642178048</v>
      </c>
      <c r="J2804" s="3" t="str">
        <f t="shared" si="87"/>
        <v>Medium</v>
      </c>
    </row>
    <row r="2805" spans="1:10">
      <c r="A2805" s="4" t="s">
        <v>2890</v>
      </c>
      <c r="B2805" s="16" t="s">
        <v>2168</v>
      </c>
      <c r="C2805" s="17" t="s">
        <v>2164</v>
      </c>
      <c r="D2805" s="21">
        <v>240000</v>
      </c>
      <c r="E2805" s="4">
        <v>85</v>
      </c>
      <c r="F2805" s="4">
        <v>3</v>
      </c>
      <c r="G2805" s="4">
        <v>1.1000000000000001</v>
      </c>
      <c r="H2805" s="10">
        <v>1231</v>
      </c>
      <c r="I2805" s="5">
        <f t="shared" si="86"/>
        <v>194.96344435418359</v>
      </c>
      <c r="J2805" s="3" t="str">
        <f t="shared" si="87"/>
        <v>Low</v>
      </c>
    </row>
    <row r="2806" spans="1:10">
      <c r="A2806" s="7" t="s">
        <v>2891</v>
      </c>
      <c r="B2806" s="18" t="s">
        <v>2193</v>
      </c>
      <c r="C2806" s="19" t="s">
        <v>2164</v>
      </c>
      <c r="D2806" s="22">
        <v>240000</v>
      </c>
      <c r="E2806" s="7">
        <v>128</v>
      </c>
      <c r="F2806" s="7">
        <v>3</v>
      </c>
      <c r="G2806" s="7">
        <v>2</v>
      </c>
      <c r="H2806" s="7">
        <v>912</v>
      </c>
      <c r="I2806" s="8">
        <f t="shared" si="86"/>
        <v>263.15789473684208</v>
      </c>
      <c r="J2806" s="3" t="str">
        <f t="shared" si="87"/>
        <v>Medium</v>
      </c>
    </row>
    <row r="2807" spans="1:10">
      <c r="A2807" s="4" t="s">
        <v>2892</v>
      </c>
      <c r="B2807" s="16" t="s">
        <v>2168</v>
      </c>
      <c r="C2807" s="17" t="s">
        <v>2164</v>
      </c>
      <c r="D2807" s="21">
        <v>240000</v>
      </c>
      <c r="E2807" s="4">
        <v>100</v>
      </c>
      <c r="F2807" s="4">
        <v>4</v>
      </c>
      <c r="G2807" s="4">
        <v>1.1000000000000001</v>
      </c>
      <c r="H2807" s="10">
        <v>1476</v>
      </c>
      <c r="I2807" s="5">
        <f t="shared" si="86"/>
        <v>162.60162601626016</v>
      </c>
      <c r="J2807" s="3" t="str">
        <f t="shared" si="87"/>
        <v>Low</v>
      </c>
    </row>
    <row r="2808" spans="1:10">
      <c r="A2808" s="7" t="s">
        <v>2893</v>
      </c>
      <c r="B2808" s="18" t="s">
        <v>2168</v>
      </c>
      <c r="C2808" s="19" t="s">
        <v>2164</v>
      </c>
      <c r="D2808" s="22">
        <v>240000</v>
      </c>
      <c r="E2808" s="7">
        <v>170</v>
      </c>
      <c r="F2808" s="7">
        <v>3</v>
      </c>
      <c r="G2808" s="7">
        <v>1.1000000000000001</v>
      </c>
      <c r="H2808" s="7">
        <v>926</v>
      </c>
      <c r="I2808" s="8">
        <f t="shared" si="86"/>
        <v>259.17926565874728</v>
      </c>
      <c r="J2808" s="3" t="str">
        <f t="shared" si="87"/>
        <v>Medium</v>
      </c>
    </row>
    <row r="2809" spans="1:10">
      <c r="A2809" s="4" t="s">
        <v>2894</v>
      </c>
      <c r="B2809" s="16" t="s">
        <v>2181</v>
      </c>
      <c r="C2809" s="17" t="s">
        <v>2164</v>
      </c>
      <c r="D2809" s="21">
        <v>242000</v>
      </c>
      <c r="E2809" s="4">
        <v>4</v>
      </c>
      <c r="F2809" s="4">
        <v>3</v>
      </c>
      <c r="G2809" s="4">
        <v>1.1000000000000001</v>
      </c>
      <c r="H2809" s="10">
        <v>1428</v>
      </c>
      <c r="I2809" s="5">
        <f t="shared" si="86"/>
        <v>169.46778711484595</v>
      </c>
      <c r="J2809" s="3" t="str">
        <f t="shared" si="87"/>
        <v>Low</v>
      </c>
    </row>
    <row r="2810" spans="1:10">
      <c r="A2810" s="7" t="s">
        <v>2895</v>
      </c>
      <c r="B2810" s="18" t="s">
        <v>2193</v>
      </c>
      <c r="C2810" s="19" t="s">
        <v>2164</v>
      </c>
      <c r="D2810" s="22">
        <v>242000</v>
      </c>
      <c r="E2810" s="7">
        <v>5</v>
      </c>
      <c r="F2810" s="7">
        <v>3</v>
      </c>
      <c r="G2810" s="7">
        <v>1</v>
      </c>
      <c r="H2810" s="7">
        <v>950</v>
      </c>
      <c r="I2810" s="8">
        <f t="shared" si="86"/>
        <v>254.73684210526315</v>
      </c>
      <c r="J2810" s="3" t="str">
        <f t="shared" si="87"/>
        <v>Medium</v>
      </c>
    </row>
    <row r="2811" spans="1:10">
      <c r="A2811" s="4" t="s">
        <v>2896</v>
      </c>
      <c r="B2811" s="16" t="s">
        <v>2193</v>
      </c>
      <c r="C2811" s="17" t="s">
        <v>2164</v>
      </c>
      <c r="D2811" s="21">
        <v>242500</v>
      </c>
      <c r="E2811" s="4">
        <v>22</v>
      </c>
      <c r="F2811" s="4">
        <v>3</v>
      </c>
      <c r="G2811" s="4">
        <v>1.1000000000000001</v>
      </c>
      <c r="H2811" s="10">
        <v>1436</v>
      </c>
      <c r="I2811" s="5">
        <f t="shared" si="86"/>
        <v>168.87186629526462</v>
      </c>
      <c r="J2811" s="3" t="str">
        <f t="shared" si="87"/>
        <v>Low</v>
      </c>
    </row>
    <row r="2812" spans="1:10">
      <c r="A2812" s="7" t="s">
        <v>2897</v>
      </c>
      <c r="B2812" s="18" t="s">
        <v>2210</v>
      </c>
      <c r="C2812" s="19" t="s">
        <v>2164</v>
      </c>
      <c r="D2812" s="22">
        <v>243000</v>
      </c>
      <c r="E2812" s="7">
        <v>59</v>
      </c>
      <c r="F2812" s="7">
        <v>2</v>
      </c>
      <c r="G2812" s="7">
        <v>1</v>
      </c>
      <c r="H2812" s="12">
        <v>1268</v>
      </c>
      <c r="I2812" s="8">
        <f t="shared" si="86"/>
        <v>191.64037854889591</v>
      </c>
      <c r="J2812" s="3" t="str">
        <f t="shared" si="87"/>
        <v>Low</v>
      </c>
    </row>
    <row r="2813" spans="1:10">
      <c r="A2813" s="4" t="s">
        <v>2898</v>
      </c>
      <c r="B2813" s="16" t="s">
        <v>2166</v>
      </c>
      <c r="C2813" s="17" t="s">
        <v>2164</v>
      </c>
      <c r="D2813" s="21">
        <v>244400</v>
      </c>
      <c r="E2813" s="4">
        <v>14</v>
      </c>
      <c r="F2813" s="4">
        <v>4</v>
      </c>
      <c r="G2813" s="4">
        <v>2.1</v>
      </c>
      <c r="H2813" s="10">
        <v>1504</v>
      </c>
      <c r="I2813" s="5">
        <f t="shared" si="86"/>
        <v>162.5</v>
      </c>
      <c r="J2813" s="3" t="str">
        <f t="shared" si="87"/>
        <v>Low</v>
      </c>
    </row>
    <row r="2814" spans="1:10">
      <c r="A2814" s="7" t="s">
        <v>2899</v>
      </c>
      <c r="B2814" s="18" t="s">
        <v>2166</v>
      </c>
      <c r="C2814" s="19" t="s">
        <v>2164</v>
      </c>
      <c r="D2814" s="22">
        <v>244900</v>
      </c>
      <c r="E2814" s="7">
        <v>8</v>
      </c>
      <c r="F2814" s="7">
        <v>3</v>
      </c>
      <c r="G2814" s="7">
        <v>1.1000000000000001</v>
      </c>
      <c r="H2814" s="12">
        <v>1381</v>
      </c>
      <c r="I2814" s="8">
        <f t="shared" si="86"/>
        <v>177.33526430123098</v>
      </c>
      <c r="J2814" s="3" t="str">
        <f t="shared" si="87"/>
        <v>Low</v>
      </c>
    </row>
    <row r="2815" spans="1:10">
      <c r="A2815" s="4" t="s">
        <v>2900</v>
      </c>
      <c r="B2815" s="16" t="s">
        <v>2210</v>
      </c>
      <c r="C2815" s="17" t="s">
        <v>2164</v>
      </c>
      <c r="D2815" s="21">
        <v>245000</v>
      </c>
      <c r="E2815" s="4">
        <v>6</v>
      </c>
      <c r="F2815" s="4">
        <v>3</v>
      </c>
      <c r="G2815" s="4">
        <v>2</v>
      </c>
      <c r="H2815" s="4">
        <v>979</v>
      </c>
      <c r="I2815" s="5">
        <f t="shared" si="86"/>
        <v>250.25536261491317</v>
      </c>
      <c r="J2815" s="3" t="str">
        <f t="shared" si="87"/>
        <v>Medium</v>
      </c>
    </row>
    <row r="2816" spans="1:10">
      <c r="A2816" s="7" t="s">
        <v>2901</v>
      </c>
      <c r="B2816" s="18" t="s">
        <v>2168</v>
      </c>
      <c r="C2816" s="19" t="s">
        <v>2164</v>
      </c>
      <c r="D2816" s="22">
        <v>245000</v>
      </c>
      <c r="E2816" s="7">
        <v>18</v>
      </c>
      <c r="F2816" s="7">
        <v>3</v>
      </c>
      <c r="G2816" s="7">
        <v>1.1000000000000001</v>
      </c>
      <c r="H2816" s="12">
        <v>1200</v>
      </c>
      <c r="I2816" s="8">
        <f t="shared" si="86"/>
        <v>204.16666666666666</v>
      </c>
      <c r="J2816" s="3" t="str">
        <f t="shared" si="87"/>
        <v>Medium</v>
      </c>
    </row>
    <row r="2817" spans="1:10">
      <c r="A2817" s="4" t="s">
        <v>2902</v>
      </c>
      <c r="B2817" s="16" t="s">
        <v>2316</v>
      </c>
      <c r="C2817" s="17" t="s">
        <v>2164</v>
      </c>
      <c r="D2817" s="21">
        <v>245000</v>
      </c>
      <c r="E2817" s="4">
        <v>6</v>
      </c>
      <c r="F2817" s="4">
        <v>0</v>
      </c>
      <c r="G2817" s="4">
        <v>0</v>
      </c>
      <c r="H2817" s="10">
        <v>1142</v>
      </c>
      <c r="I2817" s="5">
        <f t="shared" si="86"/>
        <v>214.53590192644484</v>
      </c>
      <c r="J2817" s="3" t="str">
        <f t="shared" si="87"/>
        <v>Medium</v>
      </c>
    </row>
    <row r="2818" spans="1:10">
      <c r="A2818" s="7" t="s">
        <v>2903</v>
      </c>
      <c r="B2818" s="18" t="s">
        <v>2523</v>
      </c>
      <c r="C2818" s="19" t="s">
        <v>2164</v>
      </c>
      <c r="D2818" s="22">
        <v>245000</v>
      </c>
      <c r="E2818" s="7">
        <v>15</v>
      </c>
      <c r="F2818" s="7">
        <v>3</v>
      </c>
      <c r="G2818" s="7">
        <v>1.1000000000000001</v>
      </c>
      <c r="H2818" s="12">
        <v>1390</v>
      </c>
      <c r="I2818" s="8">
        <f t="shared" ref="I2818:I2881" si="88">D2818/H2818</f>
        <v>176.25899280575538</v>
      </c>
      <c r="J2818" s="3" t="str">
        <f t="shared" ref="J2818:J2881" si="89">IF(I2818 &gt; 300, "High", IF(AND(I2818 &lt;= 300, I2818 &gt; 200), "Medium", "Low"))</f>
        <v>Low</v>
      </c>
    </row>
    <row r="2819" spans="1:10">
      <c r="A2819" s="4" t="s">
        <v>2904</v>
      </c>
      <c r="B2819" s="16" t="s">
        <v>2316</v>
      </c>
      <c r="C2819" s="17" t="s">
        <v>2164</v>
      </c>
      <c r="D2819" s="21">
        <v>245000</v>
      </c>
      <c r="E2819" s="4">
        <v>3</v>
      </c>
      <c r="F2819" s="4">
        <v>3</v>
      </c>
      <c r="G2819" s="4">
        <v>1</v>
      </c>
      <c r="H2819" s="10">
        <v>1100</v>
      </c>
      <c r="I2819" s="5">
        <f t="shared" si="88"/>
        <v>222.72727272727272</v>
      </c>
      <c r="J2819" s="3" t="str">
        <f t="shared" si="89"/>
        <v>Medium</v>
      </c>
    </row>
    <row r="2820" spans="1:10">
      <c r="A2820" s="7" t="s">
        <v>2905</v>
      </c>
      <c r="B2820" s="18" t="s">
        <v>2168</v>
      </c>
      <c r="C2820" s="19" t="s">
        <v>2164</v>
      </c>
      <c r="D2820" s="22">
        <v>245000</v>
      </c>
      <c r="E2820" s="7">
        <v>8</v>
      </c>
      <c r="F2820" s="7">
        <v>3</v>
      </c>
      <c r="G2820" s="7">
        <v>1.1000000000000001</v>
      </c>
      <c r="H2820" s="12">
        <v>1270</v>
      </c>
      <c r="I2820" s="8">
        <f t="shared" si="88"/>
        <v>192.91338582677164</v>
      </c>
      <c r="J2820" s="3" t="str">
        <f t="shared" si="89"/>
        <v>Low</v>
      </c>
    </row>
    <row r="2821" spans="1:10">
      <c r="A2821" s="4" t="s">
        <v>2906</v>
      </c>
      <c r="B2821" s="16" t="s">
        <v>2168</v>
      </c>
      <c r="C2821" s="17" t="s">
        <v>2164</v>
      </c>
      <c r="D2821" s="21">
        <v>245000</v>
      </c>
      <c r="E2821" s="4">
        <v>3</v>
      </c>
      <c r="F2821" s="4">
        <v>3</v>
      </c>
      <c r="G2821" s="4">
        <v>1.1000000000000001</v>
      </c>
      <c r="H2821" s="10">
        <v>1312</v>
      </c>
      <c r="I2821" s="5">
        <f t="shared" si="88"/>
        <v>186.73780487804879</v>
      </c>
      <c r="J2821" s="3" t="str">
        <f t="shared" si="89"/>
        <v>Low</v>
      </c>
    </row>
    <row r="2822" spans="1:10">
      <c r="A2822" s="7" t="s">
        <v>2907</v>
      </c>
      <c r="B2822" s="18" t="s">
        <v>2210</v>
      </c>
      <c r="C2822" s="19" t="s">
        <v>2164</v>
      </c>
      <c r="D2822" s="22">
        <v>245000</v>
      </c>
      <c r="E2822" s="7">
        <v>27</v>
      </c>
      <c r="F2822" s="7">
        <v>3</v>
      </c>
      <c r="G2822" s="7">
        <v>1.1000000000000001</v>
      </c>
      <c r="H2822" s="12">
        <v>1487</v>
      </c>
      <c r="I2822" s="8">
        <f t="shared" si="88"/>
        <v>164.76126429051783</v>
      </c>
      <c r="J2822" s="3" t="str">
        <f t="shared" si="89"/>
        <v>Low</v>
      </c>
    </row>
    <row r="2823" spans="1:10">
      <c r="A2823" s="4" t="s">
        <v>2908</v>
      </c>
      <c r="B2823" s="16" t="s">
        <v>2210</v>
      </c>
      <c r="C2823" s="17" t="s">
        <v>2164</v>
      </c>
      <c r="D2823" s="21">
        <v>245000</v>
      </c>
      <c r="E2823" s="4">
        <v>81</v>
      </c>
      <c r="F2823" s="4">
        <v>3</v>
      </c>
      <c r="G2823" s="4">
        <v>1.1000000000000001</v>
      </c>
      <c r="H2823" s="10">
        <v>1003</v>
      </c>
      <c r="I2823" s="5">
        <f t="shared" si="88"/>
        <v>244.26719840478563</v>
      </c>
      <c r="J2823" s="3" t="str">
        <f t="shared" si="89"/>
        <v>Medium</v>
      </c>
    </row>
    <row r="2824" spans="1:10">
      <c r="A2824" s="7" t="s">
        <v>2909</v>
      </c>
      <c r="B2824" s="18" t="s">
        <v>2523</v>
      </c>
      <c r="C2824" s="19" t="s">
        <v>2164</v>
      </c>
      <c r="D2824" s="22">
        <v>245000</v>
      </c>
      <c r="E2824" s="7">
        <v>19</v>
      </c>
      <c r="F2824" s="7">
        <v>3</v>
      </c>
      <c r="G2824" s="7">
        <v>2</v>
      </c>
      <c r="H2824" s="12">
        <v>1450</v>
      </c>
      <c r="I2824" s="8">
        <f t="shared" si="88"/>
        <v>168.9655172413793</v>
      </c>
      <c r="J2824" s="3" t="str">
        <f t="shared" si="89"/>
        <v>Low</v>
      </c>
    </row>
    <row r="2825" spans="1:10">
      <c r="A2825" s="4" t="s">
        <v>2910</v>
      </c>
      <c r="B2825" s="16" t="s">
        <v>2168</v>
      </c>
      <c r="C2825" s="17" t="s">
        <v>2164</v>
      </c>
      <c r="D2825" s="21">
        <v>245000</v>
      </c>
      <c r="E2825" s="4">
        <v>16</v>
      </c>
      <c r="F2825" s="4">
        <v>3</v>
      </c>
      <c r="G2825" s="4">
        <v>1.1000000000000001</v>
      </c>
      <c r="H2825" s="10">
        <v>1184</v>
      </c>
      <c r="I2825" s="5">
        <f t="shared" si="88"/>
        <v>206.92567567567568</v>
      </c>
      <c r="J2825" s="3" t="str">
        <f t="shared" si="89"/>
        <v>Medium</v>
      </c>
    </row>
    <row r="2826" spans="1:10">
      <c r="A2826" s="7" t="s">
        <v>2911</v>
      </c>
      <c r="B2826" s="18" t="s">
        <v>2173</v>
      </c>
      <c r="C2826" s="19" t="s">
        <v>2164</v>
      </c>
      <c r="D2826" s="22">
        <v>246900</v>
      </c>
      <c r="E2826" s="7">
        <v>35</v>
      </c>
      <c r="F2826" s="7">
        <v>4</v>
      </c>
      <c r="G2826" s="7">
        <v>3</v>
      </c>
      <c r="H2826" s="7">
        <v>794</v>
      </c>
      <c r="I2826" s="8">
        <f t="shared" si="88"/>
        <v>310.95717884130983</v>
      </c>
      <c r="J2826" s="3" t="str">
        <f t="shared" si="89"/>
        <v>High</v>
      </c>
    </row>
    <row r="2827" spans="1:10">
      <c r="A2827" s="4" t="s">
        <v>2912</v>
      </c>
      <c r="B2827" s="16" t="s">
        <v>2193</v>
      </c>
      <c r="C2827" s="17" t="s">
        <v>2164</v>
      </c>
      <c r="D2827" s="21">
        <v>247000</v>
      </c>
      <c r="E2827" s="4">
        <v>32</v>
      </c>
      <c r="F2827" s="4">
        <v>3</v>
      </c>
      <c r="G2827" s="4">
        <v>1.1000000000000001</v>
      </c>
      <c r="H2827" s="10">
        <v>1000</v>
      </c>
      <c r="I2827" s="5">
        <f t="shared" si="88"/>
        <v>247</v>
      </c>
      <c r="J2827" s="3" t="str">
        <f t="shared" si="89"/>
        <v>Medium</v>
      </c>
    </row>
    <row r="2828" spans="1:10">
      <c r="A2828" s="7" t="s">
        <v>2913</v>
      </c>
      <c r="B2828" s="18" t="s">
        <v>2193</v>
      </c>
      <c r="C2828" s="19" t="s">
        <v>2164</v>
      </c>
      <c r="D2828" s="22">
        <v>247000</v>
      </c>
      <c r="E2828" s="7">
        <v>3</v>
      </c>
      <c r="F2828" s="7">
        <v>3</v>
      </c>
      <c r="G2828" s="7">
        <v>2</v>
      </c>
      <c r="H2828" s="12">
        <v>1035</v>
      </c>
      <c r="I2828" s="8">
        <f t="shared" si="88"/>
        <v>238.64734299516908</v>
      </c>
      <c r="J2828" s="3" t="str">
        <f t="shared" si="89"/>
        <v>Medium</v>
      </c>
    </row>
    <row r="2829" spans="1:10">
      <c r="A2829" s="4" t="s">
        <v>2914</v>
      </c>
      <c r="B2829" s="16" t="s">
        <v>2173</v>
      </c>
      <c r="C2829" s="17" t="s">
        <v>2164</v>
      </c>
      <c r="D2829" s="21">
        <v>247500</v>
      </c>
      <c r="E2829" s="4">
        <v>8</v>
      </c>
      <c r="F2829" s="4">
        <v>0</v>
      </c>
      <c r="G2829" s="4">
        <v>0</v>
      </c>
      <c r="H2829" s="4">
        <v>900</v>
      </c>
      <c r="I2829" s="5">
        <f t="shared" si="88"/>
        <v>275</v>
      </c>
      <c r="J2829" s="3" t="str">
        <f t="shared" si="89"/>
        <v>Medium</v>
      </c>
    </row>
    <row r="2830" spans="1:10">
      <c r="A2830" s="7" t="s">
        <v>2915</v>
      </c>
      <c r="B2830" s="18" t="s">
        <v>2563</v>
      </c>
      <c r="C2830" s="19" t="s">
        <v>2164</v>
      </c>
      <c r="D2830" s="22">
        <v>247500</v>
      </c>
      <c r="E2830" s="7">
        <v>4</v>
      </c>
      <c r="F2830" s="7">
        <v>2</v>
      </c>
      <c r="G2830" s="7">
        <v>1.1000000000000001</v>
      </c>
      <c r="H2830" s="12">
        <v>1498</v>
      </c>
      <c r="I2830" s="8">
        <f t="shared" si="88"/>
        <v>165.22029372496661</v>
      </c>
      <c r="J2830" s="3" t="str">
        <f t="shared" si="89"/>
        <v>Low</v>
      </c>
    </row>
    <row r="2831" spans="1:10">
      <c r="A2831" s="4" t="s">
        <v>2916</v>
      </c>
      <c r="B2831" s="16" t="s">
        <v>2210</v>
      </c>
      <c r="C2831" s="17" t="s">
        <v>2164</v>
      </c>
      <c r="D2831" s="21">
        <v>248000</v>
      </c>
      <c r="E2831" s="4">
        <v>3</v>
      </c>
      <c r="F2831" s="4">
        <v>2</v>
      </c>
      <c r="G2831" s="4">
        <v>1</v>
      </c>
      <c r="H2831" s="10">
        <v>1416</v>
      </c>
      <c r="I2831" s="5">
        <f t="shared" si="88"/>
        <v>175.14124293785312</v>
      </c>
      <c r="J2831" s="3" t="str">
        <f t="shared" si="89"/>
        <v>Low</v>
      </c>
    </row>
    <row r="2832" spans="1:10">
      <c r="A2832" s="7" t="s">
        <v>2917</v>
      </c>
      <c r="B2832" s="18" t="s">
        <v>2171</v>
      </c>
      <c r="C2832" s="19" t="s">
        <v>2164</v>
      </c>
      <c r="D2832" s="22">
        <v>248000</v>
      </c>
      <c r="E2832" s="7">
        <v>13</v>
      </c>
      <c r="F2832" s="7">
        <v>3</v>
      </c>
      <c r="G2832" s="7">
        <v>2</v>
      </c>
      <c r="H2832" s="12">
        <v>1768</v>
      </c>
      <c r="I2832" s="8">
        <f t="shared" si="88"/>
        <v>140.2714932126697</v>
      </c>
      <c r="J2832" s="3" t="str">
        <f t="shared" si="89"/>
        <v>Low</v>
      </c>
    </row>
    <row r="2833" spans="1:10">
      <c r="A2833" s="4" t="s">
        <v>2918</v>
      </c>
      <c r="B2833" s="16" t="s">
        <v>2168</v>
      </c>
      <c r="C2833" s="17" t="s">
        <v>2164</v>
      </c>
      <c r="D2833" s="21">
        <v>248000</v>
      </c>
      <c r="E2833" s="4">
        <v>18</v>
      </c>
      <c r="F2833" s="4">
        <v>3</v>
      </c>
      <c r="G2833" s="4">
        <v>2</v>
      </c>
      <c r="H2833" s="10">
        <v>1424</v>
      </c>
      <c r="I2833" s="5">
        <f t="shared" si="88"/>
        <v>174.15730337078651</v>
      </c>
      <c r="J2833" s="3" t="str">
        <f t="shared" si="89"/>
        <v>Low</v>
      </c>
    </row>
    <row r="2834" spans="1:10">
      <c r="A2834" s="7" t="s">
        <v>2919</v>
      </c>
      <c r="B2834" s="18" t="s">
        <v>2210</v>
      </c>
      <c r="C2834" s="19" t="s">
        <v>2164</v>
      </c>
      <c r="D2834" s="22">
        <v>249000</v>
      </c>
      <c r="E2834" s="7">
        <v>5</v>
      </c>
      <c r="F2834" s="7">
        <v>3</v>
      </c>
      <c r="G2834" s="7">
        <v>1</v>
      </c>
      <c r="H2834" s="12">
        <v>1007</v>
      </c>
      <c r="I2834" s="8">
        <f t="shared" si="88"/>
        <v>247.26911618669314</v>
      </c>
      <c r="J2834" s="3" t="str">
        <f t="shared" si="89"/>
        <v>Medium</v>
      </c>
    </row>
    <row r="2835" spans="1:10">
      <c r="A2835" s="4" t="s">
        <v>2920</v>
      </c>
      <c r="B2835" s="16" t="s">
        <v>2210</v>
      </c>
      <c r="C2835" s="17" t="s">
        <v>2164</v>
      </c>
      <c r="D2835" s="21">
        <v>249000</v>
      </c>
      <c r="E2835" s="4">
        <v>25</v>
      </c>
      <c r="F2835" s="4">
        <v>3</v>
      </c>
      <c r="G2835" s="4">
        <v>2</v>
      </c>
      <c r="H2835" s="4">
        <v>992</v>
      </c>
      <c r="I2835" s="5">
        <f t="shared" si="88"/>
        <v>251.00806451612902</v>
      </c>
      <c r="J2835" s="3" t="str">
        <f t="shared" si="89"/>
        <v>Medium</v>
      </c>
    </row>
    <row r="2836" spans="1:10">
      <c r="A2836" s="7" t="s">
        <v>2921</v>
      </c>
      <c r="B2836" s="18" t="s">
        <v>2252</v>
      </c>
      <c r="C2836" s="19" t="s">
        <v>2164</v>
      </c>
      <c r="D2836" s="22">
        <v>249550</v>
      </c>
      <c r="E2836" s="7">
        <v>7</v>
      </c>
      <c r="F2836" s="7">
        <v>3</v>
      </c>
      <c r="G2836" s="7">
        <v>1.1000000000000001</v>
      </c>
      <c r="H2836" s="12">
        <v>1215</v>
      </c>
      <c r="I2836" s="8">
        <f t="shared" si="88"/>
        <v>205.3909465020576</v>
      </c>
      <c r="J2836" s="3" t="str">
        <f t="shared" si="89"/>
        <v>Medium</v>
      </c>
    </row>
    <row r="2837" spans="1:10">
      <c r="A2837" s="4" t="s">
        <v>2922</v>
      </c>
      <c r="B2837" s="16" t="s">
        <v>2578</v>
      </c>
      <c r="C2837" s="17" t="s">
        <v>2164</v>
      </c>
      <c r="D2837" s="21">
        <v>249900</v>
      </c>
      <c r="E2837" s="4">
        <v>40</v>
      </c>
      <c r="F2837" s="4">
        <v>3</v>
      </c>
      <c r="G2837" s="4">
        <v>2</v>
      </c>
      <c r="H2837" s="10">
        <v>1638</v>
      </c>
      <c r="I2837" s="5">
        <f t="shared" si="88"/>
        <v>152.56410256410257</v>
      </c>
      <c r="J2837" s="3" t="str">
        <f t="shared" si="89"/>
        <v>Low</v>
      </c>
    </row>
    <row r="2838" spans="1:10">
      <c r="A2838" s="7" t="s">
        <v>2923</v>
      </c>
      <c r="B2838" s="18" t="s">
        <v>2210</v>
      </c>
      <c r="C2838" s="19" t="s">
        <v>2164</v>
      </c>
      <c r="D2838" s="22">
        <v>250000</v>
      </c>
      <c r="E2838" s="7">
        <v>4</v>
      </c>
      <c r="F2838" s="7">
        <v>3</v>
      </c>
      <c r="G2838" s="7">
        <v>1.1000000000000001</v>
      </c>
      <c r="H2838" s="12">
        <v>1226</v>
      </c>
      <c r="I2838" s="8">
        <f t="shared" si="88"/>
        <v>203.91517128874389</v>
      </c>
      <c r="J2838" s="3" t="str">
        <f t="shared" si="89"/>
        <v>Medium</v>
      </c>
    </row>
    <row r="2839" spans="1:10">
      <c r="A2839" s="4" t="s">
        <v>2924</v>
      </c>
      <c r="B2839" s="16" t="s">
        <v>2193</v>
      </c>
      <c r="C2839" s="17" t="s">
        <v>2164</v>
      </c>
      <c r="D2839" s="21">
        <v>250000</v>
      </c>
      <c r="E2839" s="4">
        <v>6</v>
      </c>
      <c r="F2839" s="4">
        <v>3</v>
      </c>
      <c r="G2839" s="4">
        <v>1.1000000000000001</v>
      </c>
      <c r="H2839" s="10">
        <v>1250</v>
      </c>
      <c r="I2839" s="5">
        <f t="shared" si="88"/>
        <v>200</v>
      </c>
      <c r="J2839" s="3" t="str">
        <f t="shared" si="89"/>
        <v>Low</v>
      </c>
    </row>
    <row r="2840" spans="1:10">
      <c r="A2840" s="7" t="s">
        <v>2925</v>
      </c>
      <c r="B2840" s="18" t="s">
        <v>2171</v>
      </c>
      <c r="C2840" s="19" t="s">
        <v>2164</v>
      </c>
      <c r="D2840" s="22">
        <v>250000</v>
      </c>
      <c r="E2840" s="7">
        <v>2</v>
      </c>
      <c r="F2840" s="7">
        <v>6</v>
      </c>
      <c r="G2840" s="7">
        <v>2.1</v>
      </c>
      <c r="H2840" s="12">
        <v>2544</v>
      </c>
      <c r="I2840" s="8">
        <f t="shared" si="88"/>
        <v>98.270440251572325</v>
      </c>
      <c r="J2840" s="3" t="str">
        <f t="shared" si="89"/>
        <v>Low</v>
      </c>
    </row>
    <row r="2841" spans="1:10">
      <c r="A2841" s="4" t="s">
        <v>2926</v>
      </c>
      <c r="B2841" s="16" t="s">
        <v>2523</v>
      </c>
      <c r="C2841" s="17" t="s">
        <v>2164</v>
      </c>
      <c r="D2841" s="21">
        <v>250000</v>
      </c>
      <c r="E2841" s="4">
        <v>3</v>
      </c>
      <c r="F2841" s="4">
        <v>4</v>
      </c>
      <c r="G2841" s="4">
        <v>2.1</v>
      </c>
      <c r="H2841" s="10">
        <v>2376</v>
      </c>
      <c r="I2841" s="5">
        <f t="shared" si="88"/>
        <v>105.21885521885523</v>
      </c>
      <c r="J2841" s="3" t="str">
        <f t="shared" si="89"/>
        <v>Low</v>
      </c>
    </row>
    <row r="2842" spans="1:10">
      <c r="A2842" s="7" t="s">
        <v>2927</v>
      </c>
      <c r="B2842" s="18" t="s">
        <v>2210</v>
      </c>
      <c r="C2842" s="19" t="s">
        <v>2164</v>
      </c>
      <c r="D2842" s="22">
        <v>250000</v>
      </c>
      <c r="E2842" s="7">
        <v>15</v>
      </c>
      <c r="F2842" s="7">
        <v>3</v>
      </c>
      <c r="G2842" s="7">
        <v>1.1000000000000001</v>
      </c>
      <c r="H2842" s="12">
        <v>1160</v>
      </c>
      <c r="I2842" s="8">
        <f t="shared" si="88"/>
        <v>215.51724137931035</v>
      </c>
      <c r="J2842" s="3" t="str">
        <f t="shared" si="89"/>
        <v>Medium</v>
      </c>
    </row>
    <row r="2843" spans="1:10">
      <c r="A2843" s="4" t="s">
        <v>2928</v>
      </c>
      <c r="B2843" s="16" t="s">
        <v>2193</v>
      </c>
      <c r="C2843" s="17" t="s">
        <v>2164</v>
      </c>
      <c r="D2843" s="21">
        <v>250000</v>
      </c>
      <c r="E2843" s="4">
        <v>2</v>
      </c>
      <c r="F2843" s="4">
        <v>3</v>
      </c>
      <c r="G2843" s="4">
        <v>1</v>
      </c>
      <c r="H2843" s="10">
        <v>1200</v>
      </c>
      <c r="I2843" s="5">
        <f t="shared" si="88"/>
        <v>208.33333333333334</v>
      </c>
      <c r="J2843" s="3" t="str">
        <f t="shared" si="89"/>
        <v>Medium</v>
      </c>
    </row>
    <row r="2844" spans="1:10">
      <c r="A2844" s="7" t="s">
        <v>2929</v>
      </c>
      <c r="B2844" s="18" t="s">
        <v>2168</v>
      </c>
      <c r="C2844" s="19" t="s">
        <v>2164</v>
      </c>
      <c r="D2844" s="22">
        <v>250000</v>
      </c>
      <c r="E2844" s="7">
        <v>2</v>
      </c>
      <c r="F2844" s="7">
        <v>3</v>
      </c>
      <c r="G2844" s="7">
        <v>1.1000000000000001</v>
      </c>
      <c r="H2844" s="12">
        <v>1122</v>
      </c>
      <c r="I2844" s="8">
        <f t="shared" si="88"/>
        <v>222.81639928698752</v>
      </c>
      <c r="J2844" s="3" t="str">
        <f t="shared" si="89"/>
        <v>Medium</v>
      </c>
    </row>
    <row r="2845" spans="1:10">
      <c r="A2845" s="4" t="s">
        <v>2930</v>
      </c>
      <c r="B2845" s="16" t="s">
        <v>2181</v>
      </c>
      <c r="C2845" s="17" t="s">
        <v>2164</v>
      </c>
      <c r="D2845" s="21">
        <v>250000</v>
      </c>
      <c r="E2845" s="4">
        <v>3</v>
      </c>
      <c r="F2845" s="4">
        <v>4</v>
      </c>
      <c r="G2845" s="4">
        <v>1.1000000000000001</v>
      </c>
      <c r="H2845" s="10">
        <v>1490</v>
      </c>
      <c r="I2845" s="5">
        <f t="shared" si="88"/>
        <v>167.78523489932886</v>
      </c>
      <c r="J2845" s="3" t="str">
        <f t="shared" si="89"/>
        <v>Low</v>
      </c>
    </row>
    <row r="2846" spans="1:10">
      <c r="A2846" s="7" t="s">
        <v>2931</v>
      </c>
      <c r="B2846" s="18" t="s">
        <v>2193</v>
      </c>
      <c r="C2846" s="19" t="s">
        <v>2164</v>
      </c>
      <c r="D2846" s="22">
        <v>250000</v>
      </c>
      <c r="E2846" s="7">
        <v>42</v>
      </c>
      <c r="F2846" s="7">
        <v>3</v>
      </c>
      <c r="G2846" s="7">
        <v>1.1000000000000001</v>
      </c>
      <c r="H2846" s="7">
        <v>961</v>
      </c>
      <c r="I2846" s="8">
        <f t="shared" si="88"/>
        <v>260.14568158168572</v>
      </c>
      <c r="J2846" s="3" t="str">
        <f t="shared" si="89"/>
        <v>Medium</v>
      </c>
    </row>
    <row r="2847" spans="1:10">
      <c r="A2847" s="4" t="s">
        <v>2932</v>
      </c>
      <c r="B2847" s="16" t="s">
        <v>2273</v>
      </c>
      <c r="C2847" s="17" t="s">
        <v>2164</v>
      </c>
      <c r="D2847" s="21">
        <v>250000</v>
      </c>
      <c r="E2847" s="4">
        <v>0</v>
      </c>
      <c r="F2847" s="4">
        <v>3</v>
      </c>
      <c r="G2847" s="4">
        <v>2.1</v>
      </c>
      <c r="H2847" s="10">
        <v>1342</v>
      </c>
      <c r="I2847" s="5">
        <f t="shared" si="88"/>
        <v>186.28912071535024</v>
      </c>
      <c r="J2847" s="3" t="str">
        <f t="shared" si="89"/>
        <v>Low</v>
      </c>
    </row>
    <row r="2848" spans="1:10">
      <c r="A2848" s="7" t="s">
        <v>2933</v>
      </c>
      <c r="B2848" s="18" t="s">
        <v>2316</v>
      </c>
      <c r="C2848" s="19" t="s">
        <v>2164</v>
      </c>
      <c r="D2848" s="22">
        <v>250000</v>
      </c>
      <c r="E2848" s="7">
        <v>3</v>
      </c>
      <c r="F2848" s="7">
        <v>3</v>
      </c>
      <c r="G2848" s="7">
        <v>1.1000000000000001</v>
      </c>
      <c r="H2848" s="12">
        <v>1185</v>
      </c>
      <c r="I2848" s="8">
        <f t="shared" si="88"/>
        <v>210.9704641350211</v>
      </c>
      <c r="J2848" s="3" t="str">
        <f t="shared" si="89"/>
        <v>Medium</v>
      </c>
    </row>
    <row r="2849" spans="1:10">
      <c r="A2849" s="4" t="s">
        <v>2934</v>
      </c>
      <c r="B2849" s="16" t="s">
        <v>2193</v>
      </c>
      <c r="C2849" s="17" t="s">
        <v>2164</v>
      </c>
      <c r="D2849" s="21">
        <v>250000</v>
      </c>
      <c r="E2849" s="4">
        <v>21</v>
      </c>
      <c r="F2849" s="4">
        <v>3</v>
      </c>
      <c r="G2849" s="4">
        <v>2</v>
      </c>
      <c r="H2849" s="10">
        <v>1308</v>
      </c>
      <c r="I2849" s="5">
        <f t="shared" si="88"/>
        <v>191.131498470948</v>
      </c>
      <c r="J2849" s="3" t="str">
        <f t="shared" si="89"/>
        <v>Low</v>
      </c>
    </row>
    <row r="2850" spans="1:10">
      <c r="A2850" s="7" t="s">
        <v>2935</v>
      </c>
      <c r="B2850" s="18" t="s">
        <v>2168</v>
      </c>
      <c r="C2850" s="19" t="s">
        <v>2164</v>
      </c>
      <c r="D2850" s="22">
        <v>250000</v>
      </c>
      <c r="E2850" s="7">
        <v>55</v>
      </c>
      <c r="F2850" s="7">
        <v>4</v>
      </c>
      <c r="G2850" s="7">
        <v>1.1000000000000001</v>
      </c>
      <c r="H2850" s="12">
        <v>1570</v>
      </c>
      <c r="I2850" s="8">
        <f t="shared" si="88"/>
        <v>159.23566878980893</v>
      </c>
      <c r="J2850" s="3" t="str">
        <f t="shared" si="89"/>
        <v>Low</v>
      </c>
    </row>
    <row r="2851" spans="1:10">
      <c r="A2851" s="4" t="s">
        <v>2936</v>
      </c>
      <c r="B2851" s="16" t="s">
        <v>2193</v>
      </c>
      <c r="C2851" s="17" t="s">
        <v>2164</v>
      </c>
      <c r="D2851" s="21">
        <v>250000</v>
      </c>
      <c r="E2851" s="4">
        <v>7</v>
      </c>
      <c r="F2851" s="4">
        <v>3</v>
      </c>
      <c r="G2851" s="4">
        <v>2</v>
      </c>
      <c r="H2851" s="10">
        <v>1100</v>
      </c>
      <c r="I2851" s="5">
        <f t="shared" si="88"/>
        <v>227.27272727272728</v>
      </c>
      <c r="J2851" s="3" t="str">
        <f t="shared" si="89"/>
        <v>Medium</v>
      </c>
    </row>
    <row r="2852" spans="1:10">
      <c r="A2852" s="7" t="s">
        <v>2937</v>
      </c>
      <c r="B2852" s="18" t="s">
        <v>2938</v>
      </c>
      <c r="C2852" s="19" t="s">
        <v>2164</v>
      </c>
      <c r="D2852" s="22">
        <v>250000</v>
      </c>
      <c r="E2852" s="7">
        <v>6</v>
      </c>
      <c r="F2852" s="7">
        <v>3</v>
      </c>
      <c r="G2852" s="7">
        <v>1.1000000000000001</v>
      </c>
      <c r="H2852" s="12">
        <v>1218</v>
      </c>
      <c r="I2852" s="8">
        <f t="shared" si="88"/>
        <v>205.25451559934319</v>
      </c>
      <c r="J2852" s="3" t="str">
        <f t="shared" si="89"/>
        <v>Medium</v>
      </c>
    </row>
    <row r="2853" spans="1:10">
      <c r="A2853" s="4" t="s">
        <v>2939</v>
      </c>
      <c r="B2853" s="16" t="s">
        <v>2168</v>
      </c>
      <c r="C2853" s="17" t="s">
        <v>2164</v>
      </c>
      <c r="D2853" s="21">
        <v>250000</v>
      </c>
      <c r="E2853" s="4">
        <v>52</v>
      </c>
      <c r="F2853" s="4">
        <v>3</v>
      </c>
      <c r="G2853" s="4">
        <v>1.1000000000000001</v>
      </c>
      <c r="H2853" s="10">
        <v>1450</v>
      </c>
      <c r="I2853" s="5">
        <f t="shared" si="88"/>
        <v>172.41379310344828</v>
      </c>
      <c r="J2853" s="3" t="str">
        <f t="shared" si="89"/>
        <v>Low</v>
      </c>
    </row>
    <row r="2854" spans="1:10">
      <c r="A2854" s="7" t="s">
        <v>2940</v>
      </c>
      <c r="B2854" s="18" t="s">
        <v>2181</v>
      </c>
      <c r="C2854" s="19" t="s">
        <v>2164</v>
      </c>
      <c r="D2854" s="22">
        <v>250000</v>
      </c>
      <c r="E2854" s="7">
        <v>26</v>
      </c>
      <c r="F2854" s="7">
        <v>4</v>
      </c>
      <c r="G2854" s="7">
        <v>1.1000000000000001</v>
      </c>
      <c r="H2854" s="12">
        <v>1890</v>
      </c>
      <c r="I2854" s="8">
        <f t="shared" si="88"/>
        <v>132.27513227513228</v>
      </c>
      <c r="J2854" s="3" t="str">
        <f t="shared" si="89"/>
        <v>Low</v>
      </c>
    </row>
    <row r="2855" spans="1:10">
      <c r="A2855" s="4" t="s">
        <v>2941</v>
      </c>
      <c r="B2855" s="16" t="s">
        <v>2316</v>
      </c>
      <c r="C2855" s="17" t="s">
        <v>2164</v>
      </c>
      <c r="D2855" s="21">
        <v>250000</v>
      </c>
      <c r="E2855" s="4">
        <v>45</v>
      </c>
      <c r="F2855" s="4">
        <v>3</v>
      </c>
      <c r="G2855" s="4">
        <v>1.1000000000000001</v>
      </c>
      <c r="H2855" s="4">
        <v>957</v>
      </c>
      <c r="I2855" s="5">
        <f t="shared" si="88"/>
        <v>261.23301985370949</v>
      </c>
      <c r="J2855" s="3" t="str">
        <f t="shared" si="89"/>
        <v>Medium</v>
      </c>
    </row>
    <row r="2856" spans="1:10">
      <c r="A2856" s="7" t="s">
        <v>2942</v>
      </c>
      <c r="B2856" s="18" t="s">
        <v>2168</v>
      </c>
      <c r="C2856" s="19" t="s">
        <v>2164</v>
      </c>
      <c r="D2856" s="22">
        <v>250000</v>
      </c>
      <c r="E2856" s="7">
        <v>82</v>
      </c>
      <c r="F2856" s="7">
        <v>4</v>
      </c>
      <c r="G2856" s="7">
        <v>1.1000000000000001</v>
      </c>
      <c r="H2856" s="12">
        <v>1256</v>
      </c>
      <c r="I2856" s="8">
        <f t="shared" si="88"/>
        <v>199.04458598726114</v>
      </c>
      <c r="J2856" s="3" t="str">
        <f t="shared" si="89"/>
        <v>Low</v>
      </c>
    </row>
    <row r="2857" spans="1:10">
      <c r="A2857" s="4" t="s">
        <v>2943</v>
      </c>
      <c r="B2857" s="16" t="s">
        <v>2168</v>
      </c>
      <c r="C2857" s="17" t="s">
        <v>2164</v>
      </c>
      <c r="D2857" s="21">
        <v>250000</v>
      </c>
      <c r="E2857" s="4">
        <v>89</v>
      </c>
      <c r="F2857" s="4">
        <v>4</v>
      </c>
      <c r="G2857" s="4">
        <v>2</v>
      </c>
      <c r="H2857" s="10">
        <v>1630</v>
      </c>
      <c r="I2857" s="5">
        <f t="shared" si="88"/>
        <v>153.37423312883436</v>
      </c>
      <c r="J2857" s="3" t="str">
        <f t="shared" si="89"/>
        <v>Low</v>
      </c>
    </row>
    <row r="2858" spans="1:10">
      <c r="A2858" s="7" t="s">
        <v>2944</v>
      </c>
      <c r="B2858" s="18" t="s">
        <v>2168</v>
      </c>
      <c r="C2858" s="19" t="s">
        <v>2164</v>
      </c>
      <c r="D2858" s="22">
        <v>250000</v>
      </c>
      <c r="E2858" s="7">
        <v>44</v>
      </c>
      <c r="F2858" s="7">
        <v>4</v>
      </c>
      <c r="G2858" s="7">
        <v>3</v>
      </c>
      <c r="H2858" s="12">
        <v>1394</v>
      </c>
      <c r="I2858" s="8">
        <f t="shared" si="88"/>
        <v>179.34002869440459</v>
      </c>
      <c r="J2858" s="3" t="str">
        <f t="shared" si="89"/>
        <v>Low</v>
      </c>
    </row>
    <row r="2859" spans="1:10">
      <c r="A2859" s="4" t="s">
        <v>2945</v>
      </c>
      <c r="B2859" s="16" t="s">
        <v>2193</v>
      </c>
      <c r="C2859" s="17" t="s">
        <v>2164</v>
      </c>
      <c r="D2859" s="21">
        <v>250000</v>
      </c>
      <c r="E2859" s="4">
        <v>65</v>
      </c>
      <c r="F2859" s="4">
        <v>3</v>
      </c>
      <c r="G2859" s="4">
        <v>2</v>
      </c>
      <c r="H2859" s="10">
        <v>1208</v>
      </c>
      <c r="I2859" s="5">
        <f t="shared" si="88"/>
        <v>206.95364238410596</v>
      </c>
      <c r="J2859" s="3" t="str">
        <f t="shared" si="89"/>
        <v>Medium</v>
      </c>
    </row>
    <row r="2860" spans="1:10">
      <c r="A2860" s="7" t="s">
        <v>2946</v>
      </c>
      <c r="B2860" s="18" t="s">
        <v>2193</v>
      </c>
      <c r="C2860" s="19" t="s">
        <v>2164</v>
      </c>
      <c r="D2860" s="22">
        <v>251500</v>
      </c>
      <c r="E2860" s="7">
        <v>0</v>
      </c>
      <c r="F2860" s="7">
        <v>3</v>
      </c>
      <c r="G2860" s="7">
        <v>2</v>
      </c>
      <c r="H2860" s="12">
        <v>1253</v>
      </c>
      <c r="I2860" s="8">
        <f t="shared" si="88"/>
        <v>200.71827613727055</v>
      </c>
      <c r="J2860" s="3" t="str">
        <f t="shared" si="89"/>
        <v>Medium</v>
      </c>
    </row>
    <row r="2861" spans="1:10">
      <c r="A2861" s="4" t="s">
        <v>2947</v>
      </c>
      <c r="B2861" s="16" t="s">
        <v>2578</v>
      </c>
      <c r="C2861" s="17" t="s">
        <v>2164</v>
      </c>
      <c r="D2861" s="21">
        <v>252000</v>
      </c>
      <c r="E2861" s="4">
        <v>18</v>
      </c>
      <c r="F2861" s="4">
        <v>4</v>
      </c>
      <c r="G2861" s="4">
        <v>1</v>
      </c>
      <c r="H2861" s="10">
        <v>1517</v>
      </c>
      <c r="I2861" s="5">
        <f t="shared" si="88"/>
        <v>166.11733684904416</v>
      </c>
      <c r="J2861" s="3" t="str">
        <f t="shared" si="89"/>
        <v>Low</v>
      </c>
    </row>
    <row r="2862" spans="1:10">
      <c r="A2862" s="7" t="s">
        <v>2948</v>
      </c>
      <c r="B2862" s="18" t="s">
        <v>2210</v>
      </c>
      <c r="C2862" s="19" t="s">
        <v>2164</v>
      </c>
      <c r="D2862" s="22">
        <v>252000</v>
      </c>
      <c r="E2862" s="7">
        <v>78</v>
      </c>
      <c r="F2862" s="7">
        <v>3</v>
      </c>
      <c r="G2862" s="7">
        <v>1.1000000000000001</v>
      </c>
      <c r="H2862" s="12">
        <v>1382</v>
      </c>
      <c r="I2862" s="8">
        <f t="shared" si="88"/>
        <v>182.34442836468887</v>
      </c>
      <c r="J2862" s="3" t="str">
        <f t="shared" si="89"/>
        <v>Low</v>
      </c>
    </row>
    <row r="2863" spans="1:10">
      <c r="A2863" s="4" t="s">
        <v>2949</v>
      </c>
      <c r="B2863" s="16" t="s">
        <v>2316</v>
      </c>
      <c r="C2863" s="17" t="s">
        <v>2164</v>
      </c>
      <c r="D2863" s="21">
        <v>254000</v>
      </c>
      <c r="E2863" s="4">
        <v>5</v>
      </c>
      <c r="F2863" s="4">
        <v>3</v>
      </c>
      <c r="G2863" s="4">
        <v>1.1000000000000001</v>
      </c>
      <c r="H2863" s="10">
        <v>1107</v>
      </c>
      <c r="I2863" s="5">
        <f t="shared" si="88"/>
        <v>229.44896115627822</v>
      </c>
      <c r="J2863" s="3" t="str">
        <f t="shared" si="89"/>
        <v>Medium</v>
      </c>
    </row>
    <row r="2864" spans="1:10">
      <c r="A2864" s="7" t="s">
        <v>2950</v>
      </c>
      <c r="B2864" s="18" t="s">
        <v>2193</v>
      </c>
      <c r="C2864" s="19" t="s">
        <v>2164</v>
      </c>
      <c r="D2864" s="22">
        <v>255000</v>
      </c>
      <c r="E2864" s="7">
        <v>15</v>
      </c>
      <c r="F2864" s="7">
        <v>3</v>
      </c>
      <c r="G2864" s="7">
        <v>1</v>
      </c>
      <c r="H2864" s="12">
        <v>1189</v>
      </c>
      <c r="I2864" s="8">
        <f t="shared" si="88"/>
        <v>214.46593776282592</v>
      </c>
      <c r="J2864" s="3" t="str">
        <f t="shared" si="89"/>
        <v>Medium</v>
      </c>
    </row>
    <row r="2865" spans="1:10">
      <c r="A2865" s="4" t="s">
        <v>2951</v>
      </c>
      <c r="B2865" s="16" t="s">
        <v>2168</v>
      </c>
      <c r="C2865" s="17" t="s">
        <v>2164</v>
      </c>
      <c r="D2865" s="21">
        <v>255000</v>
      </c>
      <c r="E2865" s="4">
        <v>3</v>
      </c>
      <c r="F2865" s="4">
        <v>3</v>
      </c>
      <c r="G2865" s="4">
        <v>2</v>
      </c>
      <c r="H2865" s="10">
        <v>1356</v>
      </c>
      <c r="I2865" s="5">
        <f t="shared" si="88"/>
        <v>188.05309734513276</v>
      </c>
      <c r="J2865" s="3" t="str">
        <f t="shared" si="89"/>
        <v>Low</v>
      </c>
    </row>
    <row r="2866" spans="1:10">
      <c r="A2866" s="7" t="s">
        <v>2952</v>
      </c>
      <c r="B2866" s="18" t="s">
        <v>2168</v>
      </c>
      <c r="C2866" s="19" t="s">
        <v>2164</v>
      </c>
      <c r="D2866" s="22">
        <v>255000</v>
      </c>
      <c r="E2866" s="7">
        <v>42</v>
      </c>
      <c r="F2866" s="7">
        <v>3</v>
      </c>
      <c r="G2866" s="7">
        <v>1.1000000000000001</v>
      </c>
      <c r="H2866" s="12">
        <v>1281</v>
      </c>
      <c r="I2866" s="8">
        <f t="shared" si="88"/>
        <v>199.06323185011709</v>
      </c>
      <c r="J2866" s="3" t="str">
        <f t="shared" si="89"/>
        <v>Low</v>
      </c>
    </row>
    <row r="2867" spans="1:10">
      <c r="A2867" s="4" t="s">
        <v>2953</v>
      </c>
      <c r="B2867" s="16" t="s">
        <v>2166</v>
      </c>
      <c r="C2867" s="17" t="s">
        <v>2164</v>
      </c>
      <c r="D2867" s="21">
        <v>255000</v>
      </c>
      <c r="E2867" s="4">
        <v>0</v>
      </c>
      <c r="F2867" s="4">
        <v>3</v>
      </c>
      <c r="G2867" s="4">
        <v>2.1</v>
      </c>
      <c r="H2867" s="10">
        <v>1400</v>
      </c>
      <c r="I2867" s="5">
        <f t="shared" si="88"/>
        <v>182.14285714285714</v>
      </c>
      <c r="J2867" s="3" t="str">
        <f t="shared" si="89"/>
        <v>Low</v>
      </c>
    </row>
    <row r="2868" spans="1:10">
      <c r="A2868" s="7" t="s">
        <v>2954</v>
      </c>
      <c r="B2868" s="18" t="s">
        <v>2168</v>
      </c>
      <c r="C2868" s="19" t="s">
        <v>2164</v>
      </c>
      <c r="D2868" s="22">
        <v>255000</v>
      </c>
      <c r="E2868" s="7">
        <v>8</v>
      </c>
      <c r="F2868" s="7">
        <v>3</v>
      </c>
      <c r="G2868" s="7">
        <v>1.1000000000000001</v>
      </c>
      <c r="H2868" s="12">
        <v>1371</v>
      </c>
      <c r="I2868" s="8">
        <f t="shared" si="88"/>
        <v>185.99562363238513</v>
      </c>
      <c r="J2868" s="3" t="str">
        <f t="shared" si="89"/>
        <v>Low</v>
      </c>
    </row>
    <row r="2869" spans="1:10">
      <c r="A2869" s="4" t="s">
        <v>2955</v>
      </c>
      <c r="B2869" s="16" t="s">
        <v>2273</v>
      </c>
      <c r="C2869" s="17" t="s">
        <v>2164</v>
      </c>
      <c r="D2869" s="21">
        <v>255000</v>
      </c>
      <c r="E2869" s="4">
        <v>4</v>
      </c>
      <c r="F2869" s="4">
        <v>4</v>
      </c>
      <c r="G2869" s="4">
        <v>1.1000000000000001</v>
      </c>
      <c r="H2869" s="10">
        <v>2016</v>
      </c>
      <c r="I2869" s="5">
        <f t="shared" si="88"/>
        <v>126.48809523809524</v>
      </c>
      <c r="J2869" s="3" t="str">
        <f t="shared" si="89"/>
        <v>Low</v>
      </c>
    </row>
    <row r="2870" spans="1:10">
      <c r="A2870" s="7" t="s">
        <v>2956</v>
      </c>
      <c r="B2870" s="18" t="s">
        <v>2316</v>
      </c>
      <c r="C2870" s="19" t="s">
        <v>2164</v>
      </c>
      <c r="D2870" s="22">
        <v>255000</v>
      </c>
      <c r="E2870" s="7">
        <v>5</v>
      </c>
      <c r="F2870" s="7">
        <v>4</v>
      </c>
      <c r="G2870" s="7">
        <v>2</v>
      </c>
      <c r="H2870" s="12">
        <v>1464</v>
      </c>
      <c r="I2870" s="8">
        <f t="shared" si="88"/>
        <v>174.18032786885246</v>
      </c>
      <c r="J2870" s="3" t="str">
        <f t="shared" si="89"/>
        <v>Low</v>
      </c>
    </row>
    <row r="2871" spans="1:10">
      <c r="A2871" s="4" t="s">
        <v>2957</v>
      </c>
      <c r="B2871" s="16" t="s">
        <v>2316</v>
      </c>
      <c r="C2871" s="17" t="s">
        <v>2164</v>
      </c>
      <c r="D2871" s="21">
        <v>255000</v>
      </c>
      <c r="E2871" s="4">
        <v>5</v>
      </c>
      <c r="F2871" s="4">
        <v>4</v>
      </c>
      <c r="G2871" s="4">
        <v>2</v>
      </c>
      <c r="H2871" s="10">
        <v>1464</v>
      </c>
      <c r="I2871" s="5">
        <f t="shared" si="88"/>
        <v>174.18032786885246</v>
      </c>
      <c r="J2871" s="3" t="str">
        <f t="shared" si="89"/>
        <v>Low</v>
      </c>
    </row>
    <row r="2872" spans="1:10">
      <c r="A2872" s="7" t="s">
        <v>2958</v>
      </c>
      <c r="B2872" s="18" t="s">
        <v>2168</v>
      </c>
      <c r="C2872" s="19" t="s">
        <v>2164</v>
      </c>
      <c r="D2872" s="22">
        <v>255000</v>
      </c>
      <c r="E2872" s="7">
        <v>12</v>
      </c>
      <c r="F2872" s="7">
        <v>3</v>
      </c>
      <c r="G2872" s="7">
        <v>1.1000000000000001</v>
      </c>
      <c r="H2872" s="12">
        <v>1505</v>
      </c>
      <c r="I2872" s="8">
        <f t="shared" si="88"/>
        <v>169.43521594684384</v>
      </c>
      <c r="J2872" s="3" t="str">
        <f t="shared" si="89"/>
        <v>Low</v>
      </c>
    </row>
    <row r="2873" spans="1:10">
      <c r="A2873" s="4" t="s">
        <v>2959</v>
      </c>
      <c r="B2873" s="16" t="s">
        <v>2210</v>
      </c>
      <c r="C2873" s="17" t="s">
        <v>2164</v>
      </c>
      <c r="D2873" s="21">
        <v>255000</v>
      </c>
      <c r="E2873" s="4">
        <v>3</v>
      </c>
      <c r="F2873" s="4">
        <v>3</v>
      </c>
      <c r="G2873" s="4">
        <v>1.1000000000000001</v>
      </c>
      <c r="H2873" s="10">
        <v>1071</v>
      </c>
      <c r="I2873" s="5">
        <f t="shared" si="88"/>
        <v>238.0952380952381</v>
      </c>
      <c r="J2873" s="3" t="str">
        <f t="shared" si="89"/>
        <v>Medium</v>
      </c>
    </row>
    <row r="2874" spans="1:10">
      <c r="A2874" s="7" t="s">
        <v>2960</v>
      </c>
      <c r="B2874" s="18" t="s">
        <v>2210</v>
      </c>
      <c r="C2874" s="19" t="s">
        <v>2164</v>
      </c>
      <c r="D2874" s="22">
        <v>255000</v>
      </c>
      <c r="E2874" s="7">
        <v>72</v>
      </c>
      <c r="F2874" s="7">
        <v>4</v>
      </c>
      <c r="G2874" s="7">
        <v>1.1000000000000001</v>
      </c>
      <c r="H2874" s="12">
        <v>1571</v>
      </c>
      <c r="I2874" s="8">
        <f t="shared" si="88"/>
        <v>162.31699554423935</v>
      </c>
      <c r="J2874" s="3" t="str">
        <f t="shared" si="89"/>
        <v>Low</v>
      </c>
    </row>
    <row r="2875" spans="1:10">
      <c r="A2875" s="4" t="s">
        <v>2961</v>
      </c>
      <c r="B2875" s="16" t="s">
        <v>2227</v>
      </c>
      <c r="C2875" s="17" t="s">
        <v>2164</v>
      </c>
      <c r="D2875" s="21">
        <v>255000</v>
      </c>
      <c r="E2875" s="4">
        <v>7</v>
      </c>
      <c r="F2875" s="4">
        <v>3</v>
      </c>
      <c r="G2875" s="4">
        <v>2.1</v>
      </c>
      <c r="H2875" s="10">
        <v>1520</v>
      </c>
      <c r="I2875" s="5">
        <f t="shared" si="88"/>
        <v>167.76315789473685</v>
      </c>
      <c r="J2875" s="3" t="str">
        <f t="shared" si="89"/>
        <v>Low</v>
      </c>
    </row>
    <row r="2876" spans="1:10">
      <c r="A2876" s="7" t="s">
        <v>2962</v>
      </c>
      <c r="B2876" s="18" t="s">
        <v>2166</v>
      </c>
      <c r="C2876" s="19" t="s">
        <v>2164</v>
      </c>
      <c r="D2876" s="22">
        <v>255000</v>
      </c>
      <c r="E2876" s="7">
        <v>39</v>
      </c>
      <c r="F2876" s="7">
        <v>3</v>
      </c>
      <c r="G2876" s="7">
        <v>1</v>
      </c>
      <c r="H2876" s="12">
        <v>1008</v>
      </c>
      <c r="I2876" s="8">
        <f t="shared" si="88"/>
        <v>252.97619047619048</v>
      </c>
      <c r="J2876" s="3" t="str">
        <f t="shared" si="89"/>
        <v>Medium</v>
      </c>
    </row>
    <row r="2877" spans="1:10">
      <c r="A2877" s="4" t="s">
        <v>2963</v>
      </c>
      <c r="B2877" s="16" t="s">
        <v>2193</v>
      </c>
      <c r="C2877" s="17" t="s">
        <v>2164</v>
      </c>
      <c r="D2877" s="21">
        <v>255000</v>
      </c>
      <c r="E2877" s="4">
        <v>41</v>
      </c>
      <c r="F2877" s="4">
        <v>3</v>
      </c>
      <c r="G2877" s="4">
        <v>1</v>
      </c>
      <c r="H2877" s="10">
        <v>1437</v>
      </c>
      <c r="I2877" s="5">
        <f t="shared" si="88"/>
        <v>177.45302713987473</v>
      </c>
      <c r="J2877" s="3" t="str">
        <f t="shared" si="89"/>
        <v>Low</v>
      </c>
    </row>
    <row r="2878" spans="1:10">
      <c r="A2878" s="7" t="s">
        <v>2964</v>
      </c>
      <c r="B2878" s="18" t="s">
        <v>2193</v>
      </c>
      <c r="C2878" s="19" t="s">
        <v>2164</v>
      </c>
      <c r="D2878" s="22">
        <v>256000</v>
      </c>
      <c r="E2878" s="7">
        <v>6</v>
      </c>
      <c r="F2878" s="7">
        <v>3</v>
      </c>
      <c r="G2878" s="7">
        <v>1</v>
      </c>
      <c r="H2878" s="12">
        <v>1216</v>
      </c>
      <c r="I2878" s="8">
        <f t="shared" si="88"/>
        <v>210.52631578947367</v>
      </c>
      <c r="J2878" s="3" t="str">
        <f t="shared" si="89"/>
        <v>Medium</v>
      </c>
    </row>
    <row r="2879" spans="1:10">
      <c r="A2879" s="4" t="s">
        <v>2965</v>
      </c>
      <c r="B2879" s="16" t="s">
        <v>2316</v>
      </c>
      <c r="C2879" s="17" t="s">
        <v>2164</v>
      </c>
      <c r="D2879" s="21">
        <v>256000</v>
      </c>
      <c r="E2879" s="4">
        <v>61</v>
      </c>
      <c r="F2879" s="4">
        <v>3</v>
      </c>
      <c r="G2879" s="4">
        <v>1</v>
      </c>
      <c r="H2879" s="10">
        <v>1090</v>
      </c>
      <c r="I2879" s="5">
        <f t="shared" si="88"/>
        <v>234.86238532110093</v>
      </c>
      <c r="J2879" s="3" t="str">
        <f t="shared" si="89"/>
        <v>Medium</v>
      </c>
    </row>
    <row r="2880" spans="1:10">
      <c r="A2880" s="7" t="s">
        <v>2966</v>
      </c>
      <c r="B2880" s="18" t="s">
        <v>2168</v>
      </c>
      <c r="C2880" s="19" t="s">
        <v>2164</v>
      </c>
      <c r="D2880" s="22">
        <v>257000</v>
      </c>
      <c r="E2880" s="7">
        <v>13</v>
      </c>
      <c r="F2880" s="7">
        <v>3</v>
      </c>
      <c r="G2880" s="7">
        <v>1.1000000000000001</v>
      </c>
      <c r="H2880" s="12">
        <v>1583</v>
      </c>
      <c r="I2880" s="8">
        <f t="shared" si="88"/>
        <v>162.34996841440304</v>
      </c>
      <c r="J2880" s="3" t="str">
        <f t="shared" si="89"/>
        <v>Low</v>
      </c>
    </row>
    <row r="2881" spans="1:10">
      <c r="A2881" s="4" t="s">
        <v>2967</v>
      </c>
      <c r="B2881" s="16" t="s">
        <v>2193</v>
      </c>
      <c r="C2881" s="17" t="s">
        <v>2164</v>
      </c>
      <c r="D2881" s="21">
        <v>257000</v>
      </c>
      <c r="E2881" s="4">
        <v>5</v>
      </c>
      <c r="F2881" s="4">
        <v>3</v>
      </c>
      <c r="G2881" s="4">
        <v>1.1000000000000001</v>
      </c>
      <c r="H2881" s="10">
        <v>1436</v>
      </c>
      <c r="I2881" s="5">
        <f t="shared" si="88"/>
        <v>178.96935933147631</v>
      </c>
      <c r="J2881" s="3" t="str">
        <f t="shared" si="89"/>
        <v>Low</v>
      </c>
    </row>
    <row r="2882" spans="1:10">
      <c r="A2882" s="7" t="s">
        <v>2968</v>
      </c>
      <c r="B2882" s="18" t="s">
        <v>2210</v>
      </c>
      <c r="C2882" s="19" t="s">
        <v>2164</v>
      </c>
      <c r="D2882" s="22">
        <v>257000</v>
      </c>
      <c r="E2882" s="7">
        <v>3</v>
      </c>
      <c r="F2882" s="7">
        <v>3</v>
      </c>
      <c r="G2882" s="7">
        <v>2</v>
      </c>
      <c r="H2882" s="12">
        <v>1519</v>
      </c>
      <c r="I2882" s="8">
        <f t="shared" ref="I2882:I2945" si="90">D2882/H2882</f>
        <v>169.19025674786045</v>
      </c>
      <c r="J2882" s="3" t="str">
        <f t="shared" ref="J2882:J2945" si="91">IF(I2882 &gt; 300, "High", IF(AND(I2882 &lt;= 300, I2882 &gt; 200), "Medium", "Low"))</f>
        <v>Low</v>
      </c>
    </row>
    <row r="2883" spans="1:10">
      <c r="A2883" s="4" t="s">
        <v>2969</v>
      </c>
      <c r="B2883" s="16" t="s">
        <v>2168</v>
      </c>
      <c r="C2883" s="17" t="s">
        <v>2164</v>
      </c>
      <c r="D2883" s="21">
        <v>257000</v>
      </c>
      <c r="E2883" s="4">
        <v>127</v>
      </c>
      <c r="F2883" s="4">
        <v>3</v>
      </c>
      <c r="G2883" s="4">
        <v>2</v>
      </c>
      <c r="H2883" s="10">
        <v>1200</v>
      </c>
      <c r="I2883" s="5">
        <f t="shared" si="90"/>
        <v>214.16666666666666</v>
      </c>
      <c r="J2883" s="3" t="str">
        <f t="shared" si="91"/>
        <v>Medium</v>
      </c>
    </row>
    <row r="2884" spans="1:10">
      <c r="A2884" s="7" t="s">
        <v>2970</v>
      </c>
      <c r="B2884" s="18" t="s">
        <v>2193</v>
      </c>
      <c r="C2884" s="19" t="s">
        <v>2164</v>
      </c>
      <c r="D2884" s="22">
        <v>258000</v>
      </c>
      <c r="E2884" s="7">
        <v>5</v>
      </c>
      <c r="F2884" s="7">
        <v>3</v>
      </c>
      <c r="G2884" s="7">
        <v>1.1000000000000001</v>
      </c>
      <c r="H2884" s="12">
        <v>1059</v>
      </c>
      <c r="I2884" s="8">
        <f t="shared" si="90"/>
        <v>243.62606232294618</v>
      </c>
      <c r="J2884" s="3" t="str">
        <f t="shared" si="91"/>
        <v>Medium</v>
      </c>
    </row>
    <row r="2885" spans="1:10">
      <c r="A2885" s="4" t="s">
        <v>2971</v>
      </c>
      <c r="B2885" s="16" t="s">
        <v>2210</v>
      </c>
      <c r="C2885" s="17" t="s">
        <v>2164</v>
      </c>
      <c r="D2885" s="21">
        <v>258000</v>
      </c>
      <c r="E2885" s="4">
        <v>59</v>
      </c>
      <c r="F2885" s="4">
        <v>3</v>
      </c>
      <c r="G2885" s="4">
        <v>1.1000000000000001</v>
      </c>
      <c r="H2885" s="10">
        <v>1511</v>
      </c>
      <c r="I2885" s="5">
        <f t="shared" si="90"/>
        <v>170.74784910655194</v>
      </c>
      <c r="J2885" s="3" t="str">
        <f t="shared" si="91"/>
        <v>Low</v>
      </c>
    </row>
    <row r="2886" spans="1:10">
      <c r="A2886" s="7" t="s">
        <v>2972</v>
      </c>
      <c r="B2886" s="18" t="s">
        <v>2938</v>
      </c>
      <c r="C2886" s="19" t="s">
        <v>2164</v>
      </c>
      <c r="D2886" s="22">
        <v>258000</v>
      </c>
      <c r="E2886" s="7">
        <v>6</v>
      </c>
      <c r="F2886" s="7">
        <v>3</v>
      </c>
      <c r="G2886" s="7">
        <v>1</v>
      </c>
      <c r="H2886" s="12">
        <v>1215</v>
      </c>
      <c r="I2886" s="8">
        <f t="shared" si="90"/>
        <v>212.34567901234567</v>
      </c>
      <c r="J2886" s="3" t="str">
        <f t="shared" si="91"/>
        <v>Medium</v>
      </c>
    </row>
    <row r="2887" spans="1:10">
      <c r="A2887" s="4" t="s">
        <v>2973</v>
      </c>
      <c r="B2887" s="16" t="s">
        <v>2168</v>
      </c>
      <c r="C2887" s="17" t="s">
        <v>2164</v>
      </c>
      <c r="D2887" s="21">
        <v>258500</v>
      </c>
      <c r="E2887" s="4">
        <v>15</v>
      </c>
      <c r="F2887" s="4">
        <v>3</v>
      </c>
      <c r="G2887" s="4">
        <v>1.1000000000000001</v>
      </c>
      <c r="H2887" s="10">
        <v>1386</v>
      </c>
      <c r="I2887" s="5">
        <f t="shared" si="90"/>
        <v>186.50793650793651</v>
      </c>
      <c r="J2887" s="3" t="str">
        <f t="shared" si="91"/>
        <v>Low</v>
      </c>
    </row>
    <row r="2888" spans="1:10">
      <c r="A2888" s="7" t="s">
        <v>2974</v>
      </c>
      <c r="B2888" s="18" t="s">
        <v>2168</v>
      </c>
      <c r="C2888" s="19" t="s">
        <v>2164</v>
      </c>
      <c r="D2888" s="22">
        <v>259900</v>
      </c>
      <c r="E2888" s="7">
        <v>45</v>
      </c>
      <c r="F2888" s="7">
        <v>3</v>
      </c>
      <c r="G2888" s="7">
        <v>2</v>
      </c>
      <c r="H2888" s="12">
        <v>1000</v>
      </c>
      <c r="I2888" s="8">
        <f t="shared" si="90"/>
        <v>259.89999999999998</v>
      </c>
      <c r="J2888" s="3" t="str">
        <f t="shared" si="91"/>
        <v>Medium</v>
      </c>
    </row>
    <row r="2889" spans="1:10">
      <c r="A2889" s="4" t="s">
        <v>2975</v>
      </c>
      <c r="B2889" s="16" t="s">
        <v>2563</v>
      </c>
      <c r="C2889" s="17" t="s">
        <v>2164</v>
      </c>
      <c r="D2889" s="21">
        <v>259900</v>
      </c>
      <c r="E2889" s="4">
        <v>8</v>
      </c>
      <c r="F2889" s="4">
        <v>2</v>
      </c>
      <c r="G2889" s="4">
        <v>2</v>
      </c>
      <c r="H2889" s="4">
        <v>944</v>
      </c>
      <c r="I2889" s="5">
        <f t="shared" si="90"/>
        <v>275.31779661016947</v>
      </c>
      <c r="J2889" s="3" t="str">
        <f t="shared" si="91"/>
        <v>Medium</v>
      </c>
    </row>
    <row r="2890" spans="1:10">
      <c r="A2890" s="7" t="s">
        <v>2976</v>
      </c>
      <c r="B2890" s="18" t="s">
        <v>2523</v>
      </c>
      <c r="C2890" s="19" t="s">
        <v>2164</v>
      </c>
      <c r="D2890" s="22">
        <v>259900</v>
      </c>
      <c r="E2890" s="7">
        <v>13</v>
      </c>
      <c r="F2890" s="7">
        <v>4</v>
      </c>
      <c r="G2890" s="7">
        <v>2</v>
      </c>
      <c r="H2890" s="12">
        <v>1478</v>
      </c>
      <c r="I2890" s="8">
        <f t="shared" si="90"/>
        <v>175.84573748308526</v>
      </c>
      <c r="J2890" s="3" t="str">
        <f t="shared" si="91"/>
        <v>Low</v>
      </c>
    </row>
    <row r="2891" spans="1:10">
      <c r="A2891" s="4" t="s">
        <v>2977</v>
      </c>
      <c r="B2891" s="16" t="s">
        <v>2168</v>
      </c>
      <c r="C2891" s="17" t="s">
        <v>2164</v>
      </c>
      <c r="D2891" s="21">
        <v>260000</v>
      </c>
      <c r="E2891" s="4">
        <v>0</v>
      </c>
      <c r="F2891" s="4">
        <v>3</v>
      </c>
      <c r="G2891" s="4">
        <v>1.1000000000000001</v>
      </c>
      <c r="H2891" s="10">
        <v>1572</v>
      </c>
      <c r="I2891" s="5">
        <f t="shared" si="90"/>
        <v>165.39440203562341</v>
      </c>
      <c r="J2891" s="3" t="str">
        <f t="shared" si="91"/>
        <v>Low</v>
      </c>
    </row>
    <row r="2892" spans="1:10">
      <c r="A2892" s="7" t="s">
        <v>2978</v>
      </c>
      <c r="B2892" s="18" t="s">
        <v>2168</v>
      </c>
      <c r="C2892" s="19" t="s">
        <v>2164</v>
      </c>
      <c r="D2892" s="22">
        <v>260000</v>
      </c>
      <c r="E2892" s="7">
        <v>10</v>
      </c>
      <c r="F2892" s="7">
        <v>3</v>
      </c>
      <c r="G2892" s="7">
        <v>1.1000000000000001</v>
      </c>
      <c r="H2892" s="12">
        <v>1647</v>
      </c>
      <c r="I2892" s="8">
        <f t="shared" si="90"/>
        <v>157.86278081360049</v>
      </c>
      <c r="J2892" s="3" t="str">
        <f t="shared" si="91"/>
        <v>Low</v>
      </c>
    </row>
    <row r="2893" spans="1:10">
      <c r="A2893" s="4" t="s">
        <v>2979</v>
      </c>
      <c r="B2893" s="16" t="s">
        <v>2168</v>
      </c>
      <c r="C2893" s="17" t="s">
        <v>2164</v>
      </c>
      <c r="D2893" s="21">
        <v>260000</v>
      </c>
      <c r="E2893" s="4">
        <v>8</v>
      </c>
      <c r="F2893" s="4">
        <v>3</v>
      </c>
      <c r="G2893" s="4">
        <v>2</v>
      </c>
      <c r="H2893" s="10">
        <v>1032</v>
      </c>
      <c r="I2893" s="5">
        <f t="shared" si="90"/>
        <v>251.93798449612405</v>
      </c>
      <c r="J2893" s="3" t="str">
        <f t="shared" si="91"/>
        <v>Medium</v>
      </c>
    </row>
    <row r="2894" spans="1:10">
      <c r="A2894" s="7" t="s">
        <v>2980</v>
      </c>
      <c r="B2894" s="18" t="s">
        <v>2193</v>
      </c>
      <c r="C2894" s="19" t="s">
        <v>2164</v>
      </c>
      <c r="D2894" s="22">
        <v>260000</v>
      </c>
      <c r="E2894" s="7">
        <v>4</v>
      </c>
      <c r="F2894" s="7">
        <v>3</v>
      </c>
      <c r="G2894" s="7">
        <v>1.1000000000000001</v>
      </c>
      <c r="H2894" s="12">
        <v>1240</v>
      </c>
      <c r="I2894" s="8">
        <f t="shared" si="90"/>
        <v>209.67741935483872</v>
      </c>
      <c r="J2894" s="3" t="str">
        <f t="shared" si="91"/>
        <v>Medium</v>
      </c>
    </row>
    <row r="2895" spans="1:10">
      <c r="A2895" s="4" t="s">
        <v>2981</v>
      </c>
      <c r="B2895" s="16" t="s">
        <v>2181</v>
      </c>
      <c r="C2895" s="17" t="s">
        <v>2164</v>
      </c>
      <c r="D2895" s="21">
        <v>260000</v>
      </c>
      <c r="E2895" s="4">
        <v>7</v>
      </c>
      <c r="F2895" s="4">
        <v>3</v>
      </c>
      <c r="G2895" s="4">
        <v>1</v>
      </c>
      <c r="H2895" s="10">
        <v>1295</v>
      </c>
      <c r="I2895" s="5">
        <f t="shared" si="90"/>
        <v>200.77220077220076</v>
      </c>
      <c r="J2895" s="3" t="str">
        <f t="shared" si="91"/>
        <v>Medium</v>
      </c>
    </row>
    <row r="2896" spans="1:10">
      <c r="A2896" s="7" t="s">
        <v>2982</v>
      </c>
      <c r="B2896" s="18" t="s">
        <v>2210</v>
      </c>
      <c r="C2896" s="19" t="s">
        <v>2164</v>
      </c>
      <c r="D2896" s="22">
        <v>260000</v>
      </c>
      <c r="E2896" s="7">
        <v>17</v>
      </c>
      <c r="F2896" s="7">
        <v>3</v>
      </c>
      <c r="G2896" s="7">
        <v>2</v>
      </c>
      <c r="H2896" s="12">
        <v>1365</v>
      </c>
      <c r="I2896" s="8">
        <f t="shared" si="90"/>
        <v>190.47619047619048</v>
      </c>
      <c r="J2896" s="3" t="str">
        <f t="shared" si="91"/>
        <v>Low</v>
      </c>
    </row>
    <row r="2897" spans="1:10">
      <c r="A2897" s="4" t="s">
        <v>2983</v>
      </c>
      <c r="B2897" s="16" t="s">
        <v>2168</v>
      </c>
      <c r="C2897" s="17" t="s">
        <v>2164</v>
      </c>
      <c r="D2897" s="21">
        <v>260000</v>
      </c>
      <c r="E2897" s="4">
        <v>3</v>
      </c>
      <c r="F2897" s="4">
        <v>3</v>
      </c>
      <c r="G2897" s="4">
        <v>1.1000000000000001</v>
      </c>
      <c r="H2897" s="10">
        <v>1449</v>
      </c>
      <c r="I2897" s="5">
        <f t="shared" si="90"/>
        <v>179.43409247757074</v>
      </c>
      <c r="J2897" s="3" t="str">
        <f t="shared" si="91"/>
        <v>Low</v>
      </c>
    </row>
    <row r="2898" spans="1:10">
      <c r="A2898" s="7" t="s">
        <v>2984</v>
      </c>
      <c r="B2898" s="18" t="s">
        <v>2166</v>
      </c>
      <c r="C2898" s="19" t="s">
        <v>2164</v>
      </c>
      <c r="D2898" s="22">
        <v>260000</v>
      </c>
      <c r="E2898" s="7">
        <v>2</v>
      </c>
      <c r="F2898" s="7">
        <v>3</v>
      </c>
      <c r="G2898" s="7">
        <v>2.1</v>
      </c>
      <c r="H2898" s="12">
        <v>1400</v>
      </c>
      <c r="I2898" s="8">
        <f t="shared" si="90"/>
        <v>185.71428571428572</v>
      </c>
      <c r="J2898" s="3" t="str">
        <f t="shared" si="91"/>
        <v>Low</v>
      </c>
    </row>
    <row r="2899" spans="1:10">
      <c r="A2899" s="4" t="s">
        <v>2985</v>
      </c>
      <c r="B2899" s="16" t="s">
        <v>2193</v>
      </c>
      <c r="C2899" s="17" t="s">
        <v>2164</v>
      </c>
      <c r="D2899" s="21">
        <v>260000</v>
      </c>
      <c r="E2899" s="4">
        <v>19</v>
      </c>
      <c r="F2899" s="4">
        <v>3</v>
      </c>
      <c r="G2899" s="4">
        <v>1</v>
      </c>
      <c r="H2899" s="10">
        <v>1495</v>
      </c>
      <c r="I2899" s="5">
        <f t="shared" si="90"/>
        <v>173.91304347826087</v>
      </c>
      <c r="J2899" s="3" t="str">
        <f t="shared" si="91"/>
        <v>Low</v>
      </c>
    </row>
    <row r="2900" spans="1:10">
      <c r="A2900" s="7" t="s">
        <v>2986</v>
      </c>
      <c r="B2900" s="18" t="s">
        <v>2252</v>
      </c>
      <c r="C2900" s="19" t="s">
        <v>2164</v>
      </c>
      <c r="D2900" s="22">
        <v>260000</v>
      </c>
      <c r="E2900" s="7">
        <v>48</v>
      </c>
      <c r="F2900" s="7">
        <v>4</v>
      </c>
      <c r="G2900" s="7">
        <v>2.2000000000000002</v>
      </c>
      <c r="H2900" s="12">
        <v>2052</v>
      </c>
      <c r="I2900" s="8">
        <f t="shared" si="90"/>
        <v>126.7056530214425</v>
      </c>
      <c r="J2900" s="3" t="str">
        <f t="shared" si="91"/>
        <v>Low</v>
      </c>
    </row>
    <row r="2901" spans="1:10">
      <c r="A2901" s="4" t="s">
        <v>2987</v>
      </c>
      <c r="B2901" s="16" t="s">
        <v>2193</v>
      </c>
      <c r="C2901" s="17" t="s">
        <v>2164</v>
      </c>
      <c r="D2901" s="21">
        <v>260000</v>
      </c>
      <c r="E2901" s="4">
        <v>94</v>
      </c>
      <c r="F2901" s="4">
        <v>3</v>
      </c>
      <c r="G2901" s="4">
        <v>2.1</v>
      </c>
      <c r="H2901" s="10">
        <v>1520</v>
      </c>
      <c r="I2901" s="5">
        <f t="shared" si="90"/>
        <v>171.05263157894737</v>
      </c>
      <c r="J2901" s="3" t="str">
        <f t="shared" si="91"/>
        <v>Low</v>
      </c>
    </row>
    <row r="2902" spans="1:10">
      <c r="A2902" s="7" t="s">
        <v>2988</v>
      </c>
      <c r="B2902" s="18" t="s">
        <v>2193</v>
      </c>
      <c r="C2902" s="19" t="s">
        <v>2164</v>
      </c>
      <c r="D2902" s="22">
        <v>260000</v>
      </c>
      <c r="E2902" s="7">
        <v>169</v>
      </c>
      <c r="F2902" s="7">
        <v>4</v>
      </c>
      <c r="G2902" s="7">
        <v>2</v>
      </c>
      <c r="H2902" s="12">
        <v>1920</v>
      </c>
      <c r="I2902" s="8">
        <f t="shared" si="90"/>
        <v>135.41666666666666</v>
      </c>
      <c r="J2902" s="3" t="str">
        <f t="shared" si="91"/>
        <v>Low</v>
      </c>
    </row>
    <row r="2903" spans="1:10">
      <c r="A2903" s="4" t="s">
        <v>2989</v>
      </c>
      <c r="B2903" s="16" t="s">
        <v>2168</v>
      </c>
      <c r="C2903" s="17" t="s">
        <v>2164</v>
      </c>
      <c r="D2903" s="21">
        <v>260000</v>
      </c>
      <c r="E2903" s="4">
        <v>31</v>
      </c>
      <c r="F2903" s="4">
        <v>3</v>
      </c>
      <c r="G2903" s="4">
        <v>1</v>
      </c>
      <c r="H2903" s="10">
        <v>1124</v>
      </c>
      <c r="I2903" s="5">
        <f t="shared" si="90"/>
        <v>231.3167259786477</v>
      </c>
      <c r="J2903" s="3" t="str">
        <f t="shared" si="91"/>
        <v>Medium</v>
      </c>
    </row>
    <row r="2904" spans="1:10">
      <c r="A2904" s="7" t="s">
        <v>2990</v>
      </c>
      <c r="B2904" s="18" t="s">
        <v>2193</v>
      </c>
      <c r="C2904" s="19" t="s">
        <v>2164</v>
      </c>
      <c r="D2904" s="22">
        <v>260000</v>
      </c>
      <c r="E2904" s="7">
        <v>257</v>
      </c>
      <c r="F2904" s="7">
        <v>3</v>
      </c>
      <c r="G2904" s="7">
        <v>1.1000000000000001</v>
      </c>
      <c r="H2904" s="12">
        <v>1595</v>
      </c>
      <c r="I2904" s="8">
        <f t="shared" si="90"/>
        <v>163.00940438871473</v>
      </c>
      <c r="J2904" s="3" t="str">
        <f t="shared" si="91"/>
        <v>Low</v>
      </c>
    </row>
    <row r="2905" spans="1:10">
      <c r="A2905" s="4" t="s">
        <v>2991</v>
      </c>
      <c r="B2905" s="16" t="s">
        <v>2168</v>
      </c>
      <c r="C2905" s="17" t="s">
        <v>2164</v>
      </c>
      <c r="D2905" s="21">
        <v>260000</v>
      </c>
      <c r="E2905" s="4">
        <v>209</v>
      </c>
      <c r="F2905" s="4">
        <v>3</v>
      </c>
      <c r="G2905" s="4">
        <v>2</v>
      </c>
      <c r="H2905" s="10">
        <v>1250</v>
      </c>
      <c r="I2905" s="5">
        <f t="shared" si="90"/>
        <v>208</v>
      </c>
      <c r="J2905" s="3" t="str">
        <f t="shared" si="91"/>
        <v>Medium</v>
      </c>
    </row>
    <row r="2906" spans="1:10">
      <c r="A2906" s="7" t="s">
        <v>2992</v>
      </c>
      <c r="B2906" s="18" t="s">
        <v>2168</v>
      </c>
      <c r="C2906" s="19" t="s">
        <v>2164</v>
      </c>
      <c r="D2906" s="22">
        <v>261000</v>
      </c>
      <c r="E2906" s="7">
        <v>5</v>
      </c>
      <c r="F2906" s="7">
        <v>3</v>
      </c>
      <c r="G2906" s="7">
        <v>1.1000000000000001</v>
      </c>
      <c r="H2906" s="12">
        <v>1112</v>
      </c>
      <c r="I2906" s="8">
        <f t="shared" si="90"/>
        <v>234.71223021582733</v>
      </c>
      <c r="J2906" s="3" t="str">
        <f t="shared" si="91"/>
        <v>Medium</v>
      </c>
    </row>
    <row r="2907" spans="1:10">
      <c r="A2907" s="4" t="s">
        <v>2993</v>
      </c>
      <c r="B2907" s="16" t="s">
        <v>2168</v>
      </c>
      <c r="C2907" s="17" t="s">
        <v>2164</v>
      </c>
      <c r="D2907" s="21">
        <v>261000</v>
      </c>
      <c r="E2907" s="4">
        <v>2</v>
      </c>
      <c r="F2907" s="4">
        <v>3</v>
      </c>
      <c r="G2907" s="4">
        <v>1.1000000000000001</v>
      </c>
      <c r="H2907" s="10">
        <v>1390</v>
      </c>
      <c r="I2907" s="5">
        <f t="shared" si="90"/>
        <v>187.76978417266187</v>
      </c>
      <c r="J2907" s="3" t="str">
        <f t="shared" si="91"/>
        <v>Low</v>
      </c>
    </row>
    <row r="2908" spans="1:10">
      <c r="A2908" s="7" t="s">
        <v>2994</v>
      </c>
      <c r="B2908" s="18" t="s">
        <v>2168</v>
      </c>
      <c r="C2908" s="19" t="s">
        <v>2164</v>
      </c>
      <c r="D2908" s="22">
        <v>261500</v>
      </c>
      <c r="E2908" s="7">
        <v>55</v>
      </c>
      <c r="F2908" s="7">
        <v>4</v>
      </c>
      <c r="G2908" s="7">
        <v>1.1000000000000001</v>
      </c>
      <c r="H2908" s="12">
        <v>1570</v>
      </c>
      <c r="I2908" s="8">
        <f t="shared" si="90"/>
        <v>166.56050955414014</v>
      </c>
      <c r="J2908" s="3" t="str">
        <f t="shared" si="91"/>
        <v>Low</v>
      </c>
    </row>
    <row r="2909" spans="1:10">
      <c r="A2909" s="4" t="s">
        <v>2995</v>
      </c>
      <c r="B2909" s="16" t="s">
        <v>2210</v>
      </c>
      <c r="C2909" s="17" t="s">
        <v>2164</v>
      </c>
      <c r="D2909" s="21">
        <v>262000</v>
      </c>
      <c r="E2909" s="4">
        <v>8</v>
      </c>
      <c r="F2909" s="4">
        <v>3</v>
      </c>
      <c r="G2909" s="4">
        <v>2</v>
      </c>
      <c r="H2909" s="10">
        <v>1050</v>
      </c>
      <c r="I2909" s="5">
        <f t="shared" si="90"/>
        <v>249.52380952380952</v>
      </c>
      <c r="J2909" s="3" t="str">
        <f t="shared" si="91"/>
        <v>Medium</v>
      </c>
    </row>
    <row r="2910" spans="1:10">
      <c r="A2910" s="7" t="s">
        <v>2996</v>
      </c>
      <c r="B2910" s="18" t="s">
        <v>2407</v>
      </c>
      <c r="C2910" s="19" t="s">
        <v>2164</v>
      </c>
      <c r="D2910" s="22">
        <v>262000</v>
      </c>
      <c r="E2910" s="7">
        <v>42</v>
      </c>
      <c r="F2910" s="7">
        <v>3</v>
      </c>
      <c r="G2910" s="7">
        <v>2</v>
      </c>
      <c r="H2910" s="12">
        <v>1400</v>
      </c>
      <c r="I2910" s="8">
        <f t="shared" si="90"/>
        <v>187.14285714285714</v>
      </c>
      <c r="J2910" s="3" t="str">
        <f t="shared" si="91"/>
        <v>Low</v>
      </c>
    </row>
    <row r="2911" spans="1:10">
      <c r="A2911" s="4" t="s">
        <v>2997</v>
      </c>
      <c r="B2911" s="16" t="s">
        <v>2193</v>
      </c>
      <c r="C2911" s="17" t="s">
        <v>2164</v>
      </c>
      <c r="D2911" s="21">
        <v>262000</v>
      </c>
      <c r="E2911" s="4">
        <v>17</v>
      </c>
      <c r="F2911" s="4">
        <v>3</v>
      </c>
      <c r="G2911" s="4">
        <v>1.1000000000000001</v>
      </c>
      <c r="H2911" s="10">
        <v>1464</v>
      </c>
      <c r="I2911" s="5">
        <f t="shared" si="90"/>
        <v>178.96174863387978</v>
      </c>
      <c r="J2911" s="3" t="str">
        <f t="shared" si="91"/>
        <v>Low</v>
      </c>
    </row>
    <row r="2912" spans="1:10">
      <c r="A2912" s="7" t="s">
        <v>2998</v>
      </c>
      <c r="B2912" s="18" t="s">
        <v>2193</v>
      </c>
      <c r="C2912" s="19" t="s">
        <v>2164</v>
      </c>
      <c r="D2912" s="22">
        <v>262500</v>
      </c>
      <c r="E2912" s="7">
        <v>10</v>
      </c>
      <c r="F2912" s="7">
        <v>3</v>
      </c>
      <c r="G2912" s="7">
        <v>1.1000000000000001</v>
      </c>
      <c r="H2912" s="12">
        <v>1403</v>
      </c>
      <c r="I2912" s="8">
        <f t="shared" si="90"/>
        <v>187.09907341411261</v>
      </c>
      <c r="J2912" s="3" t="str">
        <f t="shared" si="91"/>
        <v>Low</v>
      </c>
    </row>
    <row r="2913" spans="1:10">
      <c r="A2913" s="4" t="s">
        <v>2999</v>
      </c>
      <c r="B2913" s="16" t="s">
        <v>2168</v>
      </c>
      <c r="C2913" s="17" t="s">
        <v>2164</v>
      </c>
      <c r="D2913" s="21">
        <v>263000</v>
      </c>
      <c r="E2913" s="4">
        <v>3</v>
      </c>
      <c r="F2913" s="4">
        <v>3</v>
      </c>
      <c r="G2913" s="4">
        <v>1.1000000000000001</v>
      </c>
      <c r="H2913" s="10">
        <v>1003</v>
      </c>
      <c r="I2913" s="5">
        <f t="shared" si="90"/>
        <v>262.21335992023927</v>
      </c>
      <c r="J2913" s="3" t="str">
        <f t="shared" si="91"/>
        <v>Medium</v>
      </c>
    </row>
    <row r="2914" spans="1:10">
      <c r="A2914" s="7" t="s">
        <v>3000</v>
      </c>
      <c r="B2914" s="18" t="s">
        <v>2168</v>
      </c>
      <c r="C2914" s="19" t="s">
        <v>2164</v>
      </c>
      <c r="D2914" s="22">
        <v>264250</v>
      </c>
      <c r="E2914" s="7">
        <v>12</v>
      </c>
      <c r="F2914" s="7">
        <v>3</v>
      </c>
      <c r="G2914" s="7">
        <v>1.1000000000000001</v>
      </c>
      <c r="H2914" s="12">
        <v>1366</v>
      </c>
      <c r="I2914" s="8">
        <f t="shared" si="90"/>
        <v>193.4480234260615</v>
      </c>
      <c r="J2914" s="3" t="str">
        <f t="shared" si="91"/>
        <v>Low</v>
      </c>
    </row>
    <row r="2915" spans="1:10">
      <c r="A2915" s="4" t="s">
        <v>3001</v>
      </c>
      <c r="B2915" s="16" t="s">
        <v>2210</v>
      </c>
      <c r="C2915" s="17" t="s">
        <v>2164</v>
      </c>
      <c r="D2915" s="21">
        <v>264750</v>
      </c>
      <c r="E2915" s="4">
        <v>5</v>
      </c>
      <c r="F2915" s="4">
        <v>3</v>
      </c>
      <c r="G2915" s="4">
        <v>2</v>
      </c>
      <c r="H2915" s="10">
        <v>1531</v>
      </c>
      <c r="I2915" s="5">
        <f t="shared" si="90"/>
        <v>172.92619203135206</v>
      </c>
      <c r="J2915" s="3" t="str">
        <f t="shared" si="91"/>
        <v>Low</v>
      </c>
    </row>
    <row r="2916" spans="1:10">
      <c r="A2916" s="7" t="s">
        <v>3002</v>
      </c>
      <c r="B2916" s="18" t="s">
        <v>2193</v>
      </c>
      <c r="C2916" s="19" t="s">
        <v>2164</v>
      </c>
      <c r="D2916" s="22">
        <v>265000</v>
      </c>
      <c r="E2916" s="7">
        <v>9</v>
      </c>
      <c r="F2916" s="7">
        <v>3</v>
      </c>
      <c r="G2916" s="7">
        <v>1</v>
      </c>
      <c r="H2916" s="12">
        <v>1000</v>
      </c>
      <c r="I2916" s="8">
        <f t="shared" si="90"/>
        <v>265</v>
      </c>
      <c r="J2916" s="3" t="str">
        <f t="shared" si="91"/>
        <v>Medium</v>
      </c>
    </row>
    <row r="2917" spans="1:10">
      <c r="A2917" s="4" t="s">
        <v>3003</v>
      </c>
      <c r="B2917" s="16" t="s">
        <v>2193</v>
      </c>
      <c r="C2917" s="17" t="s">
        <v>2164</v>
      </c>
      <c r="D2917" s="21">
        <v>265000</v>
      </c>
      <c r="E2917" s="4">
        <v>6</v>
      </c>
      <c r="F2917" s="4">
        <v>3</v>
      </c>
      <c r="G2917" s="4">
        <v>1.1000000000000001</v>
      </c>
      <c r="H2917" s="10">
        <v>1469</v>
      </c>
      <c r="I2917" s="5">
        <f t="shared" si="90"/>
        <v>180.39482641252553</v>
      </c>
      <c r="J2917" s="3" t="str">
        <f t="shared" si="91"/>
        <v>Low</v>
      </c>
    </row>
    <row r="2918" spans="1:10">
      <c r="A2918" s="7" t="s">
        <v>3004</v>
      </c>
      <c r="B2918" s="18" t="s">
        <v>2316</v>
      </c>
      <c r="C2918" s="19" t="s">
        <v>2164</v>
      </c>
      <c r="D2918" s="22">
        <v>265000</v>
      </c>
      <c r="E2918" s="7">
        <v>5</v>
      </c>
      <c r="F2918" s="7">
        <v>3</v>
      </c>
      <c r="G2918" s="7">
        <v>1.1000000000000001</v>
      </c>
      <c r="H2918" s="12">
        <v>1300</v>
      </c>
      <c r="I2918" s="8">
        <f t="shared" si="90"/>
        <v>203.84615384615384</v>
      </c>
      <c r="J2918" s="3" t="str">
        <f t="shared" si="91"/>
        <v>Medium</v>
      </c>
    </row>
    <row r="2919" spans="1:10">
      <c r="A2919" s="4" t="s">
        <v>3005</v>
      </c>
      <c r="B2919" s="16" t="s">
        <v>2193</v>
      </c>
      <c r="C2919" s="17" t="s">
        <v>2164</v>
      </c>
      <c r="D2919" s="21">
        <v>265000</v>
      </c>
      <c r="E2919" s="4">
        <v>21</v>
      </c>
      <c r="F2919" s="4">
        <v>3</v>
      </c>
      <c r="G2919" s="4">
        <v>2</v>
      </c>
      <c r="H2919" s="10">
        <v>1185</v>
      </c>
      <c r="I2919" s="5">
        <f t="shared" si="90"/>
        <v>223.62869198312237</v>
      </c>
      <c r="J2919" s="3" t="str">
        <f t="shared" si="91"/>
        <v>Medium</v>
      </c>
    </row>
    <row r="2920" spans="1:10">
      <c r="A2920" s="7" t="s">
        <v>3006</v>
      </c>
      <c r="B2920" s="18" t="s">
        <v>2163</v>
      </c>
      <c r="C2920" s="19" t="s">
        <v>2164</v>
      </c>
      <c r="D2920" s="22">
        <v>265000</v>
      </c>
      <c r="E2920" s="7">
        <v>18</v>
      </c>
      <c r="F2920" s="7">
        <v>3</v>
      </c>
      <c r="G2920" s="7">
        <v>2</v>
      </c>
      <c r="H2920" s="12">
        <v>1791</v>
      </c>
      <c r="I2920" s="8">
        <f t="shared" si="90"/>
        <v>147.96203238414293</v>
      </c>
      <c r="J2920" s="3" t="str">
        <f t="shared" si="91"/>
        <v>Low</v>
      </c>
    </row>
    <row r="2921" spans="1:10">
      <c r="A2921" s="4" t="s">
        <v>3007</v>
      </c>
      <c r="B2921" s="16" t="s">
        <v>2316</v>
      </c>
      <c r="C2921" s="17" t="s">
        <v>2164</v>
      </c>
      <c r="D2921" s="21">
        <v>265000</v>
      </c>
      <c r="E2921" s="4">
        <v>4</v>
      </c>
      <c r="F2921" s="4">
        <v>3</v>
      </c>
      <c r="G2921" s="4">
        <v>1.1000000000000001</v>
      </c>
      <c r="H2921" s="10">
        <v>1102</v>
      </c>
      <c r="I2921" s="5">
        <f t="shared" si="90"/>
        <v>240.47186932849365</v>
      </c>
      <c r="J2921" s="3" t="str">
        <f t="shared" si="91"/>
        <v>Medium</v>
      </c>
    </row>
    <row r="2922" spans="1:10">
      <c r="A2922" s="7" t="s">
        <v>3008</v>
      </c>
      <c r="B2922" s="18" t="s">
        <v>2316</v>
      </c>
      <c r="C2922" s="19" t="s">
        <v>2164</v>
      </c>
      <c r="D2922" s="22">
        <v>265000</v>
      </c>
      <c r="E2922" s="7">
        <v>5</v>
      </c>
      <c r="F2922" s="7">
        <v>3</v>
      </c>
      <c r="G2922" s="7">
        <v>2</v>
      </c>
      <c r="H2922" s="12">
        <v>1329</v>
      </c>
      <c r="I2922" s="8">
        <f t="shared" si="90"/>
        <v>199.39804364183595</v>
      </c>
      <c r="J2922" s="3" t="str">
        <f t="shared" si="91"/>
        <v>Low</v>
      </c>
    </row>
    <row r="2923" spans="1:10">
      <c r="A2923" s="4" t="s">
        <v>3009</v>
      </c>
      <c r="B2923" s="16" t="s">
        <v>2193</v>
      </c>
      <c r="C2923" s="17" t="s">
        <v>2164</v>
      </c>
      <c r="D2923" s="21">
        <v>265000</v>
      </c>
      <c r="E2923" s="4">
        <v>32</v>
      </c>
      <c r="F2923" s="4">
        <v>3</v>
      </c>
      <c r="G2923" s="4">
        <v>2</v>
      </c>
      <c r="H2923" s="10">
        <v>1706</v>
      </c>
      <c r="I2923" s="5">
        <f t="shared" si="90"/>
        <v>155.33411488862836</v>
      </c>
      <c r="J2923" s="3" t="str">
        <f t="shared" si="91"/>
        <v>Low</v>
      </c>
    </row>
    <row r="2924" spans="1:10">
      <c r="A2924" s="7" t="s">
        <v>3010</v>
      </c>
      <c r="B2924" s="18" t="s">
        <v>2168</v>
      </c>
      <c r="C2924" s="19" t="s">
        <v>2164</v>
      </c>
      <c r="D2924" s="22">
        <v>265000</v>
      </c>
      <c r="E2924" s="7">
        <v>7</v>
      </c>
      <c r="F2924" s="7">
        <v>3</v>
      </c>
      <c r="G2924" s="7">
        <v>1</v>
      </c>
      <c r="H2924" s="12">
        <v>1131</v>
      </c>
      <c r="I2924" s="8">
        <f t="shared" si="90"/>
        <v>234.30592396109637</v>
      </c>
      <c r="J2924" s="3" t="str">
        <f t="shared" si="91"/>
        <v>Medium</v>
      </c>
    </row>
    <row r="2925" spans="1:10">
      <c r="A2925" s="4" t="s">
        <v>3011</v>
      </c>
      <c r="B2925" s="16" t="s">
        <v>2193</v>
      </c>
      <c r="C2925" s="17" t="s">
        <v>2164</v>
      </c>
      <c r="D2925" s="21">
        <v>265000</v>
      </c>
      <c r="E2925" s="4">
        <v>6</v>
      </c>
      <c r="F2925" s="4">
        <v>3</v>
      </c>
      <c r="G2925" s="4">
        <v>2</v>
      </c>
      <c r="H2925" s="10">
        <v>1003</v>
      </c>
      <c r="I2925" s="5">
        <f t="shared" si="90"/>
        <v>264.2073778664008</v>
      </c>
      <c r="J2925" s="3" t="str">
        <f t="shared" si="91"/>
        <v>Medium</v>
      </c>
    </row>
    <row r="2926" spans="1:10">
      <c r="A2926" s="7" t="s">
        <v>3012</v>
      </c>
      <c r="B2926" s="18" t="s">
        <v>2210</v>
      </c>
      <c r="C2926" s="19" t="s">
        <v>2164</v>
      </c>
      <c r="D2926" s="22">
        <v>265000</v>
      </c>
      <c r="E2926" s="7">
        <v>28</v>
      </c>
      <c r="F2926" s="7">
        <v>3</v>
      </c>
      <c r="G2926" s="7">
        <v>2</v>
      </c>
      <c r="H2926" s="12">
        <v>1261</v>
      </c>
      <c r="I2926" s="8">
        <f t="shared" si="90"/>
        <v>210.15067406819983</v>
      </c>
      <c r="J2926" s="3" t="str">
        <f t="shared" si="91"/>
        <v>Medium</v>
      </c>
    </row>
    <row r="2927" spans="1:10">
      <c r="A2927" s="4" t="s">
        <v>3013</v>
      </c>
      <c r="B2927" s="16" t="s">
        <v>2193</v>
      </c>
      <c r="C2927" s="17" t="s">
        <v>2164</v>
      </c>
      <c r="D2927" s="21">
        <v>265000</v>
      </c>
      <c r="E2927" s="4">
        <v>9</v>
      </c>
      <c r="F2927" s="4">
        <v>3</v>
      </c>
      <c r="G2927" s="4">
        <v>1.1000000000000001</v>
      </c>
      <c r="H2927" s="10">
        <v>1541</v>
      </c>
      <c r="I2927" s="5">
        <f t="shared" si="90"/>
        <v>171.96625567813109</v>
      </c>
      <c r="J2927" s="3" t="str">
        <f t="shared" si="91"/>
        <v>Low</v>
      </c>
    </row>
    <row r="2928" spans="1:10">
      <c r="A2928" s="7" t="s">
        <v>3014</v>
      </c>
      <c r="B2928" s="18" t="s">
        <v>2168</v>
      </c>
      <c r="C2928" s="19" t="s">
        <v>2164</v>
      </c>
      <c r="D2928" s="22">
        <v>265000</v>
      </c>
      <c r="E2928" s="7">
        <v>11</v>
      </c>
      <c r="F2928" s="7">
        <v>3</v>
      </c>
      <c r="G2928" s="7">
        <v>2.1</v>
      </c>
      <c r="H2928" s="12">
        <v>1118</v>
      </c>
      <c r="I2928" s="8">
        <f t="shared" si="90"/>
        <v>237.0304114490161</v>
      </c>
      <c r="J2928" s="3" t="str">
        <f t="shared" si="91"/>
        <v>Medium</v>
      </c>
    </row>
    <row r="2929" spans="1:10">
      <c r="A2929" s="4" t="s">
        <v>3015</v>
      </c>
      <c r="B2929" s="16" t="s">
        <v>2168</v>
      </c>
      <c r="C2929" s="17" t="s">
        <v>2164</v>
      </c>
      <c r="D2929" s="21">
        <v>267000</v>
      </c>
      <c r="E2929" s="4">
        <v>8</v>
      </c>
      <c r="F2929" s="4">
        <v>3</v>
      </c>
      <c r="G2929" s="4">
        <v>3</v>
      </c>
      <c r="H2929" s="10">
        <v>1256</v>
      </c>
      <c r="I2929" s="5">
        <f t="shared" si="90"/>
        <v>212.5796178343949</v>
      </c>
      <c r="J2929" s="3" t="str">
        <f t="shared" si="91"/>
        <v>Medium</v>
      </c>
    </row>
    <row r="2930" spans="1:10">
      <c r="A2930" s="7" t="s">
        <v>3016</v>
      </c>
      <c r="B2930" s="18" t="s">
        <v>2168</v>
      </c>
      <c r="C2930" s="19" t="s">
        <v>2164</v>
      </c>
      <c r="D2930" s="22">
        <v>267000</v>
      </c>
      <c r="E2930" s="7">
        <v>5</v>
      </c>
      <c r="F2930" s="7">
        <v>3</v>
      </c>
      <c r="G2930" s="7">
        <v>1.1000000000000001</v>
      </c>
      <c r="H2930" s="12">
        <v>1315</v>
      </c>
      <c r="I2930" s="8">
        <f t="shared" si="90"/>
        <v>203.04182509505702</v>
      </c>
      <c r="J2930" s="3" t="str">
        <f t="shared" si="91"/>
        <v>Medium</v>
      </c>
    </row>
    <row r="2931" spans="1:10">
      <c r="A2931" s="4" t="s">
        <v>3017</v>
      </c>
      <c r="B2931" s="16" t="s">
        <v>2168</v>
      </c>
      <c r="C2931" s="17" t="s">
        <v>2164</v>
      </c>
      <c r="D2931" s="21">
        <v>267000</v>
      </c>
      <c r="E2931" s="4">
        <v>41</v>
      </c>
      <c r="F2931" s="4">
        <v>3</v>
      </c>
      <c r="G2931" s="4">
        <v>1.1000000000000001</v>
      </c>
      <c r="H2931" s="10">
        <v>1537</v>
      </c>
      <c r="I2931" s="5">
        <f t="shared" si="90"/>
        <v>173.71502927781393</v>
      </c>
      <c r="J2931" s="3" t="str">
        <f t="shared" si="91"/>
        <v>Low</v>
      </c>
    </row>
    <row r="2932" spans="1:10">
      <c r="A2932" s="7" t="s">
        <v>3018</v>
      </c>
      <c r="B2932" s="18" t="s">
        <v>2168</v>
      </c>
      <c r="C2932" s="19" t="s">
        <v>2164</v>
      </c>
      <c r="D2932" s="22">
        <v>267000</v>
      </c>
      <c r="E2932" s="7">
        <v>38</v>
      </c>
      <c r="F2932" s="7">
        <v>4</v>
      </c>
      <c r="G2932" s="7">
        <v>2.1</v>
      </c>
      <c r="H2932" s="12">
        <v>1786</v>
      </c>
      <c r="I2932" s="8">
        <f t="shared" si="90"/>
        <v>149.49608062709967</v>
      </c>
      <c r="J2932" s="3" t="str">
        <f t="shared" si="91"/>
        <v>Low</v>
      </c>
    </row>
    <row r="2933" spans="1:10">
      <c r="A2933" s="4" t="s">
        <v>3019</v>
      </c>
      <c r="B2933" s="16" t="s">
        <v>2193</v>
      </c>
      <c r="C2933" s="17" t="s">
        <v>2164</v>
      </c>
      <c r="D2933" s="21">
        <v>267000</v>
      </c>
      <c r="E2933" s="4">
        <v>76</v>
      </c>
      <c r="F2933" s="4">
        <v>3</v>
      </c>
      <c r="G2933" s="4">
        <v>2</v>
      </c>
      <c r="H2933" s="10">
        <v>1583</v>
      </c>
      <c r="I2933" s="5">
        <f t="shared" si="90"/>
        <v>168.66708780795958</v>
      </c>
      <c r="J2933" s="3" t="str">
        <f t="shared" si="91"/>
        <v>Low</v>
      </c>
    </row>
    <row r="2934" spans="1:10">
      <c r="A2934" s="7" t="s">
        <v>3020</v>
      </c>
      <c r="B2934" s="18" t="s">
        <v>2168</v>
      </c>
      <c r="C2934" s="19" t="s">
        <v>2164</v>
      </c>
      <c r="D2934" s="22">
        <v>268000</v>
      </c>
      <c r="E2934" s="7">
        <v>10</v>
      </c>
      <c r="F2934" s="7">
        <v>3</v>
      </c>
      <c r="G2934" s="7">
        <v>1.1000000000000001</v>
      </c>
      <c r="H2934" s="12">
        <v>1923</v>
      </c>
      <c r="I2934" s="8">
        <f t="shared" si="90"/>
        <v>139.36557462298492</v>
      </c>
      <c r="J2934" s="3" t="str">
        <f t="shared" si="91"/>
        <v>Low</v>
      </c>
    </row>
    <row r="2935" spans="1:10">
      <c r="A2935" s="4" t="s">
        <v>3021</v>
      </c>
      <c r="B2935" s="16" t="s">
        <v>2168</v>
      </c>
      <c r="C2935" s="17" t="s">
        <v>2164</v>
      </c>
      <c r="D2935" s="21">
        <v>268500</v>
      </c>
      <c r="E2935" s="4">
        <v>46</v>
      </c>
      <c r="F2935" s="4">
        <v>3</v>
      </c>
      <c r="G2935" s="4">
        <v>2.1</v>
      </c>
      <c r="H2935" s="10">
        <v>1785</v>
      </c>
      <c r="I2935" s="5">
        <f t="shared" si="90"/>
        <v>150.42016806722688</v>
      </c>
      <c r="J2935" s="3" t="str">
        <f t="shared" si="91"/>
        <v>Low</v>
      </c>
    </row>
    <row r="2936" spans="1:10">
      <c r="A2936" s="7" t="s">
        <v>3022</v>
      </c>
      <c r="B2936" s="18" t="s">
        <v>2210</v>
      </c>
      <c r="C2936" s="19" t="s">
        <v>2164</v>
      </c>
      <c r="D2936" s="22">
        <v>269000</v>
      </c>
      <c r="E2936" s="7">
        <v>9</v>
      </c>
      <c r="F2936" s="7">
        <v>4</v>
      </c>
      <c r="G2936" s="7">
        <v>2.1</v>
      </c>
      <c r="H2936" s="12">
        <v>1608</v>
      </c>
      <c r="I2936" s="8">
        <f t="shared" si="90"/>
        <v>167.28855721393035</v>
      </c>
      <c r="J2936" s="3" t="str">
        <f t="shared" si="91"/>
        <v>Low</v>
      </c>
    </row>
    <row r="2937" spans="1:10">
      <c r="A2937" s="4" t="s">
        <v>3023</v>
      </c>
      <c r="B2937" s="16" t="s">
        <v>2181</v>
      </c>
      <c r="C2937" s="17" t="s">
        <v>2164</v>
      </c>
      <c r="D2937" s="21">
        <v>269500</v>
      </c>
      <c r="E2937" s="4">
        <v>99</v>
      </c>
      <c r="F2937" s="4">
        <v>4</v>
      </c>
      <c r="G2937" s="4">
        <v>2.1</v>
      </c>
      <c r="H2937" s="10">
        <v>2500</v>
      </c>
      <c r="I2937" s="5">
        <f t="shared" si="90"/>
        <v>107.8</v>
      </c>
      <c r="J2937" s="3" t="str">
        <f t="shared" si="91"/>
        <v>Low</v>
      </c>
    </row>
    <row r="2938" spans="1:10">
      <c r="A2938" s="7" t="s">
        <v>3024</v>
      </c>
      <c r="B2938" s="18" t="s">
        <v>2193</v>
      </c>
      <c r="C2938" s="19" t="s">
        <v>2164</v>
      </c>
      <c r="D2938" s="22">
        <v>269900</v>
      </c>
      <c r="E2938" s="7">
        <v>2</v>
      </c>
      <c r="F2938" s="7">
        <v>3</v>
      </c>
      <c r="G2938" s="7">
        <v>1.1000000000000001</v>
      </c>
      <c r="H2938" s="12">
        <v>1390</v>
      </c>
      <c r="I2938" s="8">
        <f t="shared" si="90"/>
        <v>194.17266187050359</v>
      </c>
      <c r="J2938" s="3" t="str">
        <f t="shared" si="91"/>
        <v>Low</v>
      </c>
    </row>
    <row r="2939" spans="1:10">
      <c r="A2939" s="4" t="s">
        <v>3025</v>
      </c>
      <c r="B2939" s="16" t="s">
        <v>2168</v>
      </c>
      <c r="C2939" s="17" t="s">
        <v>2164</v>
      </c>
      <c r="D2939" s="21">
        <v>270000</v>
      </c>
      <c r="E2939" s="4">
        <v>2</v>
      </c>
      <c r="F2939" s="4">
        <v>3</v>
      </c>
      <c r="G2939" s="4">
        <v>1.1000000000000001</v>
      </c>
      <c r="H2939" s="10">
        <v>1321</v>
      </c>
      <c r="I2939" s="5">
        <f t="shared" si="90"/>
        <v>204.3906131718395</v>
      </c>
      <c r="J2939" s="3" t="str">
        <f t="shared" si="91"/>
        <v>Medium</v>
      </c>
    </row>
    <row r="2940" spans="1:10">
      <c r="A2940" s="7" t="s">
        <v>3026</v>
      </c>
      <c r="B2940" s="18" t="s">
        <v>2193</v>
      </c>
      <c r="C2940" s="19" t="s">
        <v>2164</v>
      </c>
      <c r="D2940" s="22">
        <v>270000</v>
      </c>
      <c r="E2940" s="7">
        <v>14</v>
      </c>
      <c r="F2940" s="7">
        <v>3</v>
      </c>
      <c r="G2940" s="7">
        <v>2</v>
      </c>
      <c r="H2940" s="12">
        <v>1253</v>
      </c>
      <c r="I2940" s="8">
        <f t="shared" si="90"/>
        <v>215.48284118116521</v>
      </c>
      <c r="J2940" s="3" t="str">
        <f t="shared" si="91"/>
        <v>Medium</v>
      </c>
    </row>
    <row r="2941" spans="1:10">
      <c r="A2941" s="4" t="s">
        <v>3027</v>
      </c>
      <c r="B2941" s="16" t="s">
        <v>2316</v>
      </c>
      <c r="C2941" s="17" t="s">
        <v>2164</v>
      </c>
      <c r="D2941" s="21">
        <v>270000</v>
      </c>
      <c r="E2941" s="4">
        <v>92</v>
      </c>
      <c r="F2941" s="4">
        <v>4</v>
      </c>
      <c r="G2941" s="4">
        <v>1.1000000000000001</v>
      </c>
      <c r="H2941" s="10">
        <v>1554</v>
      </c>
      <c r="I2941" s="5">
        <f t="shared" si="90"/>
        <v>173.74517374517376</v>
      </c>
      <c r="J2941" s="3" t="str">
        <f t="shared" si="91"/>
        <v>Low</v>
      </c>
    </row>
    <row r="2942" spans="1:10">
      <c r="A2942" s="7" t="s">
        <v>3028</v>
      </c>
      <c r="B2942" s="18" t="s">
        <v>2181</v>
      </c>
      <c r="C2942" s="19" t="s">
        <v>2164</v>
      </c>
      <c r="D2942" s="22">
        <v>270000</v>
      </c>
      <c r="E2942" s="7">
        <v>2</v>
      </c>
      <c r="F2942" s="7">
        <v>4</v>
      </c>
      <c r="G2942" s="7">
        <v>2</v>
      </c>
      <c r="H2942" s="12">
        <v>1632</v>
      </c>
      <c r="I2942" s="8">
        <f t="shared" si="90"/>
        <v>165.44117647058823</v>
      </c>
      <c r="J2942" s="3" t="str">
        <f t="shared" si="91"/>
        <v>Low</v>
      </c>
    </row>
    <row r="2943" spans="1:10">
      <c r="A2943" s="4" t="s">
        <v>3029</v>
      </c>
      <c r="B2943" s="16" t="s">
        <v>2210</v>
      </c>
      <c r="C2943" s="17" t="s">
        <v>2164</v>
      </c>
      <c r="D2943" s="21">
        <v>270000</v>
      </c>
      <c r="E2943" s="4">
        <v>1</v>
      </c>
      <c r="F2943" s="4">
        <v>3</v>
      </c>
      <c r="G2943" s="4">
        <v>1.1000000000000001</v>
      </c>
      <c r="H2943" s="10">
        <v>1250</v>
      </c>
      <c r="I2943" s="5">
        <f t="shared" si="90"/>
        <v>216</v>
      </c>
      <c r="J2943" s="3" t="str">
        <f t="shared" si="91"/>
        <v>Medium</v>
      </c>
    </row>
    <row r="2944" spans="1:10">
      <c r="A2944" s="7" t="s">
        <v>3030</v>
      </c>
      <c r="B2944" s="18" t="s">
        <v>2316</v>
      </c>
      <c r="C2944" s="19" t="s">
        <v>2164</v>
      </c>
      <c r="D2944" s="22">
        <v>270000</v>
      </c>
      <c r="E2944" s="7">
        <v>56</v>
      </c>
      <c r="F2944" s="7">
        <v>3</v>
      </c>
      <c r="G2944" s="7">
        <v>2.1</v>
      </c>
      <c r="H2944" s="12">
        <v>1807</v>
      </c>
      <c r="I2944" s="8">
        <f t="shared" si="90"/>
        <v>149.41892639734365</v>
      </c>
      <c r="J2944" s="3" t="str">
        <f t="shared" si="91"/>
        <v>Low</v>
      </c>
    </row>
    <row r="2945" spans="1:10">
      <c r="A2945" s="4" t="s">
        <v>3031</v>
      </c>
      <c r="B2945" s="16" t="s">
        <v>2168</v>
      </c>
      <c r="C2945" s="17" t="s">
        <v>2164</v>
      </c>
      <c r="D2945" s="21">
        <v>270000</v>
      </c>
      <c r="E2945" s="4">
        <v>5</v>
      </c>
      <c r="F2945" s="4">
        <v>4</v>
      </c>
      <c r="G2945" s="4">
        <v>2</v>
      </c>
      <c r="H2945" s="10">
        <v>1608</v>
      </c>
      <c r="I2945" s="5">
        <f t="shared" si="90"/>
        <v>167.91044776119404</v>
      </c>
      <c r="J2945" s="3" t="str">
        <f t="shared" si="91"/>
        <v>Low</v>
      </c>
    </row>
    <row r="2946" spans="1:10">
      <c r="A2946" s="7" t="s">
        <v>3032</v>
      </c>
      <c r="B2946" s="18" t="s">
        <v>2181</v>
      </c>
      <c r="C2946" s="19" t="s">
        <v>2164</v>
      </c>
      <c r="D2946" s="22">
        <v>270000</v>
      </c>
      <c r="E2946" s="7">
        <v>7</v>
      </c>
      <c r="F2946" s="7">
        <v>3</v>
      </c>
      <c r="G2946" s="7">
        <v>2</v>
      </c>
      <c r="H2946" s="12">
        <v>1587</v>
      </c>
      <c r="I2946" s="8">
        <f t="shared" ref="I2946:I3009" si="92">D2946/H2946</f>
        <v>170.13232514177693</v>
      </c>
      <c r="J2946" s="3" t="str">
        <f t="shared" ref="J2946:J3009" si="93">IF(I2946 &gt; 300, "High", IF(AND(I2946 &lt;= 300, I2946 &gt; 200), "Medium", "Low"))</f>
        <v>Low</v>
      </c>
    </row>
    <row r="2947" spans="1:10">
      <c r="A2947" s="4" t="s">
        <v>3033</v>
      </c>
      <c r="B2947" s="16" t="s">
        <v>2168</v>
      </c>
      <c r="C2947" s="17" t="s">
        <v>2164</v>
      </c>
      <c r="D2947" s="21">
        <v>270000</v>
      </c>
      <c r="E2947" s="4">
        <v>21</v>
      </c>
      <c r="F2947" s="4">
        <v>3</v>
      </c>
      <c r="G2947" s="4">
        <v>2.1</v>
      </c>
      <c r="H2947" s="10">
        <v>1488</v>
      </c>
      <c r="I2947" s="5">
        <f t="shared" si="92"/>
        <v>181.45161290322579</v>
      </c>
      <c r="J2947" s="3" t="str">
        <f t="shared" si="93"/>
        <v>Low</v>
      </c>
    </row>
    <row r="2948" spans="1:10">
      <c r="A2948" s="7" t="s">
        <v>3034</v>
      </c>
      <c r="B2948" s="18" t="s">
        <v>2193</v>
      </c>
      <c r="C2948" s="19" t="s">
        <v>2164</v>
      </c>
      <c r="D2948" s="22">
        <v>270000</v>
      </c>
      <c r="E2948" s="7">
        <v>7</v>
      </c>
      <c r="F2948" s="7">
        <v>3</v>
      </c>
      <c r="G2948" s="7">
        <v>3</v>
      </c>
      <c r="H2948" s="12">
        <v>1546</v>
      </c>
      <c r="I2948" s="8">
        <f t="shared" si="92"/>
        <v>174.64424320827942</v>
      </c>
      <c r="J2948" s="3" t="str">
        <f t="shared" si="93"/>
        <v>Low</v>
      </c>
    </row>
    <row r="2949" spans="1:10">
      <c r="A2949" s="4" t="s">
        <v>3035</v>
      </c>
      <c r="B2949" s="16" t="s">
        <v>2168</v>
      </c>
      <c r="C2949" s="17" t="s">
        <v>2164</v>
      </c>
      <c r="D2949" s="21">
        <v>270000</v>
      </c>
      <c r="E2949" s="4">
        <v>54</v>
      </c>
      <c r="F2949" s="4">
        <v>4</v>
      </c>
      <c r="G2949" s="4">
        <v>1.1000000000000001</v>
      </c>
      <c r="H2949" s="10">
        <v>1675</v>
      </c>
      <c r="I2949" s="5">
        <f t="shared" si="92"/>
        <v>161.19402985074626</v>
      </c>
      <c r="J2949" s="3" t="str">
        <f t="shared" si="93"/>
        <v>Low</v>
      </c>
    </row>
    <row r="2950" spans="1:10">
      <c r="A2950" s="7" t="s">
        <v>3036</v>
      </c>
      <c r="B2950" s="18" t="s">
        <v>3037</v>
      </c>
      <c r="C2950" s="19" t="s">
        <v>2164</v>
      </c>
      <c r="D2950" s="22">
        <v>270000</v>
      </c>
      <c r="E2950" s="7">
        <v>40</v>
      </c>
      <c r="F2950" s="7">
        <v>3</v>
      </c>
      <c r="G2950" s="7">
        <v>1.1000000000000001</v>
      </c>
      <c r="H2950" s="12">
        <v>1451</v>
      </c>
      <c r="I2950" s="8">
        <f t="shared" si="92"/>
        <v>186.07856650585802</v>
      </c>
      <c r="J2950" s="3" t="str">
        <f t="shared" si="93"/>
        <v>Low</v>
      </c>
    </row>
    <row r="2951" spans="1:10">
      <c r="A2951" s="4" t="s">
        <v>3038</v>
      </c>
      <c r="B2951" s="16" t="s">
        <v>2181</v>
      </c>
      <c r="C2951" s="17" t="s">
        <v>2164</v>
      </c>
      <c r="D2951" s="21">
        <v>270000</v>
      </c>
      <c r="E2951" s="4">
        <v>36</v>
      </c>
      <c r="F2951" s="4">
        <v>3</v>
      </c>
      <c r="G2951" s="4">
        <v>2</v>
      </c>
      <c r="H2951" s="10">
        <v>1152</v>
      </c>
      <c r="I2951" s="5">
        <f t="shared" si="92"/>
        <v>234.375</v>
      </c>
      <c r="J2951" s="3" t="str">
        <f t="shared" si="93"/>
        <v>Medium</v>
      </c>
    </row>
    <row r="2952" spans="1:10">
      <c r="A2952" s="7" t="s">
        <v>3039</v>
      </c>
      <c r="B2952" s="18" t="s">
        <v>2163</v>
      </c>
      <c r="C2952" s="19" t="s">
        <v>2164</v>
      </c>
      <c r="D2952" s="22">
        <v>270000</v>
      </c>
      <c r="E2952" s="7">
        <v>29</v>
      </c>
      <c r="F2952" s="7">
        <v>3</v>
      </c>
      <c r="G2952" s="7">
        <v>1.1000000000000001</v>
      </c>
      <c r="H2952" s="12">
        <v>1438</v>
      </c>
      <c r="I2952" s="8">
        <f t="shared" si="92"/>
        <v>187.76077885952711</v>
      </c>
      <c r="J2952" s="3" t="str">
        <f t="shared" si="93"/>
        <v>Low</v>
      </c>
    </row>
    <row r="2953" spans="1:10">
      <c r="A2953" s="4" t="s">
        <v>3040</v>
      </c>
      <c r="B2953" s="16" t="s">
        <v>2181</v>
      </c>
      <c r="C2953" s="17" t="s">
        <v>2164</v>
      </c>
      <c r="D2953" s="21">
        <v>270000</v>
      </c>
      <c r="E2953" s="4">
        <v>228</v>
      </c>
      <c r="F2953" s="4">
        <v>3</v>
      </c>
      <c r="G2953" s="4">
        <v>2</v>
      </c>
      <c r="H2953" s="10">
        <v>1602</v>
      </c>
      <c r="I2953" s="5">
        <f t="shared" si="92"/>
        <v>168.53932584269663</v>
      </c>
      <c r="J2953" s="3" t="str">
        <f t="shared" si="93"/>
        <v>Low</v>
      </c>
    </row>
    <row r="2954" spans="1:10">
      <c r="A2954" s="7" t="s">
        <v>3041</v>
      </c>
      <c r="B2954" s="18" t="s">
        <v>2193</v>
      </c>
      <c r="C2954" s="19" t="s">
        <v>2164</v>
      </c>
      <c r="D2954" s="22">
        <v>272000</v>
      </c>
      <c r="E2954" s="7">
        <v>0</v>
      </c>
      <c r="F2954" s="7">
        <v>3</v>
      </c>
      <c r="G2954" s="7">
        <v>1.1000000000000001</v>
      </c>
      <c r="H2954" s="12">
        <v>1143</v>
      </c>
      <c r="I2954" s="8">
        <f t="shared" si="92"/>
        <v>237.97025371828522</v>
      </c>
      <c r="J2954" s="3" t="str">
        <f t="shared" si="93"/>
        <v>Medium</v>
      </c>
    </row>
    <row r="2955" spans="1:10">
      <c r="A2955" s="4" t="s">
        <v>3042</v>
      </c>
      <c r="B2955" s="16" t="s">
        <v>2193</v>
      </c>
      <c r="C2955" s="17" t="s">
        <v>2164</v>
      </c>
      <c r="D2955" s="21">
        <v>272000</v>
      </c>
      <c r="E2955" s="4">
        <v>8</v>
      </c>
      <c r="F2955" s="4">
        <v>3</v>
      </c>
      <c r="G2955" s="4">
        <v>1.1000000000000001</v>
      </c>
      <c r="H2955" s="10">
        <v>1550</v>
      </c>
      <c r="I2955" s="5">
        <f t="shared" si="92"/>
        <v>175.48387096774192</v>
      </c>
      <c r="J2955" s="3" t="str">
        <f t="shared" si="93"/>
        <v>Low</v>
      </c>
    </row>
    <row r="2956" spans="1:10">
      <c r="A2956" s="7" t="s">
        <v>3043</v>
      </c>
      <c r="B2956" s="18" t="s">
        <v>2163</v>
      </c>
      <c r="C2956" s="19" t="s">
        <v>2164</v>
      </c>
      <c r="D2956" s="22">
        <v>272000</v>
      </c>
      <c r="E2956" s="7">
        <v>17</v>
      </c>
      <c r="F2956" s="7">
        <v>3</v>
      </c>
      <c r="G2956" s="7">
        <v>2.1</v>
      </c>
      <c r="H2956" s="12">
        <v>1565</v>
      </c>
      <c r="I2956" s="8">
        <f t="shared" si="92"/>
        <v>173.80191693290735</v>
      </c>
      <c r="J2956" s="3" t="str">
        <f t="shared" si="93"/>
        <v>Low</v>
      </c>
    </row>
    <row r="2957" spans="1:10">
      <c r="A2957" s="4" t="s">
        <v>3044</v>
      </c>
      <c r="B2957" s="16" t="s">
        <v>2168</v>
      </c>
      <c r="C2957" s="17" t="s">
        <v>2164</v>
      </c>
      <c r="D2957" s="21">
        <v>272500</v>
      </c>
      <c r="E2957" s="4">
        <v>29</v>
      </c>
      <c r="F2957" s="4">
        <v>4</v>
      </c>
      <c r="G2957" s="4">
        <v>2</v>
      </c>
      <c r="H2957" s="10">
        <v>1347</v>
      </c>
      <c r="I2957" s="5">
        <f t="shared" si="92"/>
        <v>202.30141054194507</v>
      </c>
      <c r="J2957" s="3" t="str">
        <f t="shared" si="93"/>
        <v>Medium</v>
      </c>
    </row>
    <row r="2958" spans="1:10">
      <c r="A2958" s="7" t="s">
        <v>3045</v>
      </c>
      <c r="B2958" s="18" t="s">
        <v>2193</v>
      </c>
      <c r="C2958" s="19" t="s">
        <v>2164</v>
      </c>
      <c r="D2958" s="22">
        <v>273000</v>
      </c>
      <c r="E2958" s="7">
        <v>27</v>
      </c>
      <c r="F2958" s="7">
        <v>3</v>
      </c>
      <c r="G2958" s="7">
        <v>2</v>
      </c>
      <c r="H2958" s="12">
        <v>1350</v>
      </c>
      <c r="I2958" s="8">
        <f t="shared" si="92"/>
        <v>202.22222222222223</v>
      </c>
      <c r="J2958" s="3" t="str">
        <f t="shared" si="93"/>
        <v>Medium</v>
      </c>
    </row>
    <row r="2959" spans="1:10">
      <c r="A2959" s="4" t="s">
        <v>3046</v>
      </c>
      <c r="B2959" s="16" t="s">
        <v>2163</v>
      </c>
      <c r="C2959" s="17" t="s">
        <v>2164</v>
      </c>
      <c r="D2959" s="21">
        <v>273500</v>
      </c>
      <c r="E2959" s="4">
        <v>2</v>
      </c>
      <c r="F2959" s="4">
        <v>4</v>
      </c>
      <c r="G2959" s="4">
        <v>2</v>
      </c>
      <c r="H2959" s="10">
        <v>1981</v>
      </c>
      <c r="I2959" s="5">
        <f t="shared" si="92"/>
        <v>138.06158505805149</v>
      </c>
      <c r="J2959" s="3" t="str">
        <f t="shared" si="93"/>
        <v>Low</v>
      </c>
    </row>
    <row r="2960" spans="1:10">
      <c r="A2960" s="7" t="s">
        <v>3047</v>
      </c>
      <c r="B2960" s="18" t="s">
        <v>2407</v>
      </c>
      <c r="C2960" s="19" t="s">
        <v>2164</v>
      </c>
      <c r="D2960" s="22">
        <v>273500</v>
      </c>
      <c r="E2960" s="7">
        <v>53</v>
      </c>
      <c r="F2960" s="7">
        <v>4</v>
      </c>
      <c r="G2960" s="7">
        <v>1.1000000000000001</v>
      </c>
      <c r="H2960" s="12">
        <v>2000</v>
      </c>
      <c r="I2960" s="8">
        <f t="shared" si="92"/>
        <v>136.75</v>
      </c>
      <c r="J2960" s="3" t="str">
        <f t="shared" si="93"/>
        <v>Low</v>
      </c>
    </row>
    <row r="2961" spans="1:10">
      <c r="A2961" s="4" t="s">
        <v>3048</v>
      </c>
      <c r="B2961" s="16" t="s">
        <v>2210</v>
      </c>
      <c r="C2961" s="17" t="s">
        <v>2164</v>
      </c>
      <c r="D2961" s="21">
        <v>274900</v>
      </c>
      <c r="E2961" s="4">
        <v>8</v>
      </c>
      <c r="F2961" s="4">
        <v>3</v>
      </c>
      <c r="G2961" s="4">
        <v>1.1000000000000001</v>
      </c>
      <c r="H2961" s="10">
        <v>1200</v>
      </c>
      <c r="I2961" s="5">
        <f t="shared" si="92"/>
        <v>229.08333333333334</v>
      </c>
      <c r="J2961" s="3" t="str">
        <f t="shared" si="93"/>
        <v>Medium</v>
      </c>
    </row>
    <row r="2962" spans="1:10">
      <c r="A2962" s="7" t="s">
        <v>3049</v>
      </c>
      <c r="B2962" s="18" t="s">
        <v>2193</v>
      </c>
      <c r="C2962" s="19" t="s">
        <v>2164</v>
      </c>
      <c r="D2962" s="22">
        <v>275000</v>
      </c>
      <c r="E2962" s="7">
        <v>2</v>
      </c>
      <c r="F2962" s="7">
        <v>3</v>
      </c>
      <c r="G2962" s="7">
        <v>2</v>
      </c>
      <c r="H2962" s="7">
        <v>960</v>
      </c>
      <c r="I2962" s="8">
        <f t="shared" si="92"/>
        <v>286.45833333333331</v>
      </c>
      <c r="J2962" s="3" t="str">
        <f t="shared" si="93"/>
        <v>Medium</v>
      </c>
    </row>
    <row r="2963" spans="1:10">
      <c r="A2963" s="4" t="s">
        <v>3050</v>
      </c>
      <c r="B2963" s="16" t="s">
        <v>2168</v>
      </c>
      <c r="C2963" s="17" t="s">
        <v>2164</v>
      </c>
      <c r="D2963" s="21">
        <v>275000</v>
      </c>
      <c r="E2963" s="4">
        <v>5</v>
      </c>
      <c r="F2963" s="4">
        <v>3</v>
      </c>
      <c r="G2963" s="4">
        <v>2</v>
      </c>
      <c r="H2963" s="10">
        <v>1531</v>
      </c>
      <c r="I2963" s="5">
        <f t="shared" si="92"/>
        <v>179.62116263879818</v>
      </c>
      <c r="J2963" s="3" t="str">
        <f t="shared" si="93"/>
        <v>Low</v>
      </c>
    </row>
    <row r="2964" spans="1:10">
      <c r="A2964" s="7" t="s">
        <v>3051</v>
      </c>
      <c r="B2964" s="18" t="s">
        <v>2407</v>
      </c>
      <c r="C2964" s="19" t="s">
        <v>2164</v>
      </c>
      <c r="D2964" s="22">
        <v>275000</v>
      </c>
      <c r="E2964" s="7">
        <v>2</v>
      </c>
      <c r="F2964" s="7">
        <v>3</v>
      </c>
      <c r="G2964" s="7">
        <v>2.1</v>
      </c>
      <c r="H2964" s="12">
        <v>1917</v>
      </c>
      <c r="I2964" s="8">
        <f t="shared" si="92"/>
        <v>143.45331246739698</v>
      </c>
      <c r="J2964" s="3" t="str">
        <f t="shared" si="93"/>
        <v>Low</v>
      </c>
    </row>
    <row r="2965" spans="1:10">
      <c r="A2965" s="4" t="s">
        <v>3052</v>
      </c>
      <c r="B2965" s="16" t="s">
        <v>2542</v>
      </c>
      <c r="C2965" s="17" t="s">
        <v>2164</v>
      </c>
      <c r="D2965" s="21">
        <v>275000</v>
      </c>
      <c r="E2965" s="4">
        <v>2</v>
      </c>
      <c r="F2965" s="4">
        <v>3</v>
      </c>
      <c r="G2965" s="4">
        <v>2</v>
      </c>
      <c r="H2965" s="10">
        <v>1367</v>
      </c>
      <c r="I2965" s="5">
        <f t="shared" si="92"/>
        <v>201.17044623262618</v>
      </c>
      <c r="J2965" s="3" t="str">
        <f t="shared" si="93"/>
        <v>Medium</v>
      </c>
    </row>
    <row r="2966" spans="1:10">
      <c r="A2966" s="7" t="s">
        <v>3053</v>
      </c>
      <c r="B2966" s="18" t="s">
        <v>2193</v>
      </c>
      <c r="C2966" s="19" t="s">
        <v>2164</v>
      </c>
      <c r="D2966" s="22">
        <v>275000</v>
      </c>
      <c r="E2966" s="7">
        <v>7</v>
      </c>
      <c r="F2966" s="7">
        <v>3</v>
      </c>
      <c r="G2966" s="7">
        <v>2</v>
      </c>
      <c r="H2966" s="12">
        <v>1628</v>
      </c>
      <c r="I2966" s="8">
        <f t="shared" si="92"/>
        <v>168.91891891891891</v>
      </c>
      <c r="J2966" s="3" t="str">
        <f t="shared" si="93"/>
        <v>Low</v>
      </c>
    </row>
    <row r="2967" spans="1:10">
      <c r="A2967" s="4" t="s">
        <v>3054</v>
      </c>
      <c r="B2967" s="16" t="s">
        <v>2168</v>
      </c>
      <c r="C2967" s="17" t="s">
        <v>2164</v>
      </c>
      <c r="D2967" s="21">
        <v>275000</v>
      </c>
      <c r="E2967" s="4">
        <v>34</v>
      </c>
      <c r="F2967" s="4">
        <v>0</v>
      </c>
      <c r="G2967" s="4">
        <v>0</v>
      </c>
      <c r="H2967" s="10">
        <v>1066</v>
      </c>
      <c r="I2967" s="5">
        <f t="shared" si="92"/>
        <v>257.97373358348966</v>
      </c>
      <c r="J2967" s="3" t="str">
        <f t="shared" si="93"/>
        <v>Medium</v>
      </c>
    </row>
    <row r="2968" spans="1:10">
      <c r="A2968" s="7" t="s">
        <v>3055</v>
      </c>
      <c r="B2968" s="18" t="s">
        <v>2193</v>
      </c>
      <c r="C2968" s="19" t="s">
        <v>2164</v>
      </c>
      <c r="D2968" s="22">
        <v>275000</v>
      </c>
      <c r="E2968" s="7">
        <v>2</v>
      </c>
      <c r="F2968" s="7">
        <v>3</v>
      </c>
      <c r="G2968" s="7">
        <v>1.1000000000000001</v>
      </c>
      <c r="H2968" s="12">
        <v>1400</v>
      </c>
      <c r="I2968" s="8">
        <f t="shared" si="92"/>
        <v>196.42857142857142</v>
      </c>
      <c r="J2968" s="3" t="str">
        <f t="shared" si="93"/>
        <v>Low</v>
      </c>
    </row>
    <row r="2969" spans="1:10">
      <c r="A2969" s="4" t="s">
        <v>3056</v>
      </c>
      <c r="B2969" s="16" t="s">
        <v>2193</v>
      </c>
      <c r="C2969" s="17" t="s">
        <v>2164</v>
      </c>
      <c r="D2969" s="21">
        <v>275000</v>
      </c>
      <c r="E2969" s="4">
        <v>108</v>
      </c>
      <c r="F2969" s="4">
        <v>3</v>
      </c>
      <c r="G2969" s="4">
        <v>1.1000000000000001</v>
      </c>
      <c r="H2969" s="10">
        <v>1356</v>
      </c>
      <c r="I2969" s="5">
        <f t="shared" si="92"/>
        <v>202.8023598820059</v>
      </c>
      <c r="J2969" s="3" t="str">
        <f t="shared" si="93"/>
        <v>Medium</v>
      </c>
    </row>
    <row r="2970" spans="1:10">
      <c r="A2970" s="7" t="s">
        <v>3057</v>
      </c>
      <c r="B2970" s="18" t="s">
        <v>2181</v>
      </c>
      <c r="C2970" s="19" t="s">
        <v>2164</v>
      </c>
      <c r="D2970" s="22">
        <v>276000</v>
      </c>
      <c r="E2970" s="7">
        <v>6</v>
      </c>
      <c r="F2970" s="7">
        <v>3</v>
      </c>
      <c r="G2970" s="7">
        <v>1.1000000000000001</v>
      </c>
      <c r="H2970" s="12">
        <v>1831</v>
      </c>
      <c r="I2970" s="8">
        <f t="shared" si="92"/>
        <v>150.73730202075367</v>
      </c>
      <c r="J2970" s="3" t="str">
        <f t="shared" si="93"/>
        <v>Low</v>
      </c>
    </row>
    <row r="2971" spans="1:10">
      <c r="A2971" s="4" t="s">
        <v>3058</v>
      </c>
      <c r="B2971" s="16" t="s">
        <v>2193</v>
      </c>
      <c r="C2971" s="17" t="s">
        <v>2164</v>
      </c>
      <c r="D2971" s="21">
        <v>276000</v>
      </c>
      <c r="E2971" s="4">
        <v>28</v>
      </c>
      <c r="F2971" s="4">
        <v>3</v>
      </c>
      <c r="G2971" s="4">
        <v>1</v>
      </c>
      <c r="H2971" s="10">
        <v>1253</v>
      </c>
      <c r="I2971" s="5">
        <f t="shared" si="92"/>
        <v>220.27134876296887</v>
      </c>
      <c r="J2971" s="3" t="str">
        <f t="shared" si="93"/>
        <v>Medium</v>
      </c>
    </row>
    <row r="2972" spans="1:10">
      <c r="A2972" s="7" t="s">
        <v>3059</v>
      </c>
      <c r="B2972" s="18" t="s">
        <v>2193</v>
      </c>
      <c r="C2972" s="19" t="s">
        <v>2164</v>
      </c>
      <c r="D2972" s="22">
        <v>276400</v>
      </c>
      <c r="E2972" s="7">
        <v>56</v>
      </c>
      <c r="F2972" s="7">
        <v>3</v>
      </c>
      <c r="G2972" s="7">
        <v>1.1000000000000001</v>
      </c>
      <c r="H2972" s="12">
        <v>1438</v>
      </c>
      <c r="I2972" s="8">
        <f t="shared" si="92"/>
        <v>192.21140472878997</v>
      </c>
      <c r="J2972" s="3" t="str">
        <f t="shared" si="93"/>
        <v>Low</v>
      </c>
    </row>
    <row r="2973" spans="1:10">
      <c r="A2973" s="4" t="s">
        <v>3060</v>
      </c>
      <c r="B2973" s="16" t="s">
        <v>2252</v>
      </c>
      <c r="C2973" s="17" t="s">
        <v>2164</v>
      </c>
      <c r="D2973" s="21">
        <v>277000</v>
      </c>
      <c r="E2973" s="4">
        <v>3</v>
      </c>
      <c r="F2973" s="4">
        <v>3</v>
      </c>
      <c r="G2973" s="4">
        <v>1.1000000000000001</v>
      </c>
      <c r="H2973" s="10">
        <v>1267</v>
      </c>
      <c r="I2973" s="5">
        <f t="shared" si="92"/>
        <v>218.62667719021312</v>
      </c>
      <c r="J2973" s="3" t="str">
        <f t="shared" si="93"/>
        <v>Medium</v>
      </c>
    </row>
    <row r="2974" spans="1:10">
      <c r="A2974" s="7" t="s">
        <v>3061</v>
      </c>
      <c r="B2974" s="18" t="s">
        <v>2193</v>
      </c>
      <c r="C2974" s="19" t="s">
        <v>2164</v>
      </c>
      <c r="D2974" s="22">
        <v>277500</v>
      </c>
      <c r="E2974" s="7">
        <v>6</v>
      </c>
      <c r="F2974" s="7">
        <v>3</v>
      </c>
      <c r="G2974" s="7">
        <v>2</v>
      </c>
      <c r="H2974" s="12">
        <v>1800</v>
      </c>
      <c r="I2974" s="8">
        <f t="shared" si="92"/>
        <v>154.16666666666666</v>
      </c>
      <c r="J2974" s="3" t="str">
        <f t="shared" si="93"/>
        <v>Low</v>
      </c>
    </row>
    <row r="2975" spans="1:10">
      <c r="A2975" s="4" t="s">
        <v>3062</v>
      </c>
      <c r="B2975" s="16" t="s">
        <v>2181</v>
      </c>
      <c r="C2975" s="17" t="s">
        <v>2164</v>
      </c>
      <c r="D2975" s="21">
        <v>278000</v>
      </c>
      <c r="E2975" s="4">
        <v>5</v>
      </c>
      <c r="F2975" s="4">
        <v>3</v>
      </c>
      <c r="G2975" s="4">
        <v>1.1000000000000001</v>
      </c>
      <c r="H2975" s="10">
        <v>1520</v>
      </c>
      <c r="I2975" s="5">
        <f t="shared" si="92"/>
        <v>182.89473684210526</v>
      </c>
      <c r="J2975" s="3" t="str">
        <f t="shared" si="93"/>
        <v>Low</v>
      </c>
    </row>
    <row r="2976" spans="1:10">
      <c r="A2976" s="7" t="s">
        <v>3063</v>
      </c>
      <c r="B2976" s="18" t="s">
        <v>2193</v>
      </c>
      <c r="C2976" s="19" t="s">
        <v>2164</v>
      </c>
      <c r="D2976" s="22">
        <v>278000</v>
      </c>
      <c r="E2976" s="7">
        <v>123</v>
      </c>
      <c r="F2976" s="7">
        <v>3</v>
      </c>
      <c r="G2976" s="7">
        <v>2.1</v>
      </c>
      <c r="H2976" s="12">
        <v>1453</v>
      </c>
      <c r="I2976" s="8">
        <f t="shared" si="92"/>
        <v>191.3282863041982</v>
      </c>
      <c r="J2976" s="3" t="str">
        <f t="shared" si="93"/>
        <v>Low</v>
      </c>
    </row>
    <row r="2977" spans="1:10">
      <c r="A2977" s="4" t="s">
        <v>3064</v>
      </c>
      <c r="B2977" s="16" t="s">
        <v>2193</v>
      </c>
      <c r="C2977" s="17" t="s">
        <v>2164</v>
      </c>
      <c r="D2977" s="21">
        <v>278500</v>
      </c>
      <c r="E2977" s="4">
        <v>13</v>
      </c>
      <c r="F2977" s="4">
        <v>3</v>
      </c>
      <c r="G2977" s="4">
        <v>2</v>
      </c>
      <c r="H2977" s="4">
        <v>912</v>
      </c>
      <c r="I2977" s="5">
        <f t="shared" si="92"/>
        <v>305.37280701754383</v>
      </c>
      <c r="J2977" s="3" t="str">
        <f t="shared" si="93"/>
        <v>High</v>
      </c>
    </row>
    <row r="2978" spans="1:10">
      <c r="A2978" s="7" t="s">
        <v>3065</v>
      </c>
      <c r="B2978" s="18" t="s">
        <v>2193</v>
      </c>
      <c r="C2978" s="19" t="s">
        <v>2164</v>
      </c>
      <c r="D2978" s="22">
        <v>279000</v>
      </c>
      <c r="E2978" s="7">
        <v>115</v>
      </c>
      <c r="F2978" s="7">
        <v>3</v>
      </c>
      <c r="G2978" s="7">
        <v>1.1000000000000001</v>
      </c>
      <c r="H2978" s="12">
        <v>1477</v>
      </c>
      <c r="I2978" s="8">
        <f t="shared" si="92"/>
        <v>188.89641164522681</v>
      </c>
      <c r="J2978" s="3" t="str">
        <f t="shared" si="93"/>
        <v>Low</v>
      </c>
    </row>
    <row r="2979" spans="1:10">
      <c r="A2979" s="4" t="s">
        <v>3066</v>
      </c>
      <c r="B2979" s="16" t="s">
        <v>2168</v>
      </c>
      <c r="C2979" s="17" t="s">
        <v>2164</v>
      </c>
      <c r="D2979" s="21">
        <v>279900</v>
      </c>
      <c r="E2979" s="4">
        <v>12</v>
      </c>
      <c r="F2979" s="4">
        <v>3</v>
      </c>
      <c r="G2979" s="4">
        <v>1.2</v>
      </c>
      <c r="H2979" s="10">
        <v>1524</v>
      </c>
      <c r="I2979" s="5">
        <f t="shared" si="92"/>
        <v>183.66141732283464</v>
      </c>
      <c r="J2979" s="3" t="str">
        <f t="shared" si="93"/>
        <v>Low</v>
      </c>
    </row>
    <row r="2980" spans="1:10">
      <c r="A2980" s="7" t="s">
        <v>3067</v>
      </c>
      <c r="B2980" s="18" t="s">
        <v>2210</v>
      </c>
      <c r="C2980" s="19" t="s">
        <v>2164</v>
      </c>
      <c r="D2980" s="22">
        <v>280000</v>
      </c>
      <c r="E2980" s="7">
        <v>7</v>
      </c>
      <c r="F2980" s="7">
        <v>3</v>
      </c>
      <c r="G2980" s="7">
        <v>2</v>
      </c>
      <c r="H2980" s="12">
        <v>1742</v>
      </c>
      <c r="I2980" s="8">
        <f t="shared" si="92"/>
        <v>160.73478760045924</v>
      </c>
      <c r="J2980" s="3" t="str">
        <f t="shared" si="93"/>
        <v>Low</v>
      </c>
    </row>
    <row r="2981" spans="1:10">
      <c r="A2981" s="4" t="s">
        <v>3068</v>
      </c>
      <c r="B2981" s="16" t="s">
        <v>2193</v>
      </c>
      <c r="C2981" s="17" t="s">
        <v>2164</v>
      </c>
      <c r="D2981" s="21">
        <v>280000</v>
      </c>
      <c r="E2981" s="4">
        <v>7</v>
      </c>
      <c r="F2981" s="4">
        <v>3</v>
      </c>
      <c r="G2981" s="4">
        <v>2.1</v>
      </c>
      <c r="H2981" s="10">
        <v>1344</v>
      </c>
      <c r="I2981" s="5">
        <f t="shared" si="92"/>
        <v>208.33333333333334</v>
      </c>
      <c r="J2981" s="3" t="str">
        <f t="shared" si="93"/>
        <v>Medium</v>
      </c>
    </row>
    <row r="2982" spans="1:10">
      <c r="A2982" s="7" t="s">
        <v>3069</v>
      </c>
      <c r="B2982" s="18" t="s">
        <v>2193</v>
      </c>
      <c r="C2982" s="19" t="s">
        <v>2164</v>
      </c>
      <c r="D2982" s="22">
        <v>280000</v>
      </c>
      <c r="E2982" s="7">
        <v>6</v>
      </c>
      <c r="F2982" s="7">
        <v>3</v>
      </c>
      <c r="G2982" s="7">
        <v>2.1</v>
      </c>
      <c r="H2982" s="12">
        <v>1344</v>
      </c>
      <c r="I2982" s="8">
        <f t="shared" si="92"/>
        <v>208.33333333333334</v>
      </c>
      <c r="J2982" s="3" t="str">
        <f t="shared" si="93"/>
        <v>Medium</v>
      </c>
    </row>
    <row r="2983" spans="1:10">
      <c r="A2983" s="4" t="s">
        <v>3070</v>
      </c>
      <c r="B2983" s="16" t="s">
        <v>2193</v>
      </c>
      <c r="C2983" s="17" t="s">
        <v>2164</v>
      </c>
      <c r="D2983" s="21">
        <v>280000</v>
      </c>
      <c r="E2983" s="4">
        <v>2</v>
      </c>
      <c r="F2983" s="4">
        <v>4</v>
      </c>
      <c r="G2983" s="4">
        <v>1.1000000000000001</v>
      </c>
      <c r="H2983" s="10">
        <v>1728</v>
      </c>
      <c r="I2983" s="5">
        <f t="shared" si="92"/>
        <v>162.03703703703704</v>
      </c>
      <c r="J2983" s="3" t="str">
        <f t="shared" si="93"/>
        <v>Low</v>
      </c>
    </row>
    <row r="2984" spans="1:10">
      <c r="A2984" s="7" t="s">
        <v>3071</v>
      </c>
      <c r="B2984" s="18" t="s">
        <v>2163</v>
      </c>
      <c r="C2984" s="19" t="s">
        <v>2164</v>
      </c>
      <c r="D2984" s="22">
        <v>280000</v>
      </c>
      <c r="E2984" s="7">
        <v>32</v>
      </c>
      <c r="F2984" s="7">
        <v>4</v>
      </c>
      <c r="G2984" s="7">
        <v>2</v>
      </c>
      <c r="H2984" s="12">
        <v>1800</v>
      </c>
      <c r="I2984" s="8">
        <f t="shared" si="92"/>
        <v>155.55555555555554</v>
      </c>
      <c r="J2984" s="3" t="str">
        <f t="shared" si="93"/>
        <v>Low</v>
      </c>
    </row>
    <row r="2985" spans="1:10">
      <c r="A2985" s="4" t="s">
        <v>3072</v>
      </c>
      <c r="B2985" s="16" t="s">
        <v>2173</v>
      </c>
      <c r="C2985" s="17" t="s">
        <v>2164</v>
      </c>
      <c r="D2985" s="21">
        <v>280000</v>
      </c>
      <c r="E2985" s="4">
        <v>7</v>
      </c>
      <c r="F2985" s="4">
        <v>4</v>
      </c>
      <c r="G2985" s="4">
        <v>3</v>
      </c>
      <c r="H2985" s="10">
        <v>1909</v>
      </c>
      <c r="I2985" s="5">
        <f t="shared" si="92"/>
        <v>146.6736511262441</v>
      </c>
      <c r="J2985" s="3" t="str">
        <f t="shared" si="93"/>
        <v>Low</v>
      </c>
    </row>
    <row r="2986" spans="1:10">
      <c r="A2986" s="7" t="s">
        <v>3073</v>
      </c>
      <c r="B2986" s="18" t="s">
        <v>2252</v>
      </c>
      <c r="C2986" s="19" t="s">
        <v>2164</v>
      </c>
      <c r="D2986" s="22">
        <v>280000</v>
      </c>
      <c r="E2986" s="7">
        <v>17</v>
      </c>
      <c r="F2986" s="7">
        <v>3</v>
      </c>
      <c r="G2986" s="7">
        <v>2</v>
      </c>
      <c r="H2986" s="12">
        <v>1248</v>
      </c>
      <c r="I2986" s="8">
        <f t="shared" si="92"/>
        <v>224.35897435897436</v>
      </c>
      <c r="J2986" s="3" t="str">
        <f t="shared" si="93"/>
        <v>Medium</v>
      </c>
    </row>
    <row r="2987" spans="1:10">
      <c r="A2987" s="4" t="s">
        <v>3074</v>
      </c>
      <c r="B2987" s="16" t="s">
        <v>2407</v>
      </c>
      <c r="C2987" s="17" t="s">
        <v>2164</v>
      </c>
      <c r="D2987" s="21">
        <v>280000</v>
      </c>
      <c r="E2987" s="4">
        <v>6</v>
      </c>
      <c r="F2987" s="4">
        <v>3</v>
      </c>
      <c r="G2987" s="4">
        <v>2.1</v>
      </c>
      <c r="H2987" s="10">
        <v>1596</v>
      </c>
      <c r="I2987" s="5">
        <f t="shared" si="92"/>
        <v>175.43859649122808</v>
      </c>
      <c r="J2987" s="3" t="str">
        <f t="shared" si="93"/>
        <v>Low</v>
      </c>
    </row>
    <row r="2988" spans="1:10">
      <c r="A2988" s="7" t="s">
        <v>3075</v>
      </c>
      <c r="B2988" s="18" t="s">
        <v>2395</v>
      </c>
      <c r="C2988" s="19" t="s">
        <v>2164</v>
      </c>
      <c r="D2988" s="22">
        <v>280000</v>
      </c>
      <c r="E2988" s="7">
        <v>5</v>
      </c>
      <c r="F2988" s="7">
        <v>3</v>
      </c>
      <c r="G2988" s="7">
        <v>2</v>
      </c>
      <c r="H2988" s="12">
        <v>1416</v>
      </c>
      <c r="I2988" s="8">
        <f t="shared" si="92"/>
        <v>197.74011299435028</v>
      </c>
      <c r="J2988" s="3" t="str">
        <f t="shared" si="93"/>
        <v>Low</v>
      </c>
    </row>
    <row r="2989" spans="1:10">
      <c r="A2989" s="4" t="s">
        <v>3076</v>
      </c>
      <c r="B2989" s="16" t="s">
        <v>2193</v>
      </c>
      <c r="C2989" s="17" t="s">
        <v>2164</v>
      </c>
      <c r="D2989" s="21">
        <v>280000</v>
      </c>
      <c r="E2989" s="4">
        <v>8</v>
      </c>
      <c r="F2989" s="4">
        <v>3</v>
      </c>
      <c r="G2989" s="4">
        <v>1.1000000000000001</v>
      </c>
      <c r="H2989" s="10">
        <v>1499</v>
      </c>
      <c r="I2989" s="5">
        <f t="shared" si="92"/>
        <v>186.79119412941961</v>
      </c>
      <c r="J2989" s="3" t="str">
        <f t="shared" si="93"/>
        <v>Low</v>
      </c>
    </row>
    <row r="2990" spans="1:10">
      <c r="A2990" s="7" t="s">
        <v>3077</v>
      </c>
      <c r="B2990" s="18" t="s">
        <v>2181</v>
      </c>
      <c r="C2990" s="19" t="s">
        <v>2164</v>
      </c>
      <c r="D2990" s="22">
        <v>280000</v>
      </c>
      <c r="E2990" s="7">
        <v>30</v>
      </c>
      <c r="F2990" s="7">
        <v>3</v>
      </c>
      <c r="G2990" s="7">
        <v>1.1000000000000001</v>
      </c>
      <c r="H2990" s="12">
        <v>1434</v>
      </c>
      <c r="I2990" s="8">
        <f t="shared" si="92"/>
        <v>195.25801952580196</v>
      </c>
      <c r="J2990" s="3" t="str">
        <f t="shared" si="93"/>
        <v>Low</v>
      </c>
    </row>
    <row r="2991" spans="1:10">
      <c r="A2991" s="4" t="s">
        <v>3078</v>
      </c>
      <c r="B2991" s="16" t="s">
        <v>2193</v>
      </c>
      <c r="C2991" s="17" t="s">
        <v>2164</v>
      </c>
      <c r="D2991" s="21">
        <v>280000</v>
      </c>
      <c r="E2991" s="4">
        <v>52</v>
      </c>
      <c r="F2991" s="4">
        <v>4</v>
      </c>
      <c r="G2991" s="4">
        <v>2</v>
      </c>
      <c r="H2991" s="10">
        <v>1680</v>
      </c>
      <c r="I2991" s="5">
        <f t="shared" si="92"/>
        <v>166.66666666666666</v>
      </c>
      <c r="J2991" s="3" t="str">
        <f t="shared" si="93"/>
        <v>Low</v>
      </c>
    </row>
    <row r="2992" spans="1:10">
      <c r="A2992" s="7" t="s">
        <v>3079</v>
      </c>
      <c r="B2992" s="18" t="s">
        <v>2168</v>
      </c>
      <c r="C2992" s="19" t="s">
        <v>2164</v>
      </c>
      <c r="D2992" s="22">
        <v>280000</v>
      </c>
      <c r="E2992" s="7">
        <v>5</v>
      </c>
      <c r="F2992" s="7">
        <v>3</v>
      </c>
      <c r="G2992" s="7">
        <v>1.1000000000000001</v>
      </c>
      <c r="H2992" s="12">
        <v>1433</v>
      </c>
      <c r="I2992" s="8">
        <f t="shared" si="92"/>
        <v>195.39427773900908</v>
      </c>
      <c r="J2992" s="3" t="str">
        <f t="shared" si="93"/>
        <v>Low</v>
      </c>
    </row>
    <row r="2993" spans="1:10">
      <c r="A2993" s="4" t="s">
        <v>3080</v>
      </c>
      <c r="B2993" s="16" t="s">
        <v>2163</v>
      </c>
      <c r="C2993" s="17" t="s">
        <v>2164</v>
      </c>
      <c r="D2993" s="21">
        <v>280125</v>
      </c>
      <c r="E2993" s="4">
        <v>7</v>
      </c>
      <c r="F2993" s="4">
        <v>3</v>
      </c>
      <c r="G2993" s="4">
        <v>1.2</v>
      </c>
      <c r="H2993" s="10">
        <v>1878</v>
      </c>
      <c r="I2993" s="5">
        <f t="shared" si="92"/>
        <v>149.16134185303514</v>
      </c>
      <c r="J2993" s="3" t="str">
        <f t="shared" si="93"/>
        <v>Low</v>
      </c>
    </row>
    <row r="2994" spans="1:10">
      <c r="A2994" s="7" t="s">
        <v>3081</v>
      </c>
      <c r="B2994" s="18" t="s">
        <v>2163</v>
      </c>
      <c r="C2994" s="19" t="s">
        <v>2164</v>
      </c>
      <c r="D2994" s="22">
        <v>281500</v>
      </c>
      <c r="E2994" s="7">
        <v>16</v>
      </c>
      <c r="F2994" s="7">
        <v>2</v>
      </c>
      <c r="G2994" s="7">
        <v>1</v>
      </c>
      <c r="H2994" s="12">
        <v>1548</v>
      </c>
      <c r="I2994" s="8">
        <f t="shared" si="92"/>
        <v>181.84754521963825</v>
      </c>
      <c r="J2994" s="3" t="str">
        <f t="shared" si="93"/>
        <v>Low</v>
      </c>
    </row>
    <row r="2995" spans="1:10">
      <c r="A2995" s="4" t="s">
        <v>3082</v>
      </c>
      <c r="B2995" s="16" t="s">
        <v>2193</v>
      </c>
      <c r="C2995" s="17" t="s">
        <v>2164</v>
      </c>
      <c r="D2995" s="21">
        <v>282500</v>
      </c>
      <c r="E2995" s="4">
        <v>3</v>
      </c>
      <c r="F2995" s="4">
        <v>4</v>
      </c>
      <c r="G2995" s="4">
        <v>1.1000000000000001</v>
      </c>
      <c r="H2995" s="10">
        <v>1647</v>
      </c>
      <c r="I2995" s="5">
        <f t="shared" si="92"/>
        <v>171.52398299939284</v>
      </c>
      <c r="J2995" s="3" t="str">
        <f t="shared" si="93"/>
        <v>Low</v>
      </c>
    </row>
    <row r="2996" spans="1:10">
      <c r="A2996" s="7" t="s">
        <v>3083</v>
      </c>
      <c r="B2996" s="18" t="s">
        <v>2193</v>
      </c>
      <c r="C2996" s="19" t="s">
        <v>2164</v>
      </c>
      <c r="D2996" s="22">
        <v>282500</v>
      </c>
      <c r="E2996" s="7">
        <v>3</v>
      </c>
      <c r="F2996" s="7">
        <v>4</v>
      </c>
      <c r="G2996" s="7">
        <v>1.1000000000000001</v>
      </c>
      <c r="H2996" s="12">
        <v>1647</v>
      </c>
      <c r="I2996" s="8">
        <f t="shared" si="92"/>
        <v>171.52398299939284</v>
      </c>
      <c r="J2996" s="3" t="str">
        <f t="shared" si="93"/>
        <v>Low</v>
      </c>
    </row>
    <row r="2997" spans="1:10">
      <c r="A2997" s="4" t="s">
        <v>3084</v>
      </c>
      <c r="B2997" s="16" t="s">
        <v>2168</v>
      </c>
      <c r="C2997" s="17" t="s">
        <v>2164</v>
      </c>
      <c r="D2997" s="21">
        <v>283000</v>
      </c>
      <c r="E2997" s="4">
        <v>41</v>
      </c>
      <c r="F2997" s="4">
        <v>3</v>
      </c>
      <c r="G2997" s="4">
        <v>2.1</v>
      </c>
      <c r="H2997" s="10">
        <v>1486</v>
      </c>
      <c r="I2997" s="5">
        <f t="shared" si="92"/>
        <v>190.44414535666218</v>
      </c>
      <c r="J2997" s="3" t="str">
        <f t="shared" si="93"/>
        <v>Low</v>
      </c>
    </row>
    <row r="2998" spans="1:10">
      <c r="A2998" s="7" t="s">
        <v>3085</v>
      </c>
      <c r="B2998" s="18" t="s">
        <v>2316</v>
      </c>
      <c r="C2998" s="19" t="s">
        <v>2164</v>
      </c>
      <c r="D2998" s="22">
        <v>283000</v>
      </c>
      <c r="E2998" s="7">
        <v>7</v>
      </c>
      <c r="F2998" s="7">
        <v>3</v>
      </c>
      <c r="G2998" s="7">
        <v>1.1000000000000001</v>
      </c>
      <c r="H2998" s="12">
        <v>1767</v>
      </c>
      <c r="I2998" s="8">
        <f t="shared" si="92"/>
        <v>160.15846066779852</v>
      </c>
      <c r="J2998" s="3" t="str">
        <f t="shared" si="93"/>
        <v>Low</v>
      </c>
    </row>
    <row r="2999" spans="1:10">
      <c r="A2999" s="4" t="s">
        <v>3086</v>
      </c>
      <c r="B2999" s="16" t="s">
        <v>2193</v>
      </c>
      <c r="C2999" s="17" t="s">
        <v>2164</v>
      </c>
      <c r="D2999" s="21">
        <v>283500</v>
      </c>
      <c r="E2999" s="4">
        <v>51</v>
      </c>
      <c r="F2999" s="4">
        <v>4</v>
      </c>
      <c r="G2999" s="4">
        <v>1.1000000000000001</v>
      </c>
      <c r="H2999" s="10">
        <v>1622</v>
      </c>
      <c r="I2999" s="5">
        <f t="shared" si="92"/>
        <v>174.7842170160296</v>
      </c>
      <c r="J2999" s="3" t="str">
        <f t="shared" si="93"/>
        <v>Low</v>
      </c>
    </row>
    <row r="3000" spans="1:10">
      <c r="A3000" s="7" t="s">
        <v>3087</v>
      </c>
      <c r="B3000" s="18" t="s">
        <v>2316</v>
      </c>
      <c r="C3000" s="19" t="s">
        <v>2164</v>
      </c>
      <c r="D3000" s="22">
        <v>285000</v>
      </c>
      <c r="E3000" s="7">
        <v>6</v>
      </c>
      <c r="F3000" s="7">
        <v>3</v>
      </c>
      <c r="G3000" s="7">
        <v>1</v>
      </c>
      <c r="H3000" s="12">
        <v>1432</v>
      </c>
      <c r="I3000" s="8">
        <f t="shared" si="92"/>
        <v>199.02234636871509</v>
      </c>
      <c r="J3000" s="3" t="str">
        <f t="shared" si="93"/>
        <v>Low</v>
      </c>
    </row>
    <row r="3001" spans="1:10">
      <c r="A3001" s="4" t="s">
        <v>3088</v>
      </c>
      <c r="B3001" s="16" t="s">
        <v>2210</v>
      </c>
      <c r="C3001" s="17" t="s">
        <v>2164</v>
      </c>
      <c r="D3001" s="21">
        <v>285000</v>
      </c>
      <c r="E3001" s="4">
        <v>1</v>
      </c>
      <c r="F3001" s="4">
        <v>3</v>
      </c>
      <c r="G3001" s="4">
        <v>1.2</v>
      </c>
      <c r="H3001" s="10">
        <v>1231</v>
      </c>
      <c r="I3001" s="5">
        <f t="shared" si="92"/>
        <v>231.51909017059302</v>
      </c>
      <c r="J3001" s="3" t="str">
        <f t="shared" si="93"/>
        <v>Medium</v>
      </c>
    </row>
    <row r="3002" spans="1:10">
      <c r="A3002" s="7" t="s">
        <v>3089</v>
      </c>
      <c r="B3002" s="18" t="s">
        <v>2193</v>
      </c>
      <c r="C3002" s="19" t="s">
        <v>2164</v>
      </c>
      <c r="D3002" s="22">
        <v>285000</v>
      </c>
      <c r="E3002" s="7">
        <v>5</v>
      </c>
      <c r="F3002" s="7">
        <v>3</v>
      </c>
      <c r="G3002" s="7">
        <v>1.1000000000000001</v>
      </c>
      <c r="H3002" s="12">
        <v>1344</v>
      </c>
      <c r="I3002" s="8">
        <f t="shared" si="92"/>
        <v>212.05357142857142</v>
      </c>
      <c r="J3002" s="3" t="str">
        <f t="shared" si="93"/>
        <v>Medium</v>
      </c>
    </row>
    <row r="3003" spans="1:10">
      <c r="A3003" s="4" t="s">
        <v>3090</v>
      </c>
      <c r="B3003" s="16" t="s">
        <v>2210</v>
      </c>
      <c r="C3003" s="17" t="s">
        <v>2164</v>
      </c>
      <c r="D3003" s="21">
        <v>285000</v>
      </c>
      <c r="E3003" s="4">
        <v>12</v>
      </c>
      <c r="F3003" s="4">
        <v>3</v>
      </c>
      <c r="G3003" s="4">
        <v>1</v>
      </c>
      <c r="H3003" s="10">
        <v>1361</v>
      </c>
      <c r="I3003" s="5">
        <f t="shared" si="92"/>
        <v>209.40484937545921</v>
      </c>
      <c r="J3003" s="3" t="str">
        <f t="shared" si="93"/>
        <v>Medium</v>
      </c>
    </row>
    <row r="3004" spans="1:10">
      <c r="A3004" s="7" t="s">
        <v>3091</v>
      </c>
      <c r="B3004" s="18" t="s">
        <v>2193</v>
      </c>
      <c r="C3004" s="19" t="s">
        <v>2164</v>
      </c>
      <c r="D3004" s="22">
        <v>285000</v>
      </c>
      <c r="E3004" s="7">
        <v>5</v>
      </c>
      <c r="F3004" s="7">
        <v>3</v>
      </c>
      <c r="G3004" s="7">
        <v>1.1000000000000001</v>
      </c>
      <c r="H3004" s="12">
        <v>1550</v>
      </c>
      <c r="I3004" s="8">
        <f t="shared" si="92"/>
        <v>183.87096774193549</v>
      </c>
      <c r="J3004" s="3" t="str">
        <f t="shared" si="93"/>
        <v>Low</v>
      </c>
    </row>
    <row r="3005" spans="1:10">
      <c r="A3005" s="4" t="s">
        <v>3092</v>
      </c>
      <c r="B3005" s="16" t="s">
        <v>2316</v>
      </c>
      <c r="C3005" s="17" t="s">
        <v>2164</v>
      </c>
      <c r="D3005" s="21">
        <v>285000</v>
      </c>
      <c r="E3005" s="4">
        <v>5</v>
      </c>
      <c r="F3005" s="4">
        <v>3</v>
      </c>
      <c r="G3005" s="4">
        <v>1.1000000000000001</v>
      </c>
      <c r="H3005" s="10">
        <v>1319</v>
      </c>
      <c r="I3005" s="5">
        <f t="shared" si="92"/>
        <v>216.07278241091737</v>
      </c>
      <c r="J3005" s="3" t="str">
        <f t="shared" si="93"/>
        <v>Medium</v>
      </c>
    </row>
    <row r="3006" spans="1:10">
      <c r="A3006" s="7" t="s">
        <v>3093</v>
      </c>
      <c r="B3006" s="18" t="s">
        <v>2316</v>
      </c>
      <c r="C3006" s="19" t="s">
        <v>2164</v>
      </c>
      <c r="D3006" s="22">
        <v>285000</v>
      </c>
      <c r="E3006" s="7">
        <v>5</v>
      </c>
      <c r="F3006" s="7">
        <v>4</v>
      </c>
      <c r="G3006" s="7">
        <v>2</v>
      </c>
      <c r="H3006" s="12">
        <v>1628</v>
      </c>
      <c r="I3006" s="8">
        <f t="shared" si="92"/>
        <v>175.06142506142507</v>
      </c>
      <c r="J3006" s="3" t="str">
        <f t="shared" si="93"/>
        <v>Low</v>
      </c>
    </row>
    <row r="3007" spans="1:10">
      <c r="A3007" s="4" t="s">
        <v>3094</v>
      </c>
      <c r="B3007" s="16" t="s">
        <v>2193</v>
      </c>
      <c r="C3007" s="17" t="s">
        <v>2164</v>
      </c>
      <c r="D3007" s="21">
        <v>285000</v>
      </c>
      <c r="E3007" s="4">
        <v>1</v>
      </c>
      <c r="F3007" s="4">
        <v>3</v>
      </c>
      <c r="G3007" s="4">
        <v>1.1000000000000001</v>
      </c>
      <c r="H3007" s="10">
        <v>1144</v>
      </c>
      <c r="I3007" s="5">
        <f t="shared" si="92"/>
        <v>249.12587412587413</v>
      </c>
      <c r="J3007" s="3" t="str">
        <f t="shared" si="93"/>
        <v>Medium</v>
      </c>
    </row>
    <row r="3008" spans="1:10">
      <c r="A3008" s="7" t="s">
        <v>3095</v>
      </c>
      <c r="B3008" s="18" t="s">
        <v>2193</v>
      </c>
      <c r="C3008" s="19" t="s">
        <v>2164</v>
      </c>
      <c r="D3008" s="22">
        <v>285000</v>
      </c>
      <c r="E3008" s="7">
        <v>83</v>
      </c>
      <c r="F3008" s="7">
        <v>3</v>
      </c>
      <c r="G3008" s="7">
        <v>2</v>
      </c>
      <c r="H3008" s="12">
        <v>1876</v>
      </c>
      <c r="I3008" s="8">
        <f t="shared" si="92"/>
        <v>151.91897654584221</v>
      </c>
      <c r="J3008" s="3" t="str">
        <f t="shared" si="93"/>
        <v>Low</v>
      </c>
    </row>
    <row r="3009" spans="1:10">
      <c r="A3009" s="4" t="s">
        <v>3096</v>
      </c>
      <c r="B3009" s="16" t="s">
        <v>2193</v>
      </c>
      <c r="C3009" s="17" t="s">
        <v>2164</v>
      </c>
      <c r="D3009" s="21">
        <v>285000</v>
      </c>
      <c r="E3009" s="4">
        <v>56</v>
      </c>
      <c r="F3009" s="4">
        <v>4</v>
      </c>
      <c r="G3009" s="4">
        <v>1.1000000000000001</v>
      </c>
      <c r="H3009" s="10">
        <v>1796</v>
      </c>
      <c r="I3009" s="5">
        <f t="shared" si="92"/>
        <v>158.68596881959911</v>
      </c>
      <c r="J3009" s="3" t="str">
        <f t="shared" si="93"/>
        <v>Low</v>
      </c>
    </row>
    <row r="3010" spans="1:10">
      <c r="A3010" s="7" t="s">
        <v>3097</v>
      </c>
      <c r="B3010" s="18" t="s">
        <v>2193</v>
      </c>
      <c r="C3010" s="19" t="s">
        <v>2164</v>
      </c>
      <c r="D3010" s="22">
        <v>286000</v>
      </c>
      <c r="E3010" s="7">
        <v>4</v>
      </c>
      <c r="F3010" s="7">
        <v>3</v>
      </c>
      <c r="G3010" s="7">
        <v>2</v>
      </c>
      <c r="H3010" s="12">
        <v>1456</v>
      </c>
      <c r="I3010" s="8">
        <f t="shared" ref="I3010:I3073" si="94">D3010/H3010</f>
        <v>196.42857142857142</v>
      </c>
      <c r="J3010" s="3" t="str">
        <f t="shared" ref="J3010:J3073" si="95">IF(I3010 &gt; 300, "High", IF(AND(I3010 &lt;= 300, I3010 &gt; 200), "Medium", "Low"))</f>
        <v>Low</v>
      </c>
    </row>
    <row r="3011" spans="1:10">
      <c r="A3011" s="4" t="s">
        <v>3098</v>
      </c>
      <c r="B3011" s="16" t="s">
        <v>2193</v>
      </c>
      <c r="C3011" s="17" t="s">
        <v>2164</v>
      </c>
      <c r="D3011" s="21">
        <v>286000</v>
      </c>
      <c r="E3011" s="4">
        <v>0</v>
      </c>
      <c r="F3011" s="4">
        <v>3</v>
      </c>
      <c r="G3011" s="4">
        <v>1.1000000000000001</v>
      </c>
      <c r="H3011" s="10">
        <v>1436</v>
      </c>
      <c r="I3011" s="5">
        <f t="shared" si="94"/>
        <v>199.16434540389972</v>
      </c>
      <c r="J3011" s="3" t="str">
        <f t="shared" si="95"/>
        <v>Low</v>
      </c>
    </row>
    <row r="3012" spans="1:10">
      <c r="A3012" s="7" t="s">
        <v>3099</v>
      </c>
      <c r="B3012" s="18" t="s">
        <v>2193</v>
      </c>
      <c r="C3012" s="19" t="s">
        <v>2164</v>
      </c>
      <c r="D3012" s="22">
        <v>287000</v>
      </c>
      <c r="E3012" s="7">
        <v>29</v>
      </c>
      <c r="F3012" s="7">
        <v>4</v>
      </c>
      <c r="G3012" s="7">
        <v>2</v>
      </c>
      <c r="H3012" s="12">
        <v>1728</v>
      </c>
      <c r="I3012" s="8">
        <f t="shared" si="94"/>
        <v>166.08796296296296</v>
      </c>
      <c r="J3012" s="3" t="str">
        <f t="shared" si="95"/>
        <v>Low</v>
      </c>
    </row>
    <row r="3013" spans="1:10">
      <c r="A3013" s="4" t="s">
        <v>3100</v>
      </c>
      <c r="B3013" s="16" t="s">
        <v>2168</v>
      </c>
      <c r="C3013" s="17" t="s">
        <v>2164</v>
      </c>
      <c r="D3013" s="21">
        <v>288000</v>
      </c>
      <c r="E3013" s="4">
        <v>7</v>
      </c>
      <c r="F3013" s="4">
        <v>3</v>
      </c>
      <c r="G3013" s="4">
        <v>2.1</v>
      </c>
      <c r="H3013" s="10">
        <v>1652</v>
      </c>
      <c r="I3013" s="5">
        <f t="shared" si="94"/>
        <v>174.33414043583534</v>
      </c>
      <c r="J3013" s="3" t="str">
        <f t="shared" si="95"/>
        <v>Low</v>
      </c>
    </row>
    <row r="3014" spans="1:10">
      <c r="A3014" s="7" t="s">
        <v>3101</v>
      </c>
      <c r="B3014" s="18" t="s">
        <v>2193</v>
      </c>
      <c r="C3014" s="19" t="s">
        <v>2164</v>
      </c>
      <c r="D3014" s="22">
        <v>288500</v>
      </c>
      <c r="E3014" s="7">
        <v>8</v>
      </c>
      <c r="F3014" s="7">
        <v>3</v>
      </c>
      <c r="G3014" s="7">
        <v>1.1000000000000001</v>
      </c>
      <c r="H3014" s="12">
        <v>1090</v>
      </c>
      <c r="I3014" s="8">
        <f t="shared" si="94"/>
        <v>264.67889908256882</v>
      </c>
      <c r="J3014" s="3" t="str">
        <f t="shared" si="95"/>
        <v>Medium</v>
      </c>
    </row>
    <row r="3015" spans="1:10">
      <c r="A3015" s="4" t="s">
        <v>3102</v>
      </c>
      <c r="B3015" s="16" t="s">
        <v>2596</v>
      </c>
      <c r="C3015" s="17" t="s">
        <v>2164</v>
      </c>
      <c r="D3015" s="21">
        <v>289900</v>
      </c>
      <c r="E3015" s="4">
        <v>21</v>
      </c>
      <c r="F3015" s="4">
        <v>3</v>
      </c>
      <c r="G3015" s="4">
        <v>1.2</v>
      </c>
      <c r="H3015" s="10">
        <v>1302</v>
      </c>
      <c r="I3015" s="5">
        <f t="shared" si="94"/>
        <v>222.65745007680491</v>
      </c>
      <c r="J3015" s="3" t="str">
        <f t="shared" si="95"/>
        <v>Medium</v>
      </c>
    </row>
    <row r="3016" spans="1:10">
      <c r="A3016" s="7" t="s">
        <v>3103</v>
      </c>
      <c r="B3016" s="18" t="s">
        <v>2193</v>
      </c>
      <c r="C3016" s="19" t="s">
        <v>2164</v>
      </c>
      <c r="D3016" s="22">
        <v>290000</v>
      </c>
      <c r="E3016" s="7">
        <v>5</v>
      </c>
      <c r="F3016" s="7">
        <v>3</v>
      </c>
      <c r="G3016" s="7">
        <v>2</v>
      </c>
      <c r="H3016" s="12">
        <v>1012</v>
      </c>
      <c r="I3016" s="8">
        <f t="shared" si="94"/>
        <v>286.56126482213438</v>
      </c>
      <c r="J3016" s="3" t="str">
        <f t="shared" si="95"/>
        <v>Medium</v>
      </c>
    </row>
    <row r="3017" spans="1:10">
      <c r="A3017" s="4" t="s">
        <v>3104</v>
      </c>
      <c r="B3017" s="16" t="s">
        <v>2168</v>
      </c>
      <c r="C3017" s="17" t="s">
        <v>2164</v>
      </c>
      <c r="D3017" s="21">
        <v>290000</v>
      </c>
      <c r="E3017" s="4">
        <v>7</v>
      </c>
      <c r="F3017" s="4">
        <v>3</v>
      </c>
      <c r="G3017" s="4">
        <v>2</v>
      </c>
      <c r="H3017" s="10">
        <v>1566</v>
      </c>
      <c r="I3017" s="5">
        <f t="shared" si="94"/>
        <v>185.18518518518519</v>
      </c>
      <c r="J3017" s="3" t="str">
        <f t="shared" si="95"/>
        <v>Low</v>
      </c>
    </row>
    <row r="3018" spans="1:10">
      <c r="A3018" s="7" t="s">
        <v>3105</v>
      </c>
      <c r="B3018" s="18" t="s">
        <v>2193</v>
      </c>
      <c r="C3018" s="19" t="s">
        <v>2164</v>
      </c>
      <c r="D3018" s="22">
        <v>290000</v>
      </c>
      <c r="E3018" s="7">
        <v>29</v>
      </c>
      <c r="F3018" s="7">
        <v>3</v>
      </c>
      <c r="G3018" s="7">
        <v>1.1000000000000001</v>
      </c>
      <c r="H3018" s="12">
        <v>1511</v>
      </c>
      <c r="I3018" s="8">
        <f t="shared" si="94"/>
        <v>191.92587690271344</v>
      </c>
      <c r="J3018" s="3" t="str">
        <f t="shared" si="95"/>
        <v>Low</v>
      </c>
    </row>
    <row r="3019" spans="1:10">
      <c r="A3019" s="4" t="s">
        <v>3106</v>
      </c>
      <c r="B3019" s="16" t="s">
        <v>2181</v>
      </c>
      <c r="C3019" s="17" t="s">
        <v>2164</v>
      </c>
      <c r="D3019" s="21">
        <v>291000</v>
      </c>
      <c r="E3019" s="4">
        <v>9</v>
      </c>
      <c r="F3019" s="4">
        <v>3</v>
      </c>
      <c r="G3019" s="4">
        <v>1.1000000000000001</v>
      </c>
      <c r="H3019" s="10">
        <v>1356</v>
      </c>
      <c r="I3019" s="5">
        <f t="shared" si="94"/>
        <v>214.60176991150442</v>
      </c>
      <c r="J3019" s="3" t="str">
        <f t="shared" si="95"/>
        <v>Medium</v>
      </c>
    </row>
    <row r="3020" spans="1:10">
      <c r="A3020" s="7" t="s">
        <v>3107</v>
      </c>
      <c r="B3020" s="18" t="s">
        <v>2193</v>
      </c>
      <c r="C3020" s="19" t="s">
        <v>2164</v>
      </c>
      <c r="D3020" s="22">
        <v>291000</v>
      </c>
      <c r="E3020" s="7">
        <v>6</v>
      </c>
      <c r="F3020" s="7">
        <v>3</v>
      </c>
      <c r="G3020" s="7">
        <v>2.1</v>
      </c>
      <c r="H3020" s="12">
        <v>1308</v>
      </c>
      <c r="I3020" s="8">
        <f t="shared" si="94"/>
        <v>222.47706422018348</v>
      </c>
      <c r="J3020" s="3" t="str">
        <f t="shared" si="95"/>
        <v>Medium</v>
      </c>
    </row>
    <row r="3021" spans="1:10">
      <c r="A3021" s="4" t="s">
        <v>3108</v>
      </c>
      <c r="B3021" s="16" t="s">
        <v>2193</v>
      </c>
      <c r="C3021" s="17" t="s">
        <v>2164</v>
      </c>
      <c r="D3021" s="21">
        <v>292000</v>
      </c>
      <c r="E3021" s="4">
        <v>9</v>
      </c>
      <c r="F3021" s="4">
        <v>3</v>
      </c>
      <c r="G3021" s="4">
        <v>1.1000000000000001</v>
      </c>
      <c r="H3021" s="10">
        <v>1182</v>
      </c>
      <c r="I3021" s="5">
        <f t="shared" si="94"/>
        <v>247.03891708967851</v>
      </c>
      <c r="J3021" s="3" t="str">
        <f t="shared" si="95"/>
        <v>Medium</v>
      </c>
    </row>
    <row r="3022" spans="1:10">
      <c r="A3022" s="7" t="s">
        <v>3109</v>
      </c>
      <c r="B3022" s="18" t="s">
        <v>2596</v>
      </c>
      <c r="C3022" s="19" t="s">
        <v>2164</v>
      </c>
      <c r="D3022" s="22">
        <v>292800</v>
      </c>
      <c r="E3022" s="7">
        <v>4</v>
      </c>
      <c r="F3022" s="7">
        <v>3</v>
      </c>
      <c r="G3022" s="7">
        <v>1.1000000000000001</v>
      </c>
      <c r="H3022" s="12">
        <v>1137</v>
      </c>
      <c r="I3022" s="8">
        <f t="shared" si="94"/>
        <v>257.51978891820579</v>
      </c>
      <c r="J3022" s="3" t="str">
        <f t="shared" si="95"/>
        <v>Medium</v>
      </c>
    </row>
    <row r="3023" spans="1:10">
      <c r="A3023" s="4" t="s">
        <v>3110</v>
      </c>
      <c r="B3023" s="16" t="s">
        <v>2163</v>
      </c>
      <c r="C3023" s="17" t="s">
        <v>2164</v>
      </c>
      <c r="D3023" s="21">
        <v>293000</v>
      </c>
      <c r="E3023" s="4">
        <v>125</v>
      </c>
      <c r="F3023" s="4">
        <v>3</v>
      </c>
      <c r="G3023" s="4">
        <v>1.1000000000000001</v>
      </c>
      <c r="H3023" s="10">
        <v>1460</v>
      </c>
      <c r="I3023" s="5">
        <f t="shared" si="94"/>
        <v>200.68493150684932</v>
      </c>
      <c r="J3023" s="3" t="str">
        <f t="shared" si="95"/>
        <v>Medium</v>
      </c>
    </row>
    <row r="3024" spans="1:10">
      <c r="A3024" s="7" t="s">
        <v>3111</v>
      </c>
      <c r="B3024" s="18" t="s">
        <v>2181</v>
      </c>
      <c r="C3024" s="19" t="s">
        <v>2164</v>
      </c>
      <c r="D3024" s="22">
        <v>294000</v>
      </c>
      <c r="E3024" s="7">
        <v>17</v>
      </c>
      <c r="F3024" s="7">
        <v>3</v>
      </c>
      <c r="G3024" s="7">
        <v>2</v>
      </c>
      <c r="H3024" s="12">
        <v>1532</v>
      </c>
      <c r="I3024" s="8">
        <f t="shared" si="94"/>
        <v>191.90600522193211</v>
      </c>
      <c r="J3024" s="3" t="str">
        <f t="shared" si="95"/>
        <v>Low</v>
      </c>
    </row>
    <row r="3025" spans="1:10">
      <c r="A3025" s="4" t="s">
        <v>3112</v>
      </c>
      <c r="B3025" s="16" t="s">
        <v>2316</v>
      </c>
      <c r="C3025" s="17" t="s">
        <v>2164</v>
      </c>
      <c r="D3025" s="21">
        <v>294500</v>
      </c>
      <c r="E3025" s="4">
        <v>150</v>
      </c>
      <c r="F3025" s="4">
        <v>3</v>
      </c>
      <c r="G3025" s="4">
        <v>2</v>
      </c>
      <c r="H3025" s="10">
        <v>1571</v>
      </c>
      <c r="I3025" s="5">
        <f t="shared" si="94"/>
        <v>187.46021642266072</v>
      </c>
      <c r="J3025" s="3" t="str">
        <f t="shared" si="95"/>
        <v>Low</v>
      </c>
    </row>
    <row r="3026" spans="1:10">
      <c r="A3026" s="7" t="s">
        <v>3113</v>
      </c>
      <c r="B3026" s="18" t="s">
        <v>2252</v>
      </c>
      <c r="C3026" s="19" t="s">
        <v>2164</v>
      </c>
      <c r="D3026" s="22">
        <v>295000</v>
      </c>
      <c r="E3026" s="7">
        <v>18</v>
      </c>
      <c r="F3026" s="7">
        <v>3</v>
      </c>
      <c r="G3026" s="7">
        <v>2</v>
      </c>
      <c r="H3026" s="12">
        <v>1197</v>
      </c>
      <c r="I3026" s="8">
        <f t="shared" si="94"/>
        <v>246.44945697577276</v>
      </c>
      <c r="J3026" s="3" t="str">
        <f t="shared" si="95"/>
        <v>Medium</v>
      </c>
    </row>
    <row r="3027" spans="1:10">
      <c r="A3027" s="4" t="s">
        <v>3114</v>
      </c>
      <c r="B3027" s="16" t="s">
        <v>2193</v>
      </c>
      <c r="C3027" s="17" t="s">
        <v>2164</v>
      </c>
      <c r="D3027" s="21">
        <v>295000</v>
      </c>
      <c r="E3027" s="4">
        <v>13</v>
      </c>
      <c r="F3027" s="4">
        <v>3</v>
      </c>
      <c r="G3027" s="4">
        <v>1.1000000000000001</v>
      </c>
      <c r="H3027" s="10">
        <v>1484</v>
      </c>
      <c r="I3027" s="5">
        <f t="shared" si="94"/>
        <v>198.78706199460916</v>
      </c>
      <c r="J3027" s="3" t="str">
        <f t="shared" si="95"/>
        <v>Low</v>
      </c>
    </row>
    <row r="3028" spans="1:10">
      <c r="A3028" s="7" t="s">
        <v>3115</v>
      </c>
      <c r="B3028" s="18" t="s">
        <v>2168</v>
      </c>
      <c r="C3028" s="19" t="s">
        <v>2164</v>
      </c>
      <c r="D3028" s="22">
        <v>295000</v>
      </c>
      <c r="E3028" s="7">
        <v>17</v>
      </c>
      <c r="F3028" s="7">
        <v>3</v>
      </c>
      <c r="G3028" s="7">
        <v>2</v>
      </c>
      <c r="H3028" s="12">
        <v>1601</v>
      </c>
      <c r="I3028" s="8">
        <f t="shared" si="94"/>
        <v>184.25983760149907</v>
      </c>
      <c r="J3028" s="3" t="str">
        <f t="shared" si="95"/>
        <v>Low</v>
      </c>
    </row>
    <row r="3029" spans="1:10">
      <c r="A3029" s="4" t="s">
        <v>3116</v>
      </c>
      <c r="B3029" s="16" t="s">
        <v>2781</v>
      </c>
      <c r="C3029" s="17" t="s">
        <v>2164</v>
      </c>
      <c r="D3029" s="21">
        <v>295000</v>
      </c>
      <c r="E3029" s="4">
        <v>28</v>
      </c>
      <c r="F3029" s="4">
        <v>3</v>
      </c>
      <c r="G3029" s="4">
        <v>1.2</v>
      </c>
      <c r="H3029" s="10">
        <v>1350</v>
      </c>
      <c r="I3029" s="5">
        <f t="shared" si="94"/>
        <v>218.5185185185185</v>
      </c>
      <c r="J3029" s="3" t="str">
        <f t="shared" si="95"/>
        <v>Medium</v>
      </c>
    </row>
    <row r="3030" spans="1:10">
      <c r="A3030" s="7" t="s">
        <v>3117</v>
      </c>
      <c r="B3030" s="18" t="s">
        <v>2193</v>
      </c>
      <c r="C3030" s="19" t="s">
        <v>2164</v>
      </c>
      <c r="D3030" s="22">
        <v>295000</v>
      </c>
      <c r="E3030" s="7">
        <v>4</v>
      </c>
      <c r="F3030" s="7">
        <v>3</v>
      </c>
      <c r="G3030" s="7">
        <v>2.1</v>
      </c>
      <c r="H3030" s="12">
        <v>1374</v>
      </c>
      <c r="I3030" s="8">
        <f t="shared" si="94"/>
        <v>214.70160116448326</v>
      </c>
      <c r="J3030" s="3" t="str">
        <f t="shared" si="95"/>
        <v>Medium</v>
      </c>
    </row>
    <row r="3031" spans="1:10">
      <c r="A3031" s="4" t="s">
        <v>3118</v>
      </c>
      <c r="B3031" s="16" t="s">
        <v>2252</v>
      </c>
      <c r="C3031" s="17" t="s">
        <v>2164</v>
      </c>
      <c r="D3031" s="21">
        <v>295000</v>
      </c>
      <c r="E3031" s="4">
        <v>72</v>
      </c>
      <c r="F3031" s="4">
        <v>3</v>
      </c>
      <c r="G3031" s="4">
        <v>3.1</v>
      </c>
      <c r="H3031" s="10">
        <v>2017</v>
      </c>
      <c r="I3031" s="5">
        <f t="shared" si="94"/>
        <v>146.25681705503223</v>
      </c>
      <c r="J3031" s="3" t="str">
        <f t="shared" si="95"/>
        <v>Low</v>
      </c>
    </row>
    <row r="3032" spans="1:10">
      <c r="A3032" s="7" t="s">
        <v>3119</v>
      </c>
      <c r="B3032" s="18" t="s">
        <v>3037</v>
      </c>
      <c r="C3032" s="19" t="s">
        <v>2164</v>
      </c>
      <c r="D3032" s="22">
        <v>295000</v>
      </c>
      <c r="E3032" s="7">
        <v>88</v>
      </c>
      <c r="F3032" s="7">
        <v>3</v>
      </c>
      <c r="G3032" s="7">
        <v>3</v>
      </c>
      <c r="H3032" s="12">
        <v>1698</v>
      </c>
      <c r="I3032" s="8">
        <f t="shared" si="94"/>
        <v>173.73380447585396</v>
      </c>
      <c r="J3032" s="3" t="str">
        <f t="shared" si="95"/>
        <v>Low</v>
      </c>
    </row>
    <row r="3033" spans="1:10">
      <c r="A3033" s="4" t="s">
        <v>3120</v>
      </c>
      <c r="B3033" s="16" t="s">
        <v>2210</v>
      </c>
      <c r="C3033" s="17" t="s">
        <v>2164</v>
      </c>
      <c r="D3033" s="21">
        <v>295500</v>
      </c>
      <c r="E3033" s="4">
        <v>22</v>
      </c>
      <c r="F3033" s="4">
        <v>3</v>
      </c>
      <c r="G3033" s="4">
        <v>2.1</v>
      </c>
      <c r="H3033" s="10">
        <v>1800</v>
      </c>
      <c r="I3033" s="5">
        <f t="shared" si="94"/>
        <v>164.16666666666666</v>
      </c>
      <c r="J3033" s="3" t="str">
        <f t="shared" si="95"/>
        <v>Low</v>
      </c>
    </row>
    <row r="3034" spans="1:10">
      <c r="A3034" s="7" t="s">
        <v>3121</v>
      </c>
      <c r="B3034" s="18" t="s">
        <v>2193</v>
      </c>
      <c r="C3034" s="19" t="s">
        <v>2164</v>
      </c>
      <c r="D3034" s="22">
        <v>296000</v>
      </c>
      <c r="E3034" s="7">
        <v>7</v>
      </c>
      <c r="F3034" s="7">
        <v>4</v>
      </c>
      <c r="G3034" s="7">
        <v>2</v>
      </c>
      <c r="H3034" s="12">
        <v>1749</v>
      </c>
      <c r="I3034" s="8">
        <f t="shared" si="94"/>
        <v>169.23956546598055</v>
      </c>
      <c r="J3034" s="3" t="str">
        <f t="shared" si="95"/>
        <v>Low</v>
      </c>
    </row>
    <row r="3035" spans="1:10">
      <c r="A3035" s="4" t="s">
        <v>3122</v>
      </c>
      <c r="B3035" s="16" t="s">
        <v>2193</v>
      </c>
      <c r="C3035" s="17" t="s">
        <v>2164</v>
      </c>
      <c r="D3035" s="21">
        <v>296500</v>
      </c>
      <c r="E3035" s="4">
        <v>10</v>
      </c>
      <c r="F3035" s="4">
        <v>4</v>
      </c>
      <c r="G3035" s="4">
        <v>1.1000000000000001</v>
      </c>
      <c r="H3035" s="10">
        <v>1482</v>
      </c>
      <c r="I3035" s="5">
        <f t="shared" si="94"/>
        <v>200.06747638326587</v>
      </c>
      <c r="J3035" s="3" t="str">
        <f t="shared" si="95"/>
        <v>Medium</v>
      </c>
    </row>
    <row r="3036" spans="1:10">
      <c r="A3036" s="7" t="s">
        <v>3123</v>
      </c>
      <c r="B3036" s="18" t="s">
        <v>2273</v>
      </c>
      <c r="C3036" s="19" t="s">
        <v>2164</v>
      </c>
      <c r="D3036" s="22">
        <v>297000</v>
      </c>
      <c r="E3036" s="7">
        <v>57</v>
      </c>
      <c r="F3036" s="7">
        <v>3</v>
      </c>
      <c r="G3036" s="7">
        <v>2.1</v>
      </c>
      <c r="H3036" s="12">
        <v>1808</v>
      </c>
      <c r="I3036" s="8">
        <f t="shared" si="94"/>
        <v>164.26991150442478</v>
      </c>
      <c r="J3036" s="3" t="str">
        <f t="shared" si="95"/>
        <v>Low</v>
      </c>
    </row>
    <row r="3037" spans="1:10">
      <c r="A3037" s="4" t="s">
        <v>3124</v>
      </c>
      <c r="B3037" s="16" t="s">
        <v>2335</v>
      </c>
      <c r="C3037" s="17" t="s">
        <v>2164</v>
      </c>
      <c r="D3037" s="21">
        <v>297000</v>
      </c>
      <c r="E3037" s="4">
        <v>92</v>
      </c>
      <c r="F3037" s="4">
        <v>3</v>
      </c>
      <c r="G3037" s="4">
        <v>2</v>
      </c>
      <c r="H3037" s="10">
        <v>1298</v>
      </c>
      <c r="I3037" s="5">
        <f t="shared" si="94"/>
        <v>228.81355932203391</v>
      </c>
      <c r="J3037" s="3" t="str">
        <f t="shared" si="95"/>
        <v>Medium</v>
      </c>
    </row>
    <row r="3038" spans="1:10">
      <c r="A3038" s="7" t="s">
        <v>3125</v>
      </c>
      <c r="B3038" s="18" t="s">
        <v>2193</v>
      </c>
      <c r="C3038" s="19" t="s">
        <v>2164</v>
      </c>
      <c r="D3038" s="22">
        <v>297500</v>
      </c>
      <c r="E3038" s="7">
        <v>70</v>
      </c>
      <c r="F3038" s="7">
        <v>4</v>
      </c>
      <c r="G3038" s="7">
        <v>2.1</v>
      </c>
      <c r="H3038" s="12">
        <v>1599</v>
      </c>
      <c r="I3038" s="8">
        <f t="shared" si="94"/>
        <v>186.05378361475923</v>
      </c>
      <c r="J3038" s="3" t="str">
        <f t="shared" si="95"/>
        <v>Low</v>
      </c>
    </row>
    <row r="3039" spans="1:10">
      <c r="A3039" s="4" t="s">
        <v>3126</v>
      </c>
      <c r="B3039" s="16" t="s">
        <v>2181</v>
      </c>
      <c r="C3039" s="17" t="s">
        <v>2164</v>
      </c>
      <c r="D3039" s="21">
        <v>298500</v>
      </c>
      <c r="E3039" s="4">
        <v>87</v>
      </c>
      <c r="F3039" s="4">
        <v>4</v>
      </c>
      <c r="G3039" s="4">
        <v>2</v>
      </c>
      <c r="H3039" s="10">
        <v>1512</v>
      </c>
      <c r="I3039" s="5">
        <f t="shared" si="94"/>
        <v>197.42063492063491</v>
      </c>
      <c r="J3039" s="3" t="str">
        <f t="shared" si="95"/>
        <v>Low</v>
      </c>
    </row>
    <row r="3040" spans="1:10">
      <c r="A3040" s="7" t="s">
        <v>3127</v>
      </c>
      <c r="B3040" s="18" t="s">
        <v>2181</v>
      </c>
      <c r="C3040" s="19" t="s">
        <v>2164</v>
      </c>
      <c r="D3040" s="22">
        <v>298900</v>
      </c>
      <c r="E3040" s="7">
        <v>26</v>
      </c>
      <c r="F3040" s="7">
        <v>5</v>
      </c>
      <c r="G3040" s="7">
        <v>2</v>
      </c>
      <c r="H3040" s="12">
        <v>2250</v>
      </c>
      <c r="I3040" s="8">
        <f t="shared" si="94"/>
        <v>132.84444444444443</v>
      </c>
      <c r="J3040" s="3" t="str">
        <f t="shared" si="95"/>
        <v>Low</v>
      </c>
    </row>
    <row r="3041" spans="1:10">
      <c r="A3041" s="4" t="s">
        <v>3128</v>
      </c>
      <c r="B3041" s="16" t="s">
        <v>2210</v>
      </c>
      <c r="C3041" s="17" t="s">
        <v>2164</v>
      </c>
      <c r="D3041" s="21">
        <v>300000</v>
      </c>
      <c r="E3041" s="4">
        <v>0</v>
      </c>
      <c r="F3041" s="4">
        <v>4</v>
      </c>
      <c r="G3041" s="4">
        <v>2</v>
      </c>
      <c r="H3041" s="10">
        <v>1100</v>
      </c>
      <c r="I3041" s="5">
        <f t="shared" si="94"/>
        <v>272.72727272727275</v>
      </c>
      <c r="J3041" s="3" t="str">
        <f t="shared" si="95"/>
        <v>Medium</v>
      </c>
    </row>
    <row r="3042" spans="1:10">
      <c r="A3042" s="7" t="s">
        <v>3129</v>
      </c>
      <c r="B3042" s="18" t="s">
        <v>2252</v>
      </c>
      <c r="C3042" s="19" t="s">
        <v>2164</v>
      </c>
      <c r="D3042" s="22">
        <v>300000</v>
      </c>
      <c r="E3042" s="7">
        <v>5</v>
      </c>
      <c r="F3042" s="7">
        <v>5</v>
      </c>
      <c r="G3042" s="7">
        <v>2</v>
      </c>
      <c r="H3042" s="12">
        <v>1084</v>
      </c>
      <c r="I3042" s="8">
        <f t="shared" si="94"/>
        <v>276.7527675276753</v>
      </c>
      <c r="J3042" s="3" t="str">
        <f t="shared" si="95"/>
        <v>Medium</v>
      </c>
    </row>
    <row r="3043" spans="1:10">
      <c r="A3043" s="4" t="s">
        <v>3130</v>
      </c>
      <c r="B3043" s="16" t="s">
        <v>2563</v>
      </c>
      <c r="C3043" s="17" t="s">
        <v>2164</v>
      </c>
      <c r="D3043" s="21">
        <v>300000</v>
      </c>
      <c r="E3043" s="4">
        <v>16</v>
      </c>
      <c r="F3043" s="4">
        <v>3</v>
      </c>
      <c r="G3043" s="4">
        <v>1.1000000000000001</v>
      </c>
      <c r="H3043" s="10">
        <v>1300</v>
      </c>
      <c r="I3043" s="5">
        <f t="shared" si="94"/>
        <v>230.76923076923077</v>
      </c>
      <c r="J3043" s="3" t="str">
        <f t="shared" si="95"/>
        <v>Medium</v>
      </c>
    </row>
    <row r="3044" spans="1:10">
      <c r="A3044" s="7" t="s">
        <v>3131</v>
      </c>
      <c r="B3044" s="18" t="s">
        <v>2210</v>
      </c>
      <c r="C3044" s="19" t="s">
        <v>2164</v>
      </c>
      <c r="D3044" s="22">
        <v>300000</v>
      </c>
      <c r="E3044" s="7">
        <v>2</v>
      </c>
      <c r="F3044" s="7">
        <v>3</v>
      </c>
      <c r="G3044" s="7">
        <v>1.1000000000000001</v>
      </c>
      <c r="H3044" s="12">
        <v>1547</v>
      </c>
      <c r="I3044" s="8">
        <f t="shared" si="94"/>
        <v>193.92372333548803</v>
      </c>
      <c r="J3044" s="3" t="str">
        <f t="shared" si="95"/>
        <v>Low</v>
      </c>
    </row>
    <row r="3045" spans="1:10">
      <c r="A3045" s="4" t="s">
        <v>3132</v>
      </c>
      <c r="B3045" s="16" t="s">
        <v>2181</v>
      </c>
      <c r="C3045" s="17" t="s">
        <v>2164</v>
      </c>
      <c r="D3045" s="21">
        <v>300000</v>
      </c>
      <c r="E3045" s="4">
        <v>28</v>
      </c>
      <c r="F3045" s="4">
        <v>3</v>
      </c>
      <c r="G3045" s="4">
        <v>2</v>
      </c>
      <c r="H3045" s="10">
        <v>1398</v>
      </c>
      <c r="I3045" s="5">
        <f t="shared" si="94"/>
        <v>214.59227467811158</v>
      </c>
      <c r="J3045" s="3" t="str">
        <f t="shared" si="95"/>
        <v>Medium</v>
      </c>
    </row>
    <row r="3046" spans="1:10">
      <c r="A3046" s="7" t="s">
        <v>3133</v>
      </c>
      <c r="B3046" s="18" t="s">
        <v>2193</v>
      </c>
      <c r="C3046" s="19" t="s">
        <v>2164</v>
      </c>
      <c r="D3046" s="22">
        <v>300000</v>
      </c>
      <c r="E3046" s="7">
        <v>3</v>
      </c>
      <c r="F3046" s="7">
        <v>3</v>
      </c>
      <c r="G3046" s="7">
        <v>1.1000000000000001</v>
      </c>
      <c r="H3046" s="12">
        <v>1386</v>
      </c>
      <c r="I3046" s="8">
        <f t="shared" si="94"/>
        <v>216.45021645021646</v>
      </c>
      <c r="J3046" s="3" t="str">
        <f t="shared" si="95"/>
        <v>Medium</v>
      </c>
    </row>
    <row r="3047" spans="1:10">
      <c r="A3047" s="4" t="s">
        <v>3134</v>
      </c>
      <c r="B3047" s="16" t="s">
        <v>2193</v>
      </c>
      <c r="C3047" s="17" t="s">
        <v>2164</v>
      </c>
      <c r="D3047" s="21">
        <v>300000</v>
      </c>
      <c r="E3047" s="4">
        <v>8</v>
      </c>
      <c r="F3047" s="4">
        <v>3</v>
      </c>
      <c r="G3047" s="4">
        <v>3</v>
      </c>
      <c r="H3047" s="10">
        <v>1567</v>
      </c>
      <c r="I3047" s="5">
        <f t="shared" si="94"/>
        <v>191.44862795149967</v>
      </c>
      <c r="J3047" s="3" t="str">
        <f t="shared" si="95"/>
        <v>Low</v>
      </c>
    </row>
    <row r="3048" spans="1:10">
      <c r="A3048" s="7" t="s">
        <v>3135</v>
      </c>
      <c r="B3048" s="18" t="s">
        <v>2193</v>
      </c>
      <c r="C3048" s="19" t="s">
        <v>2164</v>
      </c>
      <c r="D3048" s="22">
        <v>300000</v>
      </c>
      <c r="E3048" s="7">
        <v>47</v>
      </c>
      <c r="F3048" s="7">
        <v>3</v>
      </c>
      <c r="G3048" s="7">
        <v>2.1</v>
      </c>
      <c r="H3048" s="12">
        <v>1844</v>
      </c>
      <c r="I3048" s="8">
        <f t="shared" si="94"/>
        <v>162.68980477223428</v>
      </c>
      <c r="J3048" s="3" t="str">
        <f t="shared" si="95"/>
        <v>Low</v>
      </c>
    </row>
    <row r="3049" spans="1:10">
      <c r="A3049" s="4" t="s">
        <v>3136</v>
      </c>
      <c r="B3049" s="16" t="s">
        <v>2193</v>
      </c>
      <c r="C3049" s="17" t="s">
        <v>2164</v>
      </c>
      <c r="D3049" s="21">
        <v>300000</v>
      </c>
      <c r="E3049" s="4">
        <v>58</v>
      </c>
      <c r="F3049" s="4">
        <v>3</v>
      </c>
      <c r="G3049" s="4">
        <v>2</v>
      </c>
      <c r="H3049" s="10">
        <v>2047</v>
      </c>
      <c r="I3049" s="5">
        <f t="shared" si="94"/>
        <v>146.55593551538837</v>
      </c>
      <c r="J3049" s="3" t="str">
        <f t="shared" si="95"/>
        <v>Low</v>
      </c>
    </row>
    <row r="3050" spans="1:10">
      <c r="A3050" s="7" t="s">
        <v>3137</v>
      </c>
      <c r="B3050" s="18" t="s">
        <v>2181</v>
      </c>
      <c r="C3050" s="19" t="s">
        <v>2164</v>
      </c>
      <c r="D3050" s="22">
        <v>300000</v>
      </c>
      <c r="E3050" s="7">
        <v>33</v>
      </c>
      <c r="F3050" s="7">
        <v>3</v>
      </c>
      <c r="G3050" s="7">
        <v>2</v>
      </c>
      <c r="H3050" s="12">
        <v>1536</v>
      </c>
      <c r="I3050" s="8">
        <f t="shared" si="94"/>
        <v>195.3125</v>
      </c>
      <c r="J3050" s="3" t="str">
        <f t="shared" si="95"/>
        <v>Low</v>
      </c>
    </row>
    <row r="3051" spans="1:10">
      <c r="A3051" s="4" t="s">
        <v>3138</v>
      </c>
      <c r="B3051" s="16" t="s">
        <v>2181</v>
      </c>
      <c r="C3051" s="17" t="s">
        <v>2164</v>
      </c>
      <c r="D3051" s="21">
        <v>300000</v>
      </c>
      <c r="E3051" s="4">
        <v>24</v>
      </c>
      <c r="F3051" s="4">
        <v>3</v>
      </c>
      <c r="G3051" s="4">
        <v>2.1</v>
      </c>
      <c r="H3051" s="10">
        <v>1634</v>
      </c>
      <c r="I3051" s="5">
        <f t="shared" si="94"/>
        <v>183.5985312117503</v>
      </c>
      <c r="J3051" s="3" t="str">
        <f t="shared" si="95"/>
        <v>Low</v>
      </c>
    </row>
    <row r="3052" spans="1:10">
      <c r="A3052" s="7" t="s">
        <v>3139</v>
      </c>
      <c r="B3052" s="18" t="s">
        <v>2168</v>
      </c>
      <c r="C3052" s="19" t="s">
        <v>2164</v>
      </c>
      <c r="D3052" s="22">
        <v>300000</v>
      </c>
      <c r="E3052" s="7">
        <v>51</v>
      </c>
      <c r="F3052" s="7">
        <v>3</v>
      </c>
      <c r="G3052" s="7">
        <v>2.1</v>
      </c>
      <c r="H3052" s="12">
        <v>2131</v>
      </c>
      <c r="I3052" s="8">
        <f t="shared" si="94"/>
        <v>140.77897700610043</v>
      </c>
      <c r="J3052" s="3" t="str">
        <f t="shared" si="95"/>
        <v>Low</v>
      </c>
    </row>
    <row r="3053" spans="1:10">
      <c r="A3053" s="4" t="s">
        <v>3140</v>
      </c>
      <c r="B3053" s="16" t="s">
        <v>2193</v>
      </c>
      <c r="C3053" s="17" t="s">
        <v>2164</v>
      </c>
      <c r="D3053" s="21">
        <v>301000</v>
      </c>
      <c r="E3053" s="4">
        <v>5</v>
      </c>
      <c r="F3053" s="4">
        <v>3</v>
      </c>
      <c r="G3053" s="4">
        <v>2.1</v>
      </c>
      <c r="H3053" s="10">
        <v>1342</v>
      </c>
      <c r="I3053" s="5">
        <f t="shared" si="94"/>
        <v>224.29210134128166</v>
      </c>
      <c r="J3053" s="3" t="str">
        <f t="shared" si="95"/>
        <v>Medium</v>
      </c>
    </row>
    <row r="3054" spans="1:10">
      <c r="A3054" s="7" t="s">
        <v>3141</v>
      </c>
      <c r="B3054" s="18" t="s">
        <v>2168</v>
      </c>
      <c r="C3054" s="19" t="s">
        <v>2164</v>
      </c>
      <c r="D3054" s="22">
        <v>302000</v>
      </c>
      <c r="E3054" s="7">
        <v>9</v>
      </c>
      <c r="F3054" s="7">
        <v>3</v>
      </c>
      <c r="G3054" s="7">
        <v>2.1</v>
      </c>
      <c r="H3054" s="12">
        <v>1926</v>
      </c>
      <c r="I3054" s="8">
        <f t="shared" si="94"/>
        <v>156.80166147455867</v>
      </c>
      <c r="J3054" s="3" t="str">
        <f t="shared" si="95"/>
        <v>Low</v>
      </c>
    </row>
    <row r="3055" spans="1:10">
      <c r="A3055" s="4" t="s">
        <v>3142</v>
      </c>
      <c r="B3055" s="16" t="s">
        <v>2395</v>
      </c>
      <c r="C3055" s="17" t="s">
        <v>2164</v>
      </c>
      <c r="D3055" s="21">
        <v>304000</v>
      </c>
      <c r="E3055" s="4">
        <v>4</v>
      </c>
      <c r="F3055" s="4">
        <v>3</v>
      </c>
      <c r="G3055" s="4">
        <v>2</v>
      </c>
      <c r="H3055" s="10">
        <v>1542</v>
      </c>
      <c r="I3055" s="5">
        <f t="shared" si="94"/>
        <v>197.14656290531778</v>
      </c>
      <c r="J3055" s="3" t="str">
        <f t="shared" si="95"/>
        <v>Low</v>
      </c>
    </row>
    <row r="3056" spans="1:10">
      <c r="A3056" s="7" t="s">
        <v>3143</v>
      </c>
      <c r="B3056" s="18" t="s">
        <v>2181</v>
      </c>
      <c r="C3056" s="19" t="s">
        <v>2164</v>
      </c>
      <c r="D3056" s="22">
        <v>304000</v>
      </c>
      <c r="E3056" s="7">
        <v>14</v>
      </c>
      <c r="F3056" s="7">
        <v>3</v>
      </c>
      <c r="G3056" s="7">
        <v>2</v>
      </c>
      <c r="H3056" s="12">
        <v>1801</v>
      </c>
      <c r="I3056" s="8">
        <f t="shared" si="94"/>
        <v>168.79511382565241</v>
      </c>
      <c r="J3056" s="3" t="str">
        <f t="shared" si="95"/>
        <v>Low</v>
      </c>
    </row>
    <row r="3057" spans="1:10">
      <c r="A3057" s="4" t="s">
        <v>3144</v>
      </c>
      <c r="B3057" s="16" t="s">
        <v>2181</v>
      </c>
      <c r="C3057" s="17" t="s">
        <v>2164</v>
      </c>
      <c r="D3057" s="21">
        <v>305000</v>
      </c>
      <c r="E3057" s="4">
        <v>12</v>
      </c>
      <c r="F3057" s="4">
        <v>3</v>
      </c>
      <c r="G3057" s="4">
        <v>1.1000000000000001</v>
      </c>
      <c r="H3057" s="10">
        <v>1322</v>
      </c>
      <c r="I3057" s="5">
        <f t="shared" si="94"/>
        <v>230.71104387291982</v>
      </c>
      <c r="J3057" s="3" t="str">
        <f t="shared" si="95"/>
        <v>Medium</v>
      </c>
    </row>
    <row r="3058" spans="1:10">
      <c r="A3058" s="7" t="s">
        <v>3145</v>
      </c>
      <c r="B3058" s="18" t="s">
        <v>2193</v>
      </c>
      <c r="C3058" s="19" t="s">
        <v>2164</v>
      </c>
      <c r="D3058" s="22">
        <v>305000</v>
      </c>
      <c r="E3058" s="7">
        <v>45</v>
      </c>
      <c r="F3058" s="7">
        <v>4</v>
      </c>
      <c r="G3058" s="7">
        <v>1.1000000000000001</v>
      </c>
      <c r="H3058" s="12">
        <v>1780</v>
      </c>
      <c r="I3058" s="8">
        <f t="shared" si="94"/>
        <v>171.34831460674158</v>
      </c>
      <c r="J3058" s="3" t="str">
        <f t="shared" si="95"/>
        <v>Low</v>
      </c>
    </row>
    <row r="3059" spans="1:10">
      <c r="A3059" s="4" t="s">
        <v>3146</v>
      </c>
      <c r="B3059" s="16" t="s">
        <v>2252</v>
      </c>
      <c r="C3059" s="17" t="s">
        <v>2164</v>
      </c>
      <c r="D3059" s="21">
        <v>305000</v>
      </c>
      <c r="E3059" s="4">
        <v>27</v>
      </c>
      <c r="F3059" s="4">
        <v>3</v>
      </c>
      <c r="G3059" s="4">
        <v>1.1000000000000001</v>
      </c>
      <c r="H3059" s="10">
        <v>1520</v>
      </c>
      <c r="I3059" s="5">
        <f t="shared" si="94"/>
        <v>200.65789473684211</v>
      </c>
      <c r="J3059" s="3" t="str">
        <f t="shared" si="95"/>
        <v>Medium</v>
      </c>
    </row>
    <row r="3060" spans="1:10">
      <c r="A3060" s="7" t="s">
        <v>3147</v>
      </c>
      <c r="B3060" s="18" t="s">
        <v>2316</v>
      </c>
      <c r="C3060" s="19" t="s">
        <v>2164</v>
      </c>
      <c r="D3060" s="22">
        <v>305100</v>
      </c>
      <c r="E3060" s="7">
        <v>62</v>
      </c>
      <c r="F3060" s="7">
        <v>3</v>
      </c>
      <c r="G3060" s="7">
        <v>2</v>
      </c>
      <c r="H3060" s="12">
        <v>1906</v>
      </c>
      <c r="I3060" s="8">
        <f t="shared" si="94"/>
        <v>160.07345225603359</v>
      </c>
      <c r="J3060" s="3" t="str">
        <f t="shared" si="95"/>
        <v>Low</v>
      </c>
    </row>
    <row r="3061" spans="1:10">
      <c r="A3061" s="4" t="s">
        <v>3148</v>
      </c>
      <c r="B3061" s="16" t="s">
        <v>2193</v>
      </c>
      <c r="C3061" s="17" t="s">
        <v>2164</v>
      </c>
      <c r="D3061" s="21">
        <v>306000</v>
      </c>
      <c r="E3061" s="4">
        <v>4</v>
      </c>
      <c r="F3061" s="4">
        <v>3</v>
      </c>
      <c r="G3061" s="4">
        <v>1.1000000000000001</v>
      </c>
      <c r="H3061" s="10">
        <v>1520</v>
      </c>
      <c r="I3061" s="5">
        <f t="shared" si="94"/>
        <v>201.31578947368422</v>
      </c>
      <c r="J3061" s="3" t="str">
        <f t="shared" si="95"/>
        <v>Medium</v>
      </c>
    </row>
    <row r="3062" spans="1:10">
      <c r="A3062" s="7" t="s">
        <v>3149</v>
      </c>
      <c r="B3062" s="18" t="s">
        <v>2181</v>
      </c>
      <c r="C3062" s="19" t="s">
        <v>2164</v>
      </c>
      <c r="D3062" s="22">
        <v>306000</v>
      </c>
      <c r="E3062" s="7">
        <v>57</v>
      </c>
      <c r="F3062" s="7">
        <v>3</v>
      </c>
      <c r="G3062" s="7">
        <v>2.1</v>
      </c>
      <c r="H3062" s="12">
        <v>1882</v>
      </c>
      <c r="I3062" s="8">
        <f t="shared" si="94"/>
        <v>162.59298618490968</v>
      </c>
      <c r="J3062" s="3" t="str">
        <f t="shared" si="95"/>
        <v>Low</v>
      </c>
    </row>
    <row r="3063" spans="1:10">
      <c r="A3063" s="4" t="s">
        <v>3150</v>
      </c>
      <c r="B3063" s="16" t="s">
        <v>3151</v>
      </c>
      <c r="C3063" s="17" t="s">
        <v>2164</v>
      </c>
      <c r="D3063" s="21">
        <v>307000</v>
      </c>
      <c r="E3063" s="4">
        <v>3</v>
      </c>
      <c r="F3063" s="4">
        <v>3</v>
      </c>
      <c r="G3063" s="4">
        <v>2</v>
      </c>
      <c r="H3063" s="10">
        <v>1743</v>
      </c>
      <c r="I3063" s="5">
        <f t="shared" si="94"/>
        <v>176.13310384394723</v>
      </c>
      <c r="J3063" s="3" t="str">
        <f t="shared" si="95"/>
        <v>Low</v>
      </c>
    </row>
    <row r="3064" spans="1:10">
      <c r="A3064" s="7" t="s">
        <v>3152</v>
      </c>
      <c r="B3064" s="18" t="s">
        <v>2193</v>
      </c>
      <c r="C3064" s="19" t="s">
        <v>2164</v>
      </c>
      <c r="D3064" s="22">
        <v>308000</v>
      </c>
      <c r="E3064" s="7">
        <v>67</v>
      </c>
      <c r="F3064" s="7">
        <v>3</v>
      </c>
      <c r="G3064" s="7">
        <v>2</v>
      </c>
      <c r="H3064" s="12">
        <v>1469</v>
      </c>
      <c r="I3064" s="8">
        <f t="shared" si="94"/>
        <v>209.66643975493534</v>
      </c>
      <c r="J3064" s="3" t="str">
        <f t="shared" si="95"/>
        <v>Medium</v>
      </c>
    </row>
    <row r="3065" spans="1:10">
      <c r="A3065" s="4" t="s">
        <v>3153</v>
      </c>
      <c r="B3065" s="16" t="s">
        <v>2163</v>
      </c>
      <c r="C3065" s="17" t="s">
        <v>2164</v>
      </c>
      <c r="D3065" s="21">
        <v>309000</v>
      </c>
      <c r="E3065" s="4">
        <v>29</v>
      </c>
      <c r="F3065" s="4">
        <v>3</v>
      </c>
      <c r="G3065" s="4">
        <v>1.1000000000000001</v>
      </c>
      <c r="H3065" s="10">
        <v>1136</v>
      </c>
      <c r="I3065" s="5">
        <f t="shared" si="94"/>
        <v>272.00704225352115</v>
      </c>
      <c r="J3065" s="3" t="str">
        <f t="shared" si="95"/>
        <v>Medium</v>
      </c>
    </row>
    <row r="3066" spans="1:10">
      <c r="A3066" s="7" t="s">
        <v>3154</v>
      </c>
      <c r="B3066" s="18" t="s">
        <v>2181</v>
      </c>
      <c r="C3066" s="19" t="s">
        <v>2164</v>
      </c>
      <c r="D3066" s="22">
        <v>309000</v>
      </c>
      <c r="E3066" s="7">
        <v>32</v>
      </c>
      <c r="F3066" s="7">
        <v>3</v>
      </c>
      <c r="G3066" s="7">
        <v>1.1000000000000001</v>
      </c>
      <c r="H3066" s="12">
        <v>1785</v>
      </c>
      <c r="I3066" s="8">
        <f t="shared" si="94"/>
        <v>173.109243697479</v>
      </c>
      <c r="J3066" s="3" t="str">
        <f t="shared" si="95"/>
        <v>Low</v>
      </c>
    </row>
    <row r="3067" spans="1:10">
      <c r="A3067" s="4" t="s">
        <v>3155</v>
      </c>
      <c r="B3067" s="16" t="s">
        <v>2163</v>
      </c>
      <c r="C3067" s="17" t="s">
        <v>2164</v>
      </c>
      <c r="D3067" s="21">
        <v>309000</v>
      </c>
      <c r="E3067" s="4">
        <v>148</v>
      </c>
      <c r="F3067" s="4">
        <v>3</v>
      </c>
      <c r="G3067" s="4">
        <v>2</v>
      </c>
      <c r="H3067" s="10">
        <v>1691</v>
      </c>
      <c r="I3067" s="5">
        <f t="shared" si="94"/>
        <v>182.73211117681845</v>
      </c>
      <c r="J3067" s="3" t="str">
        <f t="shared" si="95"/>
        <v>Low</v>
      </c>
    </row>
    <row r="3068" spans="1:10">
      <c r="A3068" s="7" t="s">
        <v>3156</v>
      </c>
      <c r="B3068" s="18" t="s">
        <v>3151</v>
      </c>
      <c r="C3068" s="19" t="s">
        <v>2164</v>
      </c>
      <c r="D3068" s="22">
        <v>309900</v>
      </c>
      <c r="E3068" s="7">
        <v>45</v>
      </c>
      <c r="F3068" s="7">
        <v>2</v>
      </c>
      <c r="G3068" s="7">
        <v>2</v>
      </c>
      <c r="H3068" s="12">
        <v>1270</v>
      </c>
      <c r="I3068" s="8">
        <f t="shared" si="94"/>
        <v>244.01574803149606</v>
      </c>
      <c r="J3068" s="3" t="str">
        <f t="shared" si="95"/>
        <v>Medium</v>
      </c>
    </row>
    <row r="3069" spans="1:10">
      <c r="A3069" s="4" t="s">
        <v>3157</v>
      </c>
      <c r="B3069" s="16" t="s">
        <v>2193</v>
      </c>
      <c r="C3069" s="17" t="s">
        <v>2164</v>
      </c>
      <c r="D3069" s="21">
        <v>310000</v>
      </c>
      <c r="E3069" s="4">
        <v>3</v>
      </c>
      <c r="F3069" s="4">
        <v>3</v>
      </c>
      <c r="G3069" s="4">
        <v>1.1000000000000001</v>
      </c>
      <c r="H3069" s="10">
        <v>1528</v>
      </c>
      <c r="I3069" s="5">
        <f t="shared" si="94"/>
        <v>202.87958115183247</v>
      </c>
      <c r="J3069" s="3" t="str">
        <f t="shared" si="95"/>
        <v>Medium</v>
      </c>
    </row>
    <row r="3070" spans="1:10">
      <c r="A3070" s="7" t="s">
        <v>3158</v>
      </c>
      <c r="B3070" s="18" t="s">
        <v>2181</v>
      </c>
      <c r="C3070" s="19" t="s">
        <v>2164</v>
      </c>
      <c r="D3070" s="22">
        <v>310000</v>
      </c>
      <c r="E3070" s="7">
        <v>3</v>
      </c>
      <c r="F3070" s="7">
        <v>3</v>
      </c>
      <c r="G3070" s="7">
        <v>2.1</v>
      </c>
      <c r="H3070" s="12">
        <v>1796</v>
      </c>
      <c r="I3070" s="8">
        <f t="shared" si="94"/>
        <v>172.60579064587972</v>
      </c>
      <c r="J3070" s="3" t="str">
        <f t="shared" si="95"/>
        <v>Low</v>
      </c>
    </row>
    <row r="3071" spans="1:10">
      <c r="A3071" s="4" t="s">
        <v>2566</v>
      </c>
      <c r="B3071" s="16" t="s">
        <v>2168</v>
      </c>
      <c r="C3071" s="17" t="s">
        <v>2164</v>
      </c>
      <c r="D3071" s="21">
        <v>310000</v>
      </c>
      <c r="E3071" s="4">
        <v>8</v>
      </c>
      <c r="F3071" s="4">
        <v>3</v>
      </c>
      <c r="G3071" s="4">
        <v>2.1</v>
      </c>
      <c r="H3071" s="10">
        <v>1456</v>
      </c>
      <c r="I3071" s="5">
        <f t="shared" si="94"/>
        <v>212.91208791208791</v>
      </c>
      <c r="J3071" s="3" t="str">
        <f t="shared" si="95"/>
        <v>Medium</v>
      </c>
    </row>
    <row r="3072" spans="1:10">
      <c r="A3072" s="7" t="s">
        <v>3159</v>
      </c>
      <c r="B3072" s="18" t="s">
        <v>2193</v>
      </c>
      <c r="C3072" s="19" t="s">
        <v>2164</v>
      </c>
      <c r="D3072" s="22">
        <v>310000</v>
      </c>
      <c r="E3072" s="7">
        <v>4</v>
      </c>
      <c r="F3072" s="7">
        <v>3</v>
      </c>
      <c r="G3072" s="7">
        <v>1.1000000000000001</v>
      </c>
      <c r="H3072" s="12">
        <v>1376</v>
      </c>
      <c r="I3072" s="8">
        <f t="shared" si="94"/>
        <v>225.2906976744186</v>
      </c>
      <c r="J3072" s="3" t="str">
        <f t="shared" si="95"/>
        <v>Medium</v>
      </c>
    </row>
    <row r="3073" spans="1:10">
      <c r="A3073" s="4" t="s">
        <v>3160</v>
      </c>
      <c r="B3073" s="16" t="s">
        <v>2193</v>
      </c>
      <c r="C3073" s="17" t="s">
        <v>2164</v>
      </c>
      <c r="D3073" s="21">
        <v>310000</v>
      </c>
      <c r="E3073" s="4">
        <v>6</v>
      </c>
      <c r="F3073" s="4">
        <v>3</v>
      </c>
      <c r="G3073" s="4">
        <v>2</v>
      </c>
      <c r="H3073" s="10">
        <v>1478</v>
      </c>
      <c r="I3073" s="5">
        <f t="shared" si="94"/>
        <v>209.7428958051421</v>
      </c>
      <c r="J3073" s="3" t="str">
        <f t="shared" si="95"/>
        <v>Medium</v>
      </c>
    </row>
    <row r="3074" spans="1:10">
      <c r="A3074" s="7" t="s">
        <v>3161</v>
      </c>
      <c r="B3074" s="18" t="s">
        <v>2273</v>
      </c>
      <c r="C3074" s="19" t="s">
        <v>2164</v>
      </c>
      <c r="D3074" s="22">
        <v>310000</v>
      </c>
      <c r="E3074" s="7">
        <v>4</v>
      </c>
      <c r="F3074" s="7">
        <v>4</v>
      </c>
      <c r="G3074" s="7">
        <v>2.1</v>
      </c>
      <c r="H3074" s="12">
        <v>2000</v>
      </c>
      <c r="I3074" s="8">
        <f t="shared" ref="I3074:I3137" si="96">D3074/H3074</f>
        <v>155</v>
      </c>
      <c r="J3074" s="3" t="str">
        <f t="shared" ref="J3074:J3137" si="97">IF(I3074 &gt; 300, "High", IF(AND(I3074 &lt;= 300, I3074 &gt; 200), "Medium", "Low"))</f>
        <v>Low</v>
      </c>
    </row>
    <row r="3075" spans="1:10">
      <c r="A3075" s="4" t="s">
        <v>3162</v>
      </c>
      <c r="B3075" s="16" t="s">
        <v>3037</v>
      </c>
      <c r="C3075" s="17" t="s">
        <v>2164</v>
      </c>
      <c r="D3075" s="21">
        <v>310000</v>
      </c>
      <c r="E3075" s="4">
        <v>40</v>
      </c>
      <c r="F3075" s="4">
        <v>3</v>
      </c>
      <c r="G3075" s="4">
        <v>2</v>
      </c>
      <c r="H3075" s="10">
        <v>1248</v>
      </c>
      <c r="I3075" s="5">
        <f t="shared" si="96"/>
        <v>248.39743589743588</v>
      </c>
      <c r="J3075" s="3" t="str">
        <f t="shared" si="97"/>
        <v>Medium</v>
      </c>
    </row>
    <row r="3076" spans="1:10">
      <c r="A3076" s="7" t="s">
        <v>3163</v>
      </c>
      <c r="B3076" s="18" t="s">
        <v>2193</v>
      </c>
      <c r="C3076" s="19" t="s">
        <v>2164</v>
      </c>
      <c r="D3076" s="22">
        <v>310000</v>
      </c>
      <c r="E3076" s="7">
        <v>28</v>
      </c>
      <c r="F3076" s="7">
        <v>3</v>
      </c>
      <c r="G3076" s="7">
        <v>1.1000000000000001</v>
      </c>
      <c r="H3076" s="12">
        <v>1608</v>
      </c>
      <c r="I3076" s="8">
        <f t="shared" si="96"/>
        <v>192.78606965174129</v>
      </c>
      <c r="J3076" s="3" t="str">
        <f t="shared" si="97"/>
        <v>Low</v>
      </c>
    </row>
    <row r="3077" spans="1:10">
      <c r="A3077" s="4" t="s">
        <v>3164</v>
      </c>
      <c r="B3077" s="16" t="s">
        <v>2407</v>
      </c>
      <c r="C3077" s="17" t="s">
        <v>2164</v>
      </c>
      <c r="D3077" s="21">
        <v>310000</v>
      </c>
      <c r="E3077" s="4">
        <v>68</v>
      </c>
      <c r="F3077" s="4">
        <v>3</v>
      </c>
      <c r="G3077" s="4">
        <v>2</v>
      </c>
      <c r="H3077" s="10">
        <v>1724</v>
      </c>
      <c r="I3077" s="5">
        <f t="shared" si="96"/>
        <v>179.81438515081206</v>
      </c>
      <c r="J3077" s="3" t="str">
        <f t="shared" si="97"/>
        <v>Low</v>
      </c>
    </row>
    <row r="3078" spans="1:10">
      <c r="A3078" s="7" t="s">
        <v>3165</v>
      </c>
      <c r="B3078" s="18" t="s">
        <v>2193</v>
      </c>
      <c r="C3078" s="19" t="s">
        <v>2164</v>
      </c>
      <c r="D3078" s="22">
        <v>310000</v>
      </c>
      <c r="E3078" s="7">
        <v>9</v>
      </c>
      <c r="F3078" s="7">
        <v>3</v>
      </c>
      <c r="G3078" s="7">
        <v>2</v>
      </c>
      <c r="H3078" s="12">
        <v>1976</v>
      </c>
      <c r="I3078" s="8">
        <f t="shared" si="96"/>
        <v>156.88259109311741</v>
      </c>
      <c r="J3078" s="3" t="str">
        <f t="shared" si="97"/>
        <v>Low</v>
      </c>
    </row>
    <row r="3079" spans="1:10">
      <c r="A3079" s="4" t="s">
        <v>3166</v>
      </c>
      <c r="B3079" s="16" t="s">
        <v>2193</v>
      </c>
      <c r="C3079" s="17" t="s">
        <v>2164</v>
      </c>
      <c r="D3079" s="21">
        <v>310000</v>
      </c>
      <c r="E3079" s="4">
        <v>71</v>
      </c>
      <c r="F3079" s="4">
        <v>3</v>
      </c>
      <c r="G3079" s="4">
        <v>1.1000000000000001</v>
      </c>
      <c r="H3079" s="10">
        <v>1514</v>
      </c>
      <c r="I3079" s="5">
        <f t="shared" si="96"/>
        <v>204.7556142668428</v>
      </c>
      <c r="J3079" s="3" t="str">
        <f t="shared" si="97"/>
        <v>Medium</v>
      </c>
    </row>
    <row r="3080" spans="1:10">
      <c r="A3080" s="7" t="s">
        <v>3167</v>
      </c>
      <c r="B3080" s="18" t="s">
        <v>2252</v>
      </c>
      <c r="C3080" s="19" t="s">
        <v>2164</v>
      </c>
      <c r="D3080" s="22">
        <v>310000</v>
      </c>
      <c r="E3080" s="7">
        <v>60</v>
      </c>
      <c r="F3080" s="7">
        <v>3</v>
      </c>
      <c r="G3080" s="7">
        <v>3</v>
      </c>
      <c r="H3080" s="12">
        <v>1733</v>
      </c>
      <c r="I3080" s="8">
        <f t="shared" si="96"/>
        <v>178.88055395268321</v>
      </c>
      <c r="J3080" s="3" t="str">
        <f t="shared" si="97"/>
        <v>Low</v>
      </c>
    </row>
    <row r="3081" spans="1:10">
      <c r="A3081" s="4" t="s">
        <v>3168</v>
      </c>
      <c r="B3081" s="16" t="s">
        <v>2316</v>
      </c>
      <c r="C3081" s="17" t="s">
        <v>2164</v>
      </c>
      <c r="D3081" s="21">
        <v>310500</v>
      </c>
      <c r="E3081" s="4">
        <v>7</v>
      </c>
      <c r="F3081" s="4">
        <v>3</v>
      </c>
      <c r="G3081" s="4">
        <v>2</v>
      </c>
      <c r="H3081" s="10">
        <v>1761</v>
      </c>
      <c r="I3081" s="5">
        <f t="shared" si="96"/>
        <v>176.32027257240205</v>
      </c>
      <c r="J3081" s="3" t="str">
        <f t="shared" si="97"/>
        <v>Low</v>
      </c>
    </row>
    <row r="3082" spans="1:10">
      <c r="A3082" s="7" t="s">
        <v>3169</v>
      </c>
      <c r="B3082" s="18" t="s">
        <v>2193</v>
      </c>
      <c r="C3082" s="19" t="s">
        <v>2164</v>
      </c>
      <c r="D3082" s="22">
        <v>311000</v>
      </c>
      <c r="E3082" s="7">
        <v>3</v>
      </c>
      <c r="F3082" s="7">
        <v>3</v>
      </c>
      <c r="G3082" s="7">
        <v>1.1000000000000001</v>
      </c>
      <c r="H3082" s="12">
        <v>1436</v>
      </c>
      <c r="I3082" s="8">
        <f t="shared" si="96"/>
        <v>216.57381615598885</v>
      </c>
      <c r="J3082" s="3" t="str">
        <f t="shared" si="97"/>
        <v>Medium</v>
      </c>
    </row>
    <row r="3083" spans="1:10">
      <c r="A3083" s="4" t="s">
        <v>3170</v>
      </c>
      <c r="B3083" s="16" t="s">
        <v>2210</v>
      </c>
      <c r="C3083" s="17" t="s">
        <v>2164</v>
      </c>
      <c r="D3083" s="21">
        <v>311000</v>
      </c>
      <c r="E3083" s="4">
        <v>7</v>
      </c>
      <c r="F3083" s="4">
        <v>3</v>
      </c>
      <c r="G3083" s="4">
        <v>1.1000000000000001</v>
      </c>
      <c r="H3083" s="10">
        <v>1406</v>
      </c>
      <c r="I3083" s="5">
        <f t="shared" si="96"/>
        <v>221.19487908961594</v>
      </c>
      <c r="J3083" s="3" t="str">
        <f t="shared" si="97"/>
        <v>Medium</v>
      </c>
    </row>
    <row r="3084" spans="1:10">
      <c r="A3084" s="7" t="s">
        <v>3171</v>
      </c>
      <c r="B3084" s="18" t="s">
        <v>2193</v>
      </c>
      <c r="C3084" s="19" t="s">
        <v>2164</v>
      </c>
      <c r="D3084" s="22">
        <v>311000</v>
      </c>
      <c r="E3084" s="7">
        <v>29</v>
      </c>
      <c r="F3084" s="7">
        <v>3</v>
      </c>
      <c r="G3084" s="7">
        <v>2.1</v>
      </c>
      <c r="H3084" s="12">
        <v>1526</v>
      </c>
      <c r="I3084" s="8">
        <f t="shared" si="96"/>
        <v>203.80078636959371</v>
      </c>
      <c r="J3084" s="3" t="str">
        <f t="shared" si="97"/>
        <v>Medium</v>
      </c>
    </row>
    <row r="3085" spans="1:10">
      <c r="A3085" s="4" t="s">
        <v>3172</v>
      </c>
      <c r="B3085" s="16" t="s">
        <v>2193</v>
      </c>
      <c r="C3085" s="17" t="s">
        <v>2164</v>
      </c>
      <c r="D3085" s="21">
        <v>311500</v>
      </c>
      <c r="E3085" s="4">
        <v>105</v>
      </c>
      <c r="F3085" s="4">
        <v>3</v>
      </c>
      <c r="G3085" s="4">
        <v>2.1</v>
      </c>
      <c r="H3085" s="10">
        <v>1447</v>
      </c>
      <c r="I3085" s="5">
        <f t="shared" si="96"/>
        <v>215.27297857636489</v>
      </c>
      <c r="J3085" s="3" t="str">
        <f t="shared" si="97"/>
        <v>Medium</v>
      </c>
    </row>
    <row r="3086" spans="1:10">
      <c r="A3086" s="7" t="s">
        <v>3173</v>
      </c>
      <c r="B3086" s="18" t="s">
        <v>2316</v>
      </c>
      <c r="C3086" s="19" t="s">
        <v>2164</v>
      </c>
      <c r="D3086" s="22">
        <v>312000</v>
      </c>
      <c r="E3086" s="7">
        <v>8</v>
      </c>
      <c r="F3086" s="7">
        <v>3</v>
      </c>
      <c r="G3086" s="7">
        <v>1.1000000000000001</v>
      </c>
      <c r="H3086" s="12">
        <v>1185</v>
      </c>
      <c r="I3086" s="8">
        <f t="shared" si="96"/>
        <v>263.29113924050631</v>
      </c>
      <c r="J3086" s="3" t="str">
        <f t="shared" si="97"/>
        <v>Medium</v>
      </c>
    </row>
    <row r="3087" spans="1:10">
      <c r="A3087" s="4" t="s">
        <v>3174</v>
      </c>
      <c r="B3087" s="16" t="s">
        <v>2193</v>
      </c>
      <c r="C3087" s="17" t="s">
        <v>2164</v>
      </c>
      <c r="D3087" s="21">
        <v>312000</v>
      </c>
      <c r="E3087" s="4">
        <v>11</v>
      </c>
      <c r="F3087" s="4">
        <v>3</v>
      </c>
      <c r="G3087" s="4">
        <v>1.1000000000000001</v>
      </c>
      <c r="H3087" s="10">
        <v>1575</v>
      </c>
      <c r="I3087" s="5">
        <f t="shared" si="96"/>
        <v>198.0952380952381</v>
      </c>
      <c r="J3087" s="3" t="str">
        <f t="shared" si="97"/>
        <v>Low</v>
      </c>
    </row>
    <row r="3088" spans="1:10">
      <c r="A3088" s="7" t="s">
        <v>3175</v>
      </c>
      <c r="B3088" s="18" t="s">
        <v>2168</v>
      </c>
      <c r="C3088" s="19" t="s">
        <v>2164</v>
      </c>
      <c r="D3088" s="22">
        <v>312000</v>
      </c>
      <c r="E3088" s="7">
        <v>65</v>
      </c>
      <c r="F3088" s="7">
        <v>3</v>
      </c>
      <c r="G3088" s="7">
        <v>1.1000000000000001</v>
      </c>
      <c r="H3088" s="12">
        <v>1594</v>
      </c>
      <c r="I3088" s="8">
        <f t="shared" si="96"/>
        <v>195.73400250941029</v>
      </c>
      <c r="J3088" s="3" t="str">
        <f t="shared" si="97"/>
        <v>Low</v>
      </c>
    </row>
    <row r="3089" spans="1:10">
      <c r="A3089" s="4" t="s">
        <v>3176</v>
      </c>
      <c r="B3089" s="16" t="s">
        <v>2407</v>
      </c>
      <c r="C3089" s="17" t="s">
        <v>2164</v>
      </c>
      <c r="D3089" s="21">
        <v>312000</v>
      </c>
      <c r="E3089" s="4">
        <v>84</v>
      </c>
      <c r="F3089" s="4">
        <v>3</v>
      </c>
      <c r="G3089" s="4">
        <v>2.1</v>
      </c>
      <c r="H3089" s="10">
        <v>1674</v>
      </c>
      <c r="I3089" s="5">
        <f t="shared" si="96"/>
        <v>186.37992831541217</v>
      </c>
      <c r="J3089" s="3" t="str">
        <f t="shared" si="97"/>
        <v>Low</v>
      </c>
    </row>
    <row r="3090" spans="1:10">
      <c r="A3090" s="7" t="s">
        <v>3177</v>
      </c>
      <c r="B3090" s="18" t="s">
        <v>2316</v>
      </c>
      <c r="C3090" s="19" t="s">
        <v>2164</v>
      </c>
      <c r="D3090" s="22">
        <v>312000</v>
      </c>
      <c r="E3090" s="7">
        <v>71</v>
      </c>
      <c r="F3090" s="7">
        <v>3</v>
      </c>
      <c r="G3090" s="7">
        <v>1.1000000000000001</v>
      </c>
      <c r="H3090" s="12">
        <v>1242</v>
      </c>
      <c r="I3090" s="8">
        <f t="shared" si="96"/>
        <v>251.20772946859904</v>
      </c>
      <c r="J3090" s="3" t="str">
        <f t="shared" si="97"/>
        <v>Medium</v>
      </c>
    </row>
    <row r="3091" spans="1:10">
      <c r="A3091" s="4" t="s">
        <v>3178</v>
      </c>
      <c r="B3091" s="16" t="s">
        <v>2252</v>
      </c>
      <c r="C3091" s="17" t="s">
        <v>2164</v>
      </c>
      <c r="D3091" s="21">
        <v>313000</v>
      </c>
      <c r="E3091" s="4">
        <v>97</v>
      </c>
      <c r="F3091" s="4">
        <v>3</v>
      </c>
      <c r="G3091" s="4">
        <v>2</v>
      </c>
      <c r="H3091" s="10">
        <v>1978</v>
      </c>
      <c r="I3091" s="5">
        <f t="shared" si="96"/>
        <v>158.24064711830133</v>
      </c>
      <c r="J3091" s="3" t="str">
        <f t="shared" si="97"/>
        <v>Low</v>
      </c>
    </row>
    <row r="3092" spans="1:10">
      <c r="A3092" s="7" t="s">
        <v>3179</v>
      </c>
      <c r="B3092" s="18" t="s">
        <v>2193</v>
      </c>
      <c r="C3092" s="19" t="s">
        <v>2164</v>
      </c>
      <c r="D3092" s="22">
        <v>313500</v>
      </c>
      <c r="E3092" s="7">
        <v>38</v>
      </c>
      <c r="F3092" s="7">
        <v>3</v>
      </c>
      <c r="G3092" s="7">
        <v>1.1000000000000001</v>
      </c>
      <c r="H3092" s="12">
        <v>1446</v>
      </c>
      <c r="I3092" s="8">
        <f t="shared" si="96"/>
        <v>216.80497925311204</v>
      </c>
      <c r="J3092" s="3" t="str">
        <f t="shared" si="97"/>
        <v>Medium</v>
      </c>
    </row>
    <row r="3093" spans="1:10">
      <c r="A3093" s="4" t="s">
        <v>3180</v>
      </c>
      <c r="B3093" s="16" t="s">
        <v>2252</v>
      </c>
      <c r="C3093" s="17" t="s">
        <v>2164</v>
      </c>
      <c r="D3093" s="21">
        <v>315000</v>
      </c>
      <c r="E3093" s="4">
        <v>4</v>
      </c>
      <c r="F3093" s="4">
        <v>3</v>
      </c>
      <c r="G3093" s="4">
        <v>2.1</v>
      </c>
      <c r="H3093" s="10">
        <v>1620</v>
      </c>
      <c r="I3093" s="5">
        <f t="shared" si="96"/>
        <v>194.44444444444446</v>
      </c>
      <c r="J3093" s="3" t="str">
        <f t="shared" si="97"/>
        <v>Low</v>
      </c>
    </row>
    <row r="3094" spans="1:10">
      <c r="A3094" s="7" t="s">
        <v>3181</v>
      </c>
      <c r="B3094" s="18" t="s">
        <v>2193</v>
      </c>
      <c r="C3094" s="19" t="s">
        <v>2164</v>
      </c>
      <c r="D3094" s="22">
        <v>315000</v>
      </c>
      <c r="E3094" s="7">
        <v>5</v>
      </c>
      <c r="F3094" s="7">
        <v>3</v>
      </c>
      <c r="G3094" s="7">
        <v>2.1</v>
      </c>
      <c r="H3094" s="12">
        <v>1351</v>
      </c>
      <c r="I3094" s="8">
        <f t="shared" si="96"/>
        <v>233.16062176165804</v>
      </c>
      <c r="J3094" s="3" t="str">
        <f t="shared" si="97"/>
        <v>Medium</v>
      </c>
    </row>
    <row r="3095" spans="1:10">
      <c r="A3095" s="4" t="s">
        <v>3182</v>
      </c>
      <c r="B3095" s="16" t="s">
        <v>2193</v>
      </c>
      <c r="C3095" s="17" t="s">
        <v>2164</v>
      </c>
      <c r="D3095" s="21">
        <v>315000</v>
      </c>
      <c r="E3095" s="4">
        <v>14</v>
      </c>
      <c r="F3095" s="4">
        <v>3</v>
      </c>
      <c r="G3095" s="4">
        <v>2.1</v>
      </c>
      <c r="H3095" s="10">
        <v>1405</v>
      </c>
      <c r="I3095" s="5">
        <f t="shared" si="96"/>
        <v>224.19928825622776</v>
      </c>
      <c r="J3095" s="3" t="str">
        <f t="shared" si="97"/>
        <v>Medium</v>
      </c>
    </row>
    <row r="3096" spans="1:10">
      <c r="A3096" s="7" t="s">
        <v>3183</v>
      </c>
      <c r="B3096" s="18" t="s">
        <v>2163</v>
      </c>
      <c r="C3096" s="19" t="s">
        <v>2164</v>
      </c>
      <c r="D3096" s="22">
        <v>315000</v>
      </c>
      <c r="E3096" s="7">
        <v>15</v>
      </c>
      <c r="F3096" s="7">
        <v>4</v>
      </c>
      <c r="G3096" s="7">
        <v>2</v>
      </c>
      <c r="H3096" s="12">
        <v>2020</v>
      </c>
      <c r="I3096" s="8">
        <f t="shared" si="96"/>
        <v>155.94059405940595</v>
      </c>
      <c r="J3096" s="3" t="str">
        <f t="shared" si="97"/>
        <v>Low</v>
      </c>
    </row>
    <row r="3097" spans="1:10">
      <c r="A3097" s="4" t="s">
        <v>3184</v>
      </c>
      <c r="B3097" s="16" t="s">
        <v>2168</v>
      </c>
      <c r="C3097" s="17" t="s">
        <v>2164</v>
      </c>
      <c r="D3097" s="21">
        <v>315000</v>
      </c>
      <c r="E3097" s="4">
        <v>6</v>
      </c>
      <c r="F3097" s="4">
        <v>4</v>
      </c>
      <c r="G3097" s="4">
        <v>3.1</v>
      </c>
      <c r="H3097" s="10">
        <v>2151</v>
      </c>
      <c r="I3097" s="5">
        <f t="shared" si="96"/>
        <v>146.44351464435147</v>
      </c>
      <c r="J3097" s="3" t="str">
        <f t="shared" si="97"/>
        <v>Low</v>
      </c>
    </row>
    <row r="3098" spans="1:10">
      <c r="A3098" s="7" t="s">
        <v>3185</v>
      </c>
      <c r="B3098" s="18" t="s">
        <v>2168</v>
      </c>
      <c r="C3098" s="19" t="s">
        <v>2164</v>
      </c>
      <c r="D3098" s="22">
        <v>315000</v>
      </c>
      <c r="E3098" s="7">
        <v>25</v>
      </c>
      <c r="F3098" s="7">
        <v>3</v>
      </c>
      <c r="G3098" s="7">
        <v>2.1</v>
      </c>
      <c r="H3098" s="12">
        <v>1651</v>
      </c>
      <c r="I3098" s="8">
        <f t="shared" si="96"/>
        <v>190.79345850999394</v>
      </c>
      <c r="J3098" s="3" t="str">
        <f t="shared" si="97"/>
        <v>Low</v>
      </c>
    </row>
    <row r="3099" spans="1:10">
      <c r="A3099" s="4" t="s">
        <v>3186</v>
      </c>
      <c r="B3099" s="16" t="s">
        <v>2168</v>
      </c>
      <c r="C3099" s="17" t="s">
        <v>2164</v>
      </c>
      <c r="D3099" s="21">
        <v>315000</v>
      </c>
      <c r="E3099" s="4">
        <v>30</v>
      </c>
      <c r="F3099" s="4">
        <v>5</v>
      </c>
      <c r="G3099" s="4">
        <v>3</v>
      </c>
      <c r="H3099" s="10">
        <v>1640</v>
      </c>
      <c r="I3099" s="5">
        <f t="shared" si="96"/>
        <v>192.07317073170731</v>
      </c>
      <c r="J3099" s="3" t="str">
        <f t="shared" si="97"/>
        <v>Low</v>
      </c>
    </row>
    <row r="3100" spans="1:10">
      <c r="A3100" s="7" t="s">
        <v>3187</v>
      </c>
      <c r="B3100" s="18" t="s">
        <v>2193</v>
      </c>
      <c r="C3100" s="19" t="s">
        <v>2164</v>
      </c>
      <c r="D3100" s="22">
        <v>315000</v>
      </c>
      <c r="E3100" s="7">
        <v>25</v>
      </c>
      <c r="F3100" s="7">
        <v>3</v>
      </c>
      <c r="G3100" s="7">
        <v>2</v>
      </c>
      <c r="H3100" s="12">
        <v>1602</v>
      </c>
      <c r="I3100" s="8">
        <f t="shared" si="96"/>
        <v>196.62921348314606</v>
      </c>
      <c r="J3100" s="3" t="str">
        <f t="shared" si="97"/>
        <v>Low</v>
      </c>
    </row>
    <row r="3101" spans="1:10">
      <c r="A3101" s="4" t="s">
        <v>3188</v>
      </c>
      <c r="B3101" s="16" t="s">
        <v>2193</v>
      </c>
      <c r="C3101" s="17" t="s">
        <v>2164</v>
      </c>
      <c r="D3101" s="21">
        <v>315000</v>
      </c>
      <c r="E3101" s="4">
        <v>85</v>
      </c>
      <c r="F3101" s="4">
        <v>3</v>
      </c>
      <c r="G3101" s="4">
        <v>1.2</v>
      </c>
      <c r="H3101" s="10">
        <v>1518</v>
      </c>
      <c r="I3101" s="5">
        <f t="shared" si="96"/>
        <v>207.50988142292491</v>
      </c>
      <c r="J3101" s="3" t="str">
        <f t="shared" si="97"/>
        <v>Medium</v>
      </c>
    </row>
    <row r="3102" spans="1:10">
      <c r="A3102" s="7" t="s">
        <v>3189</v>
      </c>
      <c r="B3102" s="18" t="s">
        <v>2181</v>
      </c>
      <c r="C3102" s="19" t="s">
        <v>2164</v>
      </c>
      <c r="D3102" s="22">
        <v>315000</v>
      </c>
      <c r="E3102" s="7">
        <v>179</v>
      </c>
      <c r="F3102" s="7">
        <v>6</v>
      </c>
      <c r="G3102" s="7">
        <v>4.0999999999999996</v>
      </c>
      <c r="H3102" s="12">
        <v>2264</v>
      </c>
      <c r="I3102" s="8">
        <f t="shared" si="96"/>
        <v>139.13427561837455</v>
      </c>
      <c r="J3102" s="3" t="str">
        <f t="shared" si="97"/>
        <v>Low</v>
      </c>
    </row>
    <row r="3103" spans="1:10">
      <c r="A3103" s="4" t="s">
        <v>3190</v>
      </c>
      <c r="B3103" s="16" t="s">
        <v>2193</v>
      </c>
      <c r="C3103" s="17" t="s">
        <v>2164</v>
      </c>
      <c r="D3103" s="21">
        <v>318000</v>
      </c>
      <c r="E3103" s="4">
        <v>48</v>
      </c>
      <c r="F3103" s="4">
        <v>3</v>
      </c>
      <c r="G3103" s="4">
        <v>1.1000000000000001</v>
      </c>
      <c r="H3103" s="10">
        <v>1634</v>
      </c>
      <c r="I3103" s="5">
        <f t="shared" si="96"/>
        <v>194.61444308445533</v>
      </c>
      <c r="J3103" s="3" t="str">
        <f t="shared" si="97"/>
        <v>Low</v>
      </c>
    </row>
    <row r="3104" spans="1:10">
      <c r="A3104" s="7" t="s">
        <v>3191</v>
      </c>
      <c r="B3104" s="18" t="s">
        <v>2252</v>
      </c>
      <c r="C3104" s="19" t="s">
        <v>2164</v>
      </c>
      <c r="D3104" s="22">
        <v>318500</v>
      </c>
      <c r="E3104" s="7">
        <v>4</v>
      </c>
      <c r="F3104" s="7">
        <v>3</v>
      </c>
      <c r="G3104" s="7">
        <v>2.1</v>
      </c>
      <c r="H3104" s="12">
        <v>1420</v>
      </c>
      <c r="I3104" s="8">
        <f t="shared" si="96"/>
        <v>224.29577464788733</v>
      </c>
      <c r="J3104" s="3" t="str">
        <f t="shared" si="97"/>
        <v>Medium</v>
      </c>
    </row>
    <row r="3105" spans="1:10">
      <c r="A3105" s="4" t="s">
        <v>3192</v>
      </c>
      <c r="B3105" s="16" t="s">
        <v>2193</v>
      </c>
      <c r="C3105" s="17" t="s">
        <v>2164</v>
      </c>
      <c r="D3105" s="21">
        <v>320000</v>
      </c>
      <c r="E3105" s="4">
        <v>57</v>
      </c>
      <c r="F3105" s="4">
        <v>4</v>
      </c>
      <c r="G3105" s="4">
        <v>2.1</v>
      </c>
      <c r="H3105" s="10">
        <v>1449</v>
      </c>
      <c r="I3105" s="5">
        <f t="shared" si="96"/>
        <v>220.84195997239476</v>
      </c>
      <c r="J3105" s="3" t="str">
        <f t="shared" si="97"/>
        <v>Medium</v>
      </c>
    </row>
    <row r="3106" spans="1:10">
      <c r="A3106" s="7" t="s">
        <v>3193</v>
      </c>
      <c r="B3106" s="18" t="s">
        <v>2193</v>
      </c>
      <c r="C3106" s="19" t="s">
        <v>2164</v>
      </c>
      <c r="D3106" s="22">
        <v>320000</v>
      </c>
      <c r="E3106" s="7">
        <v>4</v>
      </c>
      <c r="F3106" s="7">
        <v>3</v>
      </c>
      <c r="G3106" s="7">
        <v>2.1</v>
      </c>
      <c r="H3106" s="12">
        <v>1587</v>
      </c>
      <c r="I3106" s="8">
        <f t="shared" si="96"/>
        <v>201.63831127914304</v>
      </c>
      <c r="J3106" s="3" t="str">
        <f t="shared" si="97"/>
        <v>Medium</v>
      </c>
    </row>
    <row r="3107" spans="1:10">
      <c r="A3107" s="4" t="s">
        <v>3194</v>
      </c>
      <c r="B3107" s="16" t="s">
        <v>2252</v>
      </c>
      <c r="C3107" s="17" t="s">
        <v>2164</v>
      </c>
      <c r="D3107" s="21">
        <v>320000</v>
      </c>
      <c r="E3107" s="4">
        <v>7</v>
      </c>
      <c r="F3107" s="4">
        <v>4</v>
      </c>
      <c r="G3107" s="4">
        <v>2.1</v>
      </c>
      <c r="H3107" s="10">
        <v>2256</v>
      </c>
      <c r="I3107" s="5">
        <f t="shared" si="96"/>
        <v>141.84397163120568</v>
      </c>
      <c r="J3107" s="3" t="str">
        <f t="shared" si="97"/>
        <v>Low</v>
      </c>
    </row>
    <row r="3108" spans="1:10">
      <c r="A3108" s="7" t="s">
        <v>3195</v>
      </c>
      <c r="B3108" s="18" t="s">
        <v>2193</v>
      </c>
      <c r="C3108" s="19" t="s">
        <v>2164</v>
      </c>
      <c r="D3108" s="22">
        <v>320000</v>
      </c>
      <c r="E3108" s="7">
        <v>17</v>
      </c>
      <c r="F3108" s="7">
        <v>4</v>
      </c>
      <c r="G3108" s="7">
        <v>2</v>
      </c>
      <c r="H3108" s="12">
        <v>1674</v>
      </c>
      <c r="I3108" s="8">
        <f t="shared" si="96"/>
        <v>191.15890083632019</v>
      </c>
      <c r="J3108" s="3" t="str">
        <f t="shared" si="97"/>
        <v>Low</v>
      </c>
    </row>
    <row r="3109" spans="1:10">
      <c r="A3109" s="4" t="s">
        <v>3196</v>
      </c>
      <c r="B3109" s="16" t="s">
        <v>2193</v>
      </c>
      <c r="C3109" s="17" t="s">
        <v>2164</v>
      </c>
      <c r="D3109" s="21">
        <v>320000</v>
      </c>
      <c r="E3109" s="4">
        <v>8</v>
      </c>
      <c r="F3109" s="4">
        <v>4</v>
      </c>
      <c r="G3109" s="4">
        <v>1.1000000000000001</v>
      </c>
      <c r="H3109" s="10">
        <v>1522</v>
      </c>
      <c r="I3109" s="5">
        <f t="shared" si="96"/>
        <v>210.2496714848883</v>
      </c>
      <c r="J3109" s="3" t="str">
        <f t="shared" si="97"/>
        <v>Medium</v>
      </c>
    </row>
    <row r="3110" spans="1:10">
      <c r="A3110" s="7" t="s">
        <v>3197</v>
      </c>
      <c r="B3110" s="18" t="s">
        <v>2193</v>
      </c>
      <c r="C3110" s="19" t="s">
        <v>2164</v>
      </c>
      <c r="D3110" s="22">
        <v>320000</v>
      </c>
      <c r="E3110" s="7">
        <v>13</v>
      </c>
      <c r="F3110" s="7">
        <v>4</v>
      </c>
      <c r="G3110" s="7">
        <v>2</v>
      </c>
      <c r="H3110" s="12">
        <v>1821</v>
      </c>
      <c r="I3110" s="8">
        <f t="shared" si="96"/>
        <v>175.72762218561229</v>
      </c>
      <c r="J3110" s="3" t="str">
        <f t="shared" si="97"/>
        <v>Low</v>
      </c>
    </row>
    <row r="3111" spans="1:10">
      <c r="A3111" s="4" t="s">
        <v>3198</v>
      </c>
      <c r="B3111" s="16" t="s">
        <v>2168</v>
      </c>
      <c r="C3111" s="17" t="s">
        <v>2164</v>
      </c>
      <c r="D3111" s="21">
        <v>320000</v>
      </c>
      <c r="E3111" s="4">
        <v>2</v>
      </c>
      <c r="F3111" s="4">
        <v>4</v>
      </c>
      <c r="G3111" s="4">
        <v>2.1</v>
      </c>
      <c r="H3111" s="10">
        <v>1988</v>
      </c>
      <c r="I3111" s="5">
        <f t="shared" si="96"/>
        <v>160.96579476861166</v>
      </c>
      <c r="J3111" s="3" t="str">
        <f t="shared" si="97"/>
        <v>Low</v>
      </c>
    </row>
    <row r="3112" spans="1:10">
      <c r="A3112" s="7" t="s">
        <v>3192</v>
      </c>
      <c r="B3112" s="18" t="s">
        <v>2193</v>
      </c>
      <c r="C3112" s="19" t="s">
        <v>2164</v>
      </c>
      <c r="D3112" s="22">
        <v>320000</v>
      </c>
      <c r="E3112" s="7">
        <v>4</v>
      </c>
      <c r="F3112" s="7">
        <v>3</v>
      </c>
      <c r="G3112" s="7">
        <v>2.1</v>
      </c>
      <c r="H3112" s="12">
        <v>1449</v>
      </c>
      <c r="I3112" s="8">
        <f t="shared" si="96"/>
        <v>220.84195997239476</v>
      </c>
      <c r="J3112" s="3" t="str">
        <f t="shared" si="97"/>
        <v>Medium</v>
      </c>
    </row>
    <row r="3113" spans="1:10">
      <c r="A3113" s="4" t="s">
        <v>3199</v>
      </c>
      <c r="B3113" s="16" t="s">
        <v>2193</v>
      </c>
      <c r="C3113" s="17" t="s">
        <v>2164</v>
      </c>
      <c r="D3113" s="21">
        <v>320000</v>
      </c>
      <c r="E3113" s="4">
        <v>9</v>
      </c>
      <c r="F3113" s="4">
        <v>3</v>
      </c>
      <c r="G3113" s="4">
        <v>3</v>
      </c>
      <c r="H3113" s="10">
        <v>1812</v>
      </c>
      <c r="I3113" s="5">
        <f t="shared" si="96"/>
        <v>176.60044150110375</v>
      </c>
      <c r="J3113" s="3" t="str">
        <f t="shared" si="97"/>
        <v>Low</v>
      </c>
    </row>
    <row r="3114" spans="1:10">
      <c r="A3114" s="7" t="s">
        <v>3200</v>
      </c>
      <c r="B3114" s="18" t="s">
        <v>2163</v>
      </c>
      <c r="C3114" s="19" t="s">
        <v>2164</v>
      </c>
      <c r="D3114" s="22">
        <v>320000</v>
      </c>
      <c r="E3114" s="7">
        <v>6</v>
      </c>
      <c r="F3114" s="7">
        <v>3</v>
      </c>
      <c r="G3114" s="7">
        <v>2</v>
      </c>
      <c r="H3114" s="12">
        <v>1821</v>
      </c>
      <c r="I3114" s="8">
        <f t="shared" si="96"/>
        <v>175.72762218561229</v>
      </c>
      <c r="J3114" s="3" t="str">
        <f t="shared" si="97"/>
        <v>Low</v>
      </c>
    </row>
    <row r="3115" spans="1:10">
      <c r="A3115" s="4" t="s">
        <v>3201</v>
      </c>
      <c r="B3115" s="16" t="s">
        <v>2938</v>
      </c>
      <c r="C3115" s="17" t="s">
        <v>2164</v>
      </c>
      <c r="D3115" s="21">
        <v>320000</v>
      </c>
      <c r="E3115" s="4">
        <v>75</v>
      </c>
      <c r="F3115" s="4">
        <v>3</v>
      </c>
      <c r="G3115" s="4">
        <v>2.1</v>
      </c>
      <c r="H3115" s="10">
        <v>2092</v>
      </c>
      <c r="I3115" s="5">
        <f t="shared" si="96"/>
        <v>152.96367112810708</v>
      </c>
      <c r="J3115" s="3" t="str">
        <f t="shared" si="97"/>
        <v>Low</v>
      </c>
    </row>
    <row r="3116" spans="1:10">
      <c r="A3116" s="7" t="s">
        <v>3202</v>
      </c>
      <c r="B3116" s="18" t="s">
        <v>2210</v>
      </c>
      <c r="C3116" s="19" t="s">
        <v>2164</v>
      </c>
      <c r="D3116" s="22">
        <v>320000</v>
      </c>
      <c r="E3116" s="7">
        <v>86</v>
      </c>
      <c r="F3116" s="7">
        <v>5</v>
      </c>
      <c r="G3116" s="7">
        <v>3</v>
      </c>
      <c r="H3116" s="12">
        <v>3061</v>
      </c>
      <c r="I3116" s="8">
        <f t="shared" si="96"/>
        <v>104.54099967330937</v>
      </c>
      <c r="J3116" s="3" t="str">
        <f t="shared" si="97"/>
        <v>Low</v>
      </c>
    </row>
    <row r="3117" spans="1:10">
      <c r="A3117" s="4" t="s">
        <v>3203</v>
      </c>
      <c r="B3117" s="16" t="s">
        <v>3037</v>
      </c>
      <c r="C3117" s="17" t="s">
        <v>2164</v>
      </c>
      <c r="D3117" s="21">
        <v>320000</v>
      </c>
      <c r="E3117" s="4">
        <v>87</v>
      </c>
      <c r="F3117" s="4">
        <v>4</v>
      </c>
      <c r="G3117" s="4">
        <v>2</v>
      </c>
      <c r="H3117" s="10">
        <v>2163</v>
      </c>
      <c r="I3117" s="5">
        <f t="shared" si="96"/>
        <v>147.94267221451688</v>
      </c>
      <c r="J3117" s="3" t="str">
        <f t="shared" si="97"/>
        <v>Low</v>
      </c>
    </row>
    <row r="3118" spans="1:10">
      <c r="A3118" s="7" t="s">
        <v>3204</v>
      </c>
      <c r="B3118" s="18" t="s">
        <v>2163</v>
      </c>
      <c r="C3118" s="19" t="s">
        <v>2164</v>
      </c>
      <c r="D3118" s="22">
        <v>320000</v>
      </c>
      <c r="E3118" s="7">
        <v>159</v>
      </c>
      <c r="F3118" s="7">
        <v>3</v>
      </c>
      <c r="G3118" s="7">
        <v>2.1</v>
      </c>
      <c r="H3118" s="12">
        <v>1354</v>
      </c>
      <c r="I3118" s="8">
        <f t="shared" si="96"/>
        <v>236.3367799113737</v>
      </c>
      <c r="J3118" s="3" t="str">
        <f t="shared" si="97"/>
        <v>Medium</v>
      </c>
    </row>
    <row r="3119" spans="1:10">
      <c r="A3119" s="4" t="s">
        <v>3205</v>
      </c>
      <c r="B3119" s="16" t="s">
        <v>2316</v>
      </c>
      <c r="C3119" s="17" t="s">
        <v>2164</v>
      </c>
      <c r="D3119" s="21">
        <v>321000</v>
      </c>
      <c r="E3119" s="4">
        <v>4</v>
      </c>
      <c r="F3119" s="4">
        <v>3</v>
      </c>
      <c r="G3119" s="4">
        <v>1.1000000000000001</v>
      </c>
      <c r="H3119" s="10">
        <v>1654</v>
      </c>
      <c r="I3119" s="5">
        <f t="shared" si="96"/>
        <v>194.07496977025394</v>
      </c>
      <c r="J3119" s="3" t="str">
        <f t="shared" si="97"/>
        <v>Low</v>
      </c>
    </row>
    <row r="3120" spans="1:10">
      <c r="A3120" s="7" t="s">
        <v>3206</v>
      </c>
      <c r="B3120" s="18" t="s">
        <v>2193</v>
      </c>
      <c r="C3120" s="19" t="s">
        <v>2164</v>
      </c>
      <c r="D3120" s="22">
        <v>323000</v>
      </c>
      <c r="E3120" s="7">
        <v>3</v>
      </c>
      <c r="F3120" s="7">
        <v>3</v>
      </c>
      <c r="G3120" s="7">
        <v>2</v>
      </c>
      <c r="H3120" s="12">
        <v>1470</v>
      </c>
      <c r="I3120" s="8">
        <f t="shared" si="96"/>
        <v>219.72789115646259</v>
      </c>
      <c r="J3120" s="3" t="str">
        <f t="shared" si="97"/>
        <v>Medium</v>
      </c>
    </row>
    <row r="3121" spans="1:10">
      <c r="A3121" s="4" t="s">
        <v>3207</v>
      </c>
      <c r="B3121" s="16" t="s">
        <v>2316</v>
      </c>
      <c r="C3121" s="17" t="s">
        <v>2164</v>
      </c>
      <c r="D3121" s="21">
        <v>324000</v>
      </c>
      <c r="E3121" s="4">
        <v>21</v>
      </c>
      <c r="F3121" s="4">
        <v>3</v>
      </c>
      <c r="G3121" s="4">
        <v>2</v>
      </c>
      <c r="H3121" s="10">
        <v>1661</v>
      </c>
      <c r="I3121" s="5">
        <f t="shared" si="96"/>
        <v>195.06321493076459</v>
      </c>
      <c r="J3121" s="3" t="str">
        <f t="shared" si="97"/>
        <v>Low</v>
      </c>
    </row>
    <row r="3122" spans="1:10">
      <c r="A3122" s="7" t="s">
        <v>3208</v>
      </c>
      <c r="B3122" s="18" t="s">
        <v>2395</v>
      </c>
      <c r="C3122" s="19" t="s">
        <v>2164</v>
      </c>
      <c r="D3122" s="22">
        <v>324795</v>
      </c>
      <c r="E3122" s="7">
        <v>413</v>
      </c>
      <c r="F3122" s="7">
        <v>3</v>
      </c>
      <c r="G3122" s="7">
        <v>2</v>
      </c>
      <c r="H3122" s="12">
        <v>1595</v>
      </c>
      <c r="I3122" s="8">
        <f t="shared" si="96"/>
        <v>203.63322884012538</v>
      </c>
      <c r="J3122" s="3" t="str">
        <f t="shared" si="97"/>
        <v>Medium</v>
      </c>
    </row>
    <row r="3123" spans="1:10">
      <c r="A3123" s="4" t="s">
        <v>3209</v>
      </c>
      <c r="B3123" s="16" t="s">
        <v>2163</v>
      </c>
      <c r="C3123" s="17" t="s">
        <v>2164</v>
      </c>
      <c r="D3123" s="21">
        <v>325000</v>
      </c>
      <c r="E3123" s="4">
        <v>7</v>
      </c>
      <c r="F3123" s="4">
        <v>3</v>
      </c>
      <c r="G3123" s="4">
        <v>1.1000000000000001</v>
      </c>
      <c r="H3123" s="10">
        <v>1228</v>
      </c>
      <c r="I3123" s="5">
        <f t="shared" si="96"/>
        <v>264.65798045602605</v>
      </c>
      <c r="J3123" s="3" t="str">
        <f t="shared" si="97"/>
        <v>Medium</v>
      </c>
    </row>
    <row r="3124" spans="1:10">
      <c r="A3124" s="7" t="s">
        <v>3210</v>
      </c>
      <c r="B3124" s="18" t="s">
        <v>2316</v>
      </c>
      <c r="C3124" s="19" t="s">
        <v>2164</v>
      </c>
      <c r="D3124" s="22">
        <v>325000</v>
      </c>
      <c r="E3124" s="7">
        <v>5</v>
      </c>
      <c r="F3124" s="7">
        <v>3</v>
      </c>
      <c r="G3124" s="7">
        <v>1.1000000000000001</v>
      </c>
      <c r="H3124" s="12">
        <v>1770</v>
      </c>
      <c r="I3124" s="8">
        <f t="shared" si="96"/>
        <v>183.61581920903956</v>
      </c>
      <c r="J3124" s="3" t="str">
        <f t="shared" si="97"/>
        <v>Low</v>
      </c>
    </row>
    <row r="3125" spans="1:10">
      <c r="A3125" s="4" t="s">
        <v>3211</v>
      </c>
      <c r="B3125" s="16" t="s">
        <v>2316</v>
      </c>
      <c r="C3125" s="17" t="s">
        <v>2164</v>
      </c>
      <c r="D3125" s="21">
        <v>325000</v>
      </c>
      <c r="E3125" s="4">
        <v>4</v>
      </c>
      <c r="F3125" s="4">
        <v>3</v>
      </c>
      <c r="G3125" s="4">
        <v>1.1000000000000001</v>
      </c>
      <c r="H3125" s="10">
        <v>1600</v>
      </c>
      <c r="I3125" s="5">
        <f t="shared" si="96"/>
        <v>203.125</v>
      </c>
      <c r="J3125" s="3" t="str">
        <f t="shared" si="97"/>
        <v>Medium</v>
      </c>
    </row>
    <row r="3126" spans="1:10">
      <c r="A3126" s="7" t="s">
        <v>3212</v>
      </c>
      <c r="B3126" s="18" t="s">
        <v>2193</v>
      </c>
      <c r="C3126" s="19" t="s">
        <v>2164</v>
      </c>
      <c r="D3126" s="22">
        <v>325000</v>
      </c>
      <c r="E3126" s="7">
        <v>6</v>
      </c>
      <c r="F3126" s="7">
        <v>3</v>
      </c>
      <c r="G3126" s="7">
        <v>1.1000000000000001</v>
      </c>
      <c r="H3126" s="12">
        <v>1391</v>
      </c>
      <c r="I3126" s="8">
        <f t="shared" si="96"/>
        <v>233.64485981308411</v>
      </c>
      <c r="J3126" s="3" t="str">
        <f t="shared" si="97"/>
        <v>Medium</v>
      </c>
    </row>
    <row r="3127" spans="1:10">
      <c r="A3127" s="4" t="s">
        <v>3213</v>
      </c>
      <c r="B3127" s="16" t="s">
        <v>2316</v>
      </c>
      <c r="C3127" s="17" t="s">
        <v>2164</v>
      </c>
      <c r="D3127" s="21">
        <v>325000</v>
      </c>
      <c r="E3127" s="4">
        <v>5</v>
      </c>
      <c r="F3127" s="4">
        <v>3</v>
      </c>
      <c r="G3127" s="4">
        <v>1.1000000000000001</v>
      </c>
      <c r="H3127" s="10">
        <v>1209</v>
      </c>
      <c r="I3127" s="5">
        <f t="shared" si="96"/>
        <v>268.81720430107526</v>
      </c>
      <c r="J3127" s="3" t="str">
        <f t="shared" si="97"/>
        <v>Medium</v>
      </c>
    </row>
    <row r="3128" spans="1:10">
      <c r="A3128" s="7" t="s">
        <v>3214</v>
      </c>
      <c r="B3128" s="18" t="s">
        <v>2523</v>
      </c>
      <c r="C3128" s="19" t="s">
        <v>2164</v>
      </c>
      <c r="D3128" s="22">
        <v>325000</v>
      </c>
      <c r="E3128" s="7">
        <v>27</v>
      </c>
      <c r="F3128" s="7">
        <v>3</v>
      </c>
      <c r="G3128" s="7">
        <v>2</v>
      </c>
      <c r="H3128" s="12">
        <v>1622</v>
      </c>
      <c r="I3128" s="8">
        <f t="shared" si="96"/>
        <v>200.3699136868064</v>
      </c>
      <c r="J3128" s="3" t="str">
        <f t="shared" si="97"/>
        <v>Medium</v>
      </c>
    </row>
    <row r="3129" spans="1:10">
      <c r="A3129" s="4" t="s">
        <v>3215</v>
      </c>
      <c r="B3129" s="16" t="s">
        <v>2163</v>
      </c>
      <c r="C3129" s="17" t="s">
        <v>2164</v>
      </c>
      <c r="D3129" s="21">
        <v>325000</v>
      </c>
      <c r="E3129" s="4">
        <v>11</v>
      </c>
      <c r="F3129" s="4">
        <v>3</v>
      </c>
      <c r="G3129" s="4">
        <v>2</v>
      </c>
      <c r="H3129" s="10">
        <v>1400</v>
      </c>
      <c r="I3129" s="5">
        <f t="shared" si="96"/>
        <v>232.14285714285714</v>
      </c>
      <c r="J3129" s="3" t="str">
        <f t="shared" si="97"/>
        <v>Medium</v>
      </c>
    </row>
    <row r="3130" spans="1:10">
      <c r="A3130" s="7" t="s">
        <v>3216</v>
      </c>
      <c r="B3130" s="18" t="s">
        <v>2523</v>
      </c>
      <c r="C3130" s="19" t="s">
        <v>2164</v>
      </c>
      <c r="D3130" s="22">
        <v>325000</v>
      </c>
      <c r="E3130" s="7">
        <v>29</v>
      </c>
      <c r="F3130" s="7">
        <v>3</v>
      </c>
      <c r="G3130" s="7">
        <v>2</v>
      </c>
      <c r="H3130" s="12">
        <v>1656</v>
      </c>
      <c r="I3130" s="8">
        <f t="shared" si="96"/>
        <v>196.25603864734299</v>
      </c>
      <c r="J3130" s="3" t="str">
        <f t="shared" si="97"/>
        <v>Low</v>
      </c>
    </row>
    <row r="3131" spans="1:10">
      <c r="A3131" s="4" t="s">
        <v>3217</v>
      </c>
      <c r="B3131" s="16" t="s">
        <v>2252</v>
      </c>
      <c r="C3131" s="17" t="s">
        <v>2164</v>
      </c>
      <c r="D3131" s="21">
        <v>325000</v>
      </c>
      <c r="E3131" s="4">
        <v>24</v>
      </c>
      <c r="F3131" s="4">
        <v>3</v>
      </c>
      <c r="G3131" s="4">
        <v>2.1</v>
      </c>
      <c r="H3131" s="10">
        <v>1838</v>
      </c>
      <c r="I3131" s="5">
        <f t="shared" si="96"/>
        <v>176.82263329706203</v>
      </c>
      <c r="J3131" s="3" t="str">
        <f t="shared" si="97"/>
        <v>Low</v>
      </c>
    </row>
    <row r="3132" spans="1:10">
      <c r="A3132" s="7" t="s">
        <v>3218</v>
      </c>
      <c r="B3132" s="18" t="s">
        <v>2193</v>
      </c>
      <c r="C3132" s="19" t="s">
        <v>2164</v>
      </c>
      <c r="D3132" s="22">
        <v>325000</v>
      </c>
      <c r="E3132" s="7">
        <v>88</v>
      </c>
      <c r="F3132" s="7">
        <v>4</v>
      </c>
      <c r="G3132" s="7">
        <v>2.1</v>
      </c>
      <c r="H3132" s="12">
        <v>2186</v>
      </c>
      <c r="I3132" s="8">
        <f t="shared" si="96"/>
        <v>148.67337602927722</v>
      </c>
      <c r="J3132" s="3" t="str">
        <f t="shared" si="97"/>
        <v>Low</v>
      </c>
    </row>
    <row r="3133" spans="1:10">
      <c r="A3133" s="4" t="s">
        <v>3219</v>
      </c>
      <c r="B3133" s="16" t="s">
        <v>2181</v>
      </c>
      <c r="C3133" s="17" t="s">
        <v>2164</v>
      </c>
      <c r="D3133" s="21">
        <v>326000</v>
      </c>
      <c r="E3133" s="4">
        <v>16</v>
      </c>
      <c r="F3133" s="4">
        <v>3</v>
      </c>
      <c r="G3133" s="4">
        <v>3</v>
      </c>
      <c r="H3133" s="10">
        <v>1621</v>
      </c>
      <c r="I3133" s="5">
        <f t="shared" si="96"/>
        <v>201.11042566317087</v>
      </c>
      <c r="J3133" s="3" t="str">
        <f t="shared" si="97"/>
        <v>Medium</v>
      </c>
    </row>
    <row r="3134" spans="1:10">
      <c r="A3134" s="7" t="s">
        <v>3220</v>
      </c>
      <c r="B3134" s="18" t="s">
        <v>2168</v>
      </c>
      <c r="C3134" s="19" t="s">
        <v>2164</v>
      </c>
      <c r="D3134" s="22">
        <v>327000</v>
      </c>
      <c r="E3134" s="7">
        <v>3</v>
      </c>
      <c r="F3134" s="7">
        <v>4</v>
      </c>
      <c r="G3134" s="7">
        <v>3.1</v>
      </c>
      <c r="H3134" s="12">
        <v>2034</v>
      </c>
      <c r="I3134" s="8">
        <f t="shared" si="96"/>
        <v>160.7669616519174</v>
      </c>
      <c r="J3134" s="3" t="str">
        <f t="shared" si="97"/>
        <v>Low</v>
      </c>
    </row>
    <row r="3135" spans="1:10">
      <c r="A3135" s="4" t="s">
        <v>3221</v>
      </c>
      <c r="B3135" s="16" t="s">
        <v>2193</v>
      </c>
      <c r="C3135" s="17" t="s">
        <v>2164</v>
      </c>
      <c r="D3135" s="21">
        <v>327000</v>
      </c>
      <c r="E3135" s="4">
        <v>75</v>
      </c>
      <c r="F3135" s="4">
        <v>3</v>
      </c>
      <c r="G3135" s="4">
        <v>2</v>
      </c>
      <c r="H3135" s="10">
        <v>1682</v>
      </c>
      <c r="I3135" s="5">
        <f t="shared" si="96"/>
        <v>194.4114149821641</v>
      </c>
      <c r="J3135" s="3" t="str">
        <f t="shared" si="97"/>
        <v>Low</v>
      </c>
    </row>
    <row r="3136" spans="1:10">
      <c r="A3136" s="7" t="s">
        <v>3222</v>
      </c>
      <c r="B3136" s="18" t="s">
        <v>2163</v>
      </c>
      <c r="C3136" s="19" t="s">
        <v>2164</v>
      </c>
      <c r="D3136" s="22">
        <v>329000</v>
      </c>
      <c r="E3136" s="7">
        <v>15</v>
      </c>
      <c r="F3136" s="7">
        <v>4</v>
      </c>
      <c r="G3136" s="7">
        <v>1.1000000000000001</v>
      </c>
      <c r="H3136" s="12">
        <v>1500</v>
      </c>
      <c r="I3136" s="8">
        <f t="shared" si="96"/>
        <v>219.33333333333334</v>
      </c>
      <c r="J3136" s="3" t="str">
        <f t="shared" si="97"/>
        <v>Medium</v>
      </c>
    </row>
    <row r="3137" spans="1:10">
      <c r="A3137" s="4" t="s">
        <v>3223</v>
      </c>
      <c r="B3137" s="16" t="s">
        <v>2181</v>
      </c>
      <c r="C3137" s="17" t="s">
        <v>2164</v>
      </c>
      <c r="D3137" s="21">
        <v>330000</v>
      </c>
      <c r="E3137" s="4">
        <v>14</v>
      </c>
      <c r="F3137" s="4">
        <v>3</v>
      </c>
      <c r="G3137" s="4">
        <v>2.1</v>
      </c>
      <c r="H3137" s="10">
        <v>1631</v>
      </c>
      <c r="I3137" s="5">
        <f t="shared" si="96"/>
        <v>202.32985898221949</v>
      </c>
      <c r="J3137" s="3" t="str">
        <f t="shared" si="97"/>
        <v>Medium</v>
      </c>
    </row>
    <row r="3138" spans="1:10">
      <c r="A3138" s="7" t="s">
        <v>3224</v>
      </c>
      <c r="B3138" s="18" t="s">
        <v>2395</v>
      </c>
      <c r="C3138" s="19" t="s">
        <v>2164</v>
      </c>
      <c r="D3138" s="22">
        <v>330000</v>
      </c>
      <c r="E3138" s="7">
        <v>4</v>
      </c>
      <c r="F3138" s="7">
        <v>3</v>
      </c>
      <c r="G3138" s="7">
        <v>3.1</v>
      </c>
      <c r="H3138" s="12">
        <v>1935</v>
      </c>
      <c r="I3138" s="8">
        <f t="shared" ref="I3138:I3201" si="98">D3138/H3138</f>
        <v>170.54263565891472</v>
      </c>
      <c r="J3138" s="3" t="str">
        <f t="shared" ref="J3138:J3201" si="99">IF(I3138 &gt; 300, "High", IF(AND(I3138 &lt;= 300, I3138 &gt; 200), "Medium", "Low"))</f>
        <v>Low</v>
      </c>
    </row>
    <row r="3139" spans="1:10">
      <c r="A3139" s="4" t="s">
        <v>3225</v>
      </c>
      <c r="B3139" s="16" t="s">
        <v>2193</v>
      </c>
      <c r="C3139" s="17" t="s">
        <v>2164</v>
      </c>
      <c r="D3139" s="21">
        <v>330000</v>
      </c>
      <c r="E3139" s="4">
        <v>5</v>
      </c>
      <c r="F3139" s="4">
        <v>3</v>
      </c>
      <c r="G3139" s="4">
        <v>2.1</v>
      </c>
      <c r="H3139" s="10">
        <v>1345</v>
      </c>
      <c r="I3139" s="5">
        <f t="shared" si="98"/>
        <v>245.35315985130111</v>
      </c>
      <c r="J3139" s="3" t="str">
        <f t="shared" si="99"/>
        <v>Medium</v>
      </c>
    </row>
    <row r="3140" spans="1:10">
      <c r="A3140" s="7" t="s">
        <v>3226</v>
      </c>
      <c r="B3140" s="18" t="s">
        <v>2163</v>
      </c>
      <c r="C3140" s="19" t="s">
        <v>2164</v>
      </c>
      <c r="D3140" s="22">
        <v>330000</v>
      </c>
      <c r="E3140" s="7">
        <v>0</v>
      </c>
      <c r="F3140" s="7">
        <v>4</v>
      </c>
      <c r="G3140" s="7">
        <v>2.2000000000000002</v>
      </c>
      <c r="H3140" s="12">
        <v>2417</v>
      </c>
      <c r="I3140" s="8">
        <f t="shared" si="98"/>
        <v>136.53289201489449</v>
      </c>
      <c r="J3140" s="3" t="str">
        <f t="shared" si="99"/>
        <v>Low</v>
      </c>
    </row>
    <row r="3141" spans="1:10">
      <c r="A3141" s="4" t="s">
        <v>3227</v>
      </c>
      <c r="B3141" s="16" t="s">
        <v>2181</v>
      </c>
      <c r="C3141" s="17" t="s">
        <v>2164</v>
      </c>
      <c r="D3141" s="21">
        <v>330000</v>
      </c>
      <c r="E3141" s="4">
        <v>4</v>
      </c>
      <c r="F3141" s="4">
        <v>3</v>
      </c>
      <c r="G3141" s="4">
        <v>3.1</v>
      </c>
      <c r="H3141" s="10">
        <v>1868</v>
      </c>
      <c r="I3141" s="5">
        <f t="shared" si="98"/>
        <v>176.65952890792292</v>
      </c>
      <c r="J3141" s="3" t="str">
        <f t="shared" si="99"/>
        <v>Low</v>
      </c>
    </row>
    <row r="3142" spans="1:10">
      <c r="A3142" s="7" t="s">
        <v>3228</v>
      </c>
      <c r="B3142" s="18" t="s">
        <v>2938</v>
      </c>
      <c r="C3142" s="19" t="s">
        <v>2164</v>
      </c>
      <c r="D3142" s="22">
        <v>330000</v>
      </c>
      <c r="E3142" s="7">
        <v>59</v>
      </c>
      <c r="F3142" s="7">
        <v>3</v>
      </c>
      <c r="G3142" s="7">
        <v>2.1</v>
      </c>
      <c r="H3142" s="12">
        <v>1900</v>
      </c>
      <c r="I3142" s="8">
        <f t="shared" si="98"/>
        <v>173.68421052631578</v>
      </c>
      <c r="J3142" s="3" t="str">
        <f t="shared" si="99"/>
        <v>Low</v>
      </c>
    </row>
    <row r="3143" spans="1:10">
      <c r="A3143" s="4" t="s">
        <v>3229</v>
      </c>
      <c r="B3143" s="16" t="s">
        <v>2193</v>
      </c>
      <c r="C3143" s="17" t="s">
        <v>2164</v>
      </c>
      <c r="D3143" s="21">
        <v>330000</v>
      </c>
      <c r="E3143" s="4">
        <v>174</v>
      </c>
      <c r="F3143" s="4">
        <v>3</v>
      </c>
      <c r="G3143" s="4">
        <v>3</v>
      </c>
      <c r="H3143" s="10">
        <v>1380</v>
      </c>
      <c r="I3143" s="5">
        <f t="shared" si="98"/>
        <v>239.13043478260869</v>
      </c>
      <c r="J3143" s="3" t="str">
        <f t="shared" si="99"/>
        <v>Medium</v>
      </c>
    </row>
    <row r="3144" spans="1:10">
      <c r="A3144" s="7" t="s">
        <v>3230</v>
      </c>
      <c r="B3144" s="18" t="s">
        <v>2181</v>
      </c>
      <c r="C3144" s="19" t="s">
        <v>2164</v>
      </c>
      <c r="D3144" s="22">
        <v>331500</v>
      </c>
      <c r="E3144" s="7">
        <v>2</v>
      </c>
      <c r="F3144" s="7">
        <v>3</v>
      </c>
      <c r="G3144" s="7">
        <v>2</v>
      </c>
      <c r="H3144" s="12">
        <v>1762</v>
      </c>
      <c r="I3144" s="8">
        <f t="shared" si="98"/>
        <v>188.13847900113507</v>
      </c>
      <c r="J3144" s="3" t="str">
        <f t="shared" si="99"/>
        <v>Low</v>
      </c>
    </row>
    <row r="3145" spans="1:10">
      <c r="A3145" s="4" t="s">
        <v>3231</v>
      </c>
      <c r="B3145" s="16" t="s">
        <v>2193</v>
      </c>
      <c r="C3145" s="17" t="s">
        <v>2164</v>
      </c>
      <c r="D3145" s="21">
        <v>332000</v>
      </c>
      <c r="E3145" s="4">
        <v>3</v>
      </c>
      <c r="F3145" s="4">
        <v>4</v>
      </c>
      <c r="G3145" s="4">
        <v>1.1000000000000001</v>
      </c>
      <c r="H3145" s="10">
        <v>1566</v>
      </c>
      <c r="I3145" s="5">
        <f t="shared" si="98"/>
        <v>212.00510855683268</v>
      </c>
      <c r="J3145" s="3" t="str">
        <f t="shared" si="99"/>
        <v>Medium</v>
      </c>
    </row>
    <row r="3146" spans="1:10">
      <c r="A3146" s="7" t="s">
        <v>3232</v>
      </c>
      <c r="B3146" s="18" t="s">
        <v>2193</v>
      </c>
      <c r="C3146" s="19" t="s">
        <v>2164</v>
      </c>
      <c r="D3146" s="22">
        <v>332000</v>
      </c>
      <c r="E3146" s="7">
        <v>36</v>
      </c>
      <c r="F3146" s="7">
        <v>4</v>
      </c>
      <c r="G3146" s="7">
        <v>2</v>
      </c>
      <c r="H3146" s="12">
        <v>2122</v>
      </c>
      <c r="I3146" s="8">
        <f t="shared" si="98"/>
        <v>156.45617342130066</v>
      </c>
      <c r="J3146" s="3" t="str">
        <f t="shared" si="99"/>
        <v>Low</v>
      </c>
    </row>
    <row r="3147" spans="1:10">
      <c r="A3147" s="4" t="s">
        <v>3233</v>
      </c>
      <c r="B3147" s="16" t="s">
        <v>2193</v>
      </c>
      <c r="C3147" s="17" t="s">
        <v>2164</v>
      </c>
      <c r="D3147" s="21">
        <v>333000</v>
      </c>
      <c r="E3147" s="4">
        <v>6</v>
      </c>
      <c r="F3147" s="4">
        <v>4</v>
      </c>
      <c r="G3147" s="4">
        <v>1.1000000000000001</v>
      </c>
      <c r="H3147" s="10">
        <v>1656</v>
      </c>
      <c r="I3147" s="5">
        <f t="shared" si="98"/>
        <v>201.08695652173913</v>
      </c>
      <c r="J3147" s="3" t="str">
        <f t="shared" si="99"/>
        <v>Medium</v>
      </c>
    </row>
    <row r="3148" spans="1:10">
      <c r="A3148" s="7" t="s">
        <v>3234</v>
      </c>
      <c r="B3148" s="18" t="s">
        <v>2193</v>
      </c>
      <c r="C3148" s="19" t="s">
        <v>2164</v>
      </c>
      <c r="D3148" s="22">
        <v>333500</v>
      </c>
      <c r="E3148" s="7">
        <v>21</v>
      </c>
      <c r="F3148" s="7">
        <v>3</v>
      </c>
      <c r="G3148" s="7">
        <v>1.1000000000000001</v>
      </c>
      <c r="H3148" s="12">
        <v>1386</v>
      </c>
      <c r="I3148" s="8">
        <f t="shared" si="98"/>
        <v>240.62049062049061</v>
      </c>
      <c r="J3148" s="3" t="str">
        <f t="shared" si="99"/>
        <v>Medium</v>
      </c>
    </row>
    <row r="3149" spans="1:10">
      <c r="A3149" s="4" t="s">
        <v>3235</v>
      </c>
      <c r="B3149" s="16" t="s">
        <v>2193</v>
      </c>
      <c r="C3149" s="17" t="s">
        <v>2164</v>
      </c>
      <c r="D3149" s="21">
        <v>335000</v>
      </c>
      <c r="E3149" s="4">
        <v>6</v>
      </c>
      <c r="F3149" s="4">
        <v>4</v>
      </c>
      <c r="G3149" s="4">
        <v>3</v>
      </c>
      <c r="H3149" s="10">
        <v>2750</v>
      </c>
      <c r="I3149" s="5">
        <f t="shared" si="98"/>
        <v>121.81818181818181</v>
      </c>
      <c r="J3149" s="3" t="str">
        <f t="shared" si="99"/>
        <v>Low</v>
      </c>
    </row>
    <row r="3150" spans="1:10">
      <c r="A3150" s="7" t="s">
        <v>3236</v>
      </c>
      <c r="B3150" s="18" t="s">
        <v>2163</v>
      </c>
      <c r="C3150" s="19" t="s">
        <v>2164</v>
      </c>
      <c r="D3150" s="22">
        <v>335000</v>
      </c>
      <c r="E3150" s="7">
        <v>5</v>
      </c>
      <c r="F3150" s="7">
        <v>3</v>
      </c>
      <c r="G3150" s="7">
        <v>3</v>
      </c>
      <c r="H3150" s="12">
        <v>1700</v>
      </c>
      <c r="I3150" s="8">
        <f t="shared" si="98"/>
        <v>197.05882352941177</v>
      </c>
      <c r="J3150" s="3" t="str">
        <f t="shared" si="99"/>
        <v>Low</v>
      </c>
    </row>
    <row r="3151" spans="1:10">
      <c r="A3151" s="4" t="s">
        <v>3237</v>
      </c>
      <c r="B3151" s="16" t="s">
        <v>2163</v>
      </c>
      <c r="C3151" s="17" t="s">
        <v>2164</v>
      </c>
      <c r="D3151" s="21">
        <v>335000</v>
      </c>
      <c r="E3151" s="4">
        <v>4</v>
      </c>
      <c r="F3151" s="4">
        <v>3</v>
      </c>
      <c r="G3151" s="4">
        <v>1.1000000000000001</v>
      </c>
      <c r="H3151" s="10">
        <v>1545</v>
      </c>
      <c r="I3151" s="5">
        <f t="shared" si="98"/>
        <v>216.82847896440128</v>
      </c>
      <c r="J3151" s="3" t="str">
        <f t="shared" si="99"/>
        <v>Medium</v>
      </c>
    </row>
    <row r="3152" spans="1:10">
      <c r="A3152" s="7" t="s">
        <v>3238</v>
      </c>
      <c r="B3152" s="18" t="s">
        <v>2407</v>
      </c>
      <c r="C3152" s="19" t="s">
        <v>2164</v>
      </c>
      <c r="D3152" s="22">
        <v>335000</v>
      </c>
      <c r="E3152" s="7">
        <v>13</v>
      </c>
      <c r="F3152" s="7">
        <v>3</v>
      </c>
      <c r="G3152" s="7">
        <v>3</v>
      </c>
      <c r="H3152" s="12">
        <v>2100</v>
      </c>
      <c r="I3152" s="8">
        <f t="shared" si="98"/>
        <v>159.52380952380952</v>
      </c>
      <c r="J3152" s="3" t="str">
        <f t="shared" si="99"/>
        <v>Low</v>
      </c>
    </row>
    <row r="3153" spans="1:10">
      <c r="A3153" s="4" t="s">
        <v>3239</v>
      </c>
      <c r="B3153" s="16" t="s">
        <v>2193</v>
      </c>
      <c r="C3153" s="17" t="s">
        <v>2164</v>
      </c>
      <c r="D3153" s="21">
        <v>335000</v>
      </c>
      <c r="E3153" s="4">
        <v>8</v>
      </c>
      <c r="F3153" s="4">
        <v>3</v>
      </c>
      <c r="G3153" s="4">
        <v>1.1000000000000001</v>
      </c>
      <c r="H3153" s="10">
        <v>1520</v>
      </c>
      <c r="I3153" s="5">
        <f t="shared" si="98"/>
        <v>220.39473684210526</v>
      </c>
      <c r="J3153" s="3" t="str">
        <f t="shared" si="99"/>
        <v>Medium</v>
      </c>
    </row>
    <row r="3154" spans="1:10">
      <c r="A3154" s="7" t="s">
        <v>3240</v>
      </c>
      <c r="B3154" s="18" t="s">
        <v>2193</v>
      </c>
      <c r="C3154" s="19" t="s">
        <v>2164</v>
      </c>
      <c r="D3154" s="22">
        <v>336000</v>
      </c>
      <c r="E3154" s="7">
        <v>6</v>
      </c>
      <c r="F3154" s="7">
        <v>3</v>
      </c>
      <c r="G3154" s="7">
        <v>1.1000000000000001</v>
      </c>
      <c r="H3154" s="12">
        <v>1520</v>
      </c>
      <c r="I3154" s="8">
        <f t="shared" si="98"/>
        <v>221.05263157894737</v>
      </c>
      <c r="J3154" s="3" t="str">
        <f t="shared" si="99"/>
        <v>Medium</v>
      </c>
    </row>
    <row r="3155" spans="1:10">
      <c r="A3155" s="4" t="s">
        <v>3241</v>
      </c>
      <c r="B3155" s="16" t="s">
        <v>2163</v>
      </c>
      <c r="C3155" s="17" t="s">
        <v>2164</v>
      </c>
      <c r="D3155" s="21">
        <v>336000</v>
      </c>
      <c r="E3155" s="4">
        <v>157</v>
      </c>
      <c r="F3155" s="4">
        <v>3</v>
      </c>
      <c r="G3155" s="4">
        <v>3</v>
      </c>
      <c r="H3155" s="10">
        <v>1686</v>
      </c>
      <c r="I3155" s="5">
        <f t="shared" si="98"/>
        <v>199.28825622775801</v>
      </c>
      <c r="J3155" s="3" t="str">
        <f t="shared" si="99"/>
        <v>Low</v>
      </c>
    </row>
    <row r="3156" spans="1:10">
      <c r="A3156" s="7" t="s">
        <v>3242</v>
      </c>
      <c r="B3156" s="18" t="s">
        <v>2938</v>
      </c>
      <c r="C3156" s="19" t="s">
        <v>2164</v>
      </c>
      <c r="D3156" s="22">
        <v>339000</v>
      </c>
      <c r="E3156" s="7">
        <v>23</v>
      </c>
      <c r="F3156" s="7">
        <v>3</v>
      </c>
      <c r="G3156" s="7">
        <v>2.1</v>
      </c>
      <c r="H3156" s="12">
        <v>1637</v>
      </c>
      <c r="I3156" s="8">
        <f t="shared" si="98"/>
        <v>207.08613317043373</v>
      </c>
      <c r="J3156" s="3" t="str">
        <f t="shared" si="99"/>
        <v>Medium</v>
      </c>
    </row>
    <row r="3157" spans="1:10">
      <c r="A3157" s="4" t="s">
        <v>3243</v>
      </c>
      <c r="B3157" s="16" t="s">
        <v>2210</v>
      </c>
      <c r="C3157" s="17" t="s">
        <v>2164</v>
      </c>
      <c r="D3157" s="21">
        <v>339000</v>
      </c>
      <c r="E3157" s="4">
        <v>29</v>
      </c>
      <c r="F3157" s="4">
        <v>4</v>
      </c>
      <c r="G3157" s="4">
        <v>2.1</v>
      </c>
      <c r="H3157" s="10">
        <v>2456</v>
      </c>
      <c r="I3157" s="5">
        <f t="shared" si="98"/>
        <v>138.02931596091204</v>
      </c>
      <c r="J3157" s="3" t="str">
        <f t="shared" si="99"/>
        <v>Low</v>
      </c>
    </row>
    <row r="3158" spans="1:10">
      <c r="A3158" s="7" t="s">
        <v>3244</v>
      </c>
      <c r="B3158" s="18" t="s">
        <v>2938</v>
      </c>
      <c r="C3158" s="19" t="s">
        <v>2164</v>
      </c>
      <c r="D3158" s="22">
        <v>339000</v>
      </c>
      <c r="E3158" s="7">
        <v>47</v>
      </c>
      <c r="F3158" s="7">
        <v>3</v>
      </c>
      <c r="G3158" s="7">
        <v>2</v>
      </c>
      <c r="H3158" s="12">
        <v>1791</v>
      </c>
      <c r="I3158" s="8">
        <f t="shared" si="98"/>
        <v>189.27973199329983</v>
      </c>
      <c r="J3158" s="3" t="str">
        <f t="shared" si="99"/>
        <v>Low</v>
      </c>
    </row>
    <row r="3159" spans="1:10">
      <c r="A3159" s="4" t="s">
        <v>3245</v>
      </c>
      <c r="B3159" s="16" t="s">
        <v>2395</v>
      </c>
      <c r="C3159" s="17" t="s">
        <v>2164</v>
      </c>
      <c r="D3159" s="21">
        <v>339900</v>
      </c>
      <c r="E3159" s="4">
        <v>901</v>
      </c>
      <c r="F3159" s="4">
        <v>3</v>
      </c>
      <c r="G3159" s="4">
        <v>2.1</v>
      </c>
      <c r="H3159" s="10">
        <v>1973</v>
      </c>
      <c r="I3159" s="5">
        <f t="shared" si="98"/>
        <v>172.27572225038014</v>
      </c>
      <c r="J3159" s="3" t="str">
        <f t="shared" si="99"/>
        <v>Low</v>
      </c>
    </row>
    <row r="3160" spans="1:10">
      <c r="A3160" s="7" t="s">
        <v>3246</v>
      </c>
      <c r="B3160" s="18" t="s">
        <v>2193</v>
      </c>
      <c r="C3160" s="19" t="s">
        <v>2164</v>
      </c>
      <c r="D3160" s="22">
        <v>340000</v>
      </c>
      <c r="E3160" s="7">
        <v>13</v>
      </c>
      <c r="F3160" s="7">
        <v>3</v>
      </c>
      <c r="G3160" s="7">
        <v>2.1</v>
      </c>
      <c r="H3160" s="12">
        <v>2047</v>
      </c>
      <c r="I3160" s="8">
        <f t="shared" si="98"/>
        <v>166.09672691744015</v>
      </c>
      <c r="J3160" s="3" t="str">
        <f t="shared" si="99"/>
        <v>Low</v>
      </c>
    </row>
    <row r="3161" spans="1:10">
      <c r="A3161" s="4" t="s">
        <v>3247</v>
      </c>
      <c r="B3161" s="16" t="s">
        <v>2252</v>
      </c>
      <c r="C3161" s="17" t="s">
        <v>2164</v>
      </c>
      <c r="D3161" s="21">
        <v>340000</v>
      </c>
      <c r="E3161" s="4">
        <v>2</v>
      </c>
      <c r="F3161" s="4">
        <v>3</v>
      </c>
      <c r="G3161" s="4">
        <v>2.1</v>
      </c>
      <c r="H3161" s="10">
        <v>1649</v>
      </c>
      <c r="I3161" s="5">
        <f t="shared" si="98"/>
        <v>206.18556701030928</v>
      </c>
      <c r="J3161" s="3" t="str">
        <f t="shared" si="99"/>
        <v>Medium</v>
      </c>
    </row>
    <row r="3162" spans="1:10">
      <c r="A3162" s="7" t="s">
        <v>3248</v>
      </c>
      <c r="B3162" s="18" t="s">
        <v>2252</v>
      </c>
      <c r="C3162" s="19" t="s">
        <v>2164</v>
      </c>
      <c r="D3162" s="22">
        <v>340000</v>
      </c>
      <c r="E3162" s="7">
        <v>27</v>
      </c>
      <c r="F3162" s="7">
        <v>3</v>
      </c>
      <c r="G3162" s="7">
        <v>2.1</v>
      </c>
      <c r="H3162" s="12">
        <v>1575</v>
      </c>
      <c r="I3162" s="8">
        <f t="shared" si="98"/>
        <v>215.87301587301587</v>
      </c>
      <c r="J3162" s="3" t="str">
        <f t="shared" si="99"/>
        <v>Medium</v>
      </c>
    </row>
    <row r="3163" spans="1:10">
      <c r="A3163" s="4" t="s">
        <v>3249</v>
      </c>
      <c r="B3163" s="16" t="s">
        <v>2596</v>
      </c>
      <c r="C3163" s="17" t="s">
        <v>2164</v>
      </c>
      <c r="D3163" s="21">
        <v>340000</v>
      </c>
      <c r="E3163" s="4">
        <v>88</v>
      </c>
      <c r="F3163" s="4">
        <v>4</v>
      </c>
      <c r="G3163" s="4">
        <v>2</v>
      </c>
      <c r="H3163" s="10">
        <v>1804</v>
      </c>
      <c r="I3163" s="5">
        <f t="shared" si="98"/>
        <v>188.47006651884701</v>
      </c>
      <c r="J3163" s="3" t="str">
        <f t="shared" si="99"/>
        <v>Low</v>
      </c>
    </row>
    <row r="3164" spans="1:10">
      <c r="A3164" s="7" t="s">
        <v>3250</v>
      </c>
      <c r="B3164" s="18" t="s">
        <v>2252</v>
      </c>
      <c r="C3164" s="19" t="s">
        <v>2164</v>
      </c>
      <c r="D3164" s="22">
        <v>340000</v>
      </c>
      <c r="E3164" s="7">
        <v>60</v>
      </c>
      <c r="F3164" s="7">
        <v>3</v>
      </c>
      <c r="G3164" s="7">
        <v>3</v>
      </c>
      <c r="H3164" s="12">
        <v>1513</v>
      </c>
      <c r="I3164" s="8">
        <f t="shared" si="98"/>
        <v>224.71910112359549</v>
      </c>
      <c r="J3164" s="3" t="str">
        <f t="shared" si="99"/>
        <v>Medium</v>
      </c>
    </row>
    <row r="3165" spans="1:10">
      <c r="A3165" s="4" t="s">
        <v>3251</v>
      </c>
      <c r="B3165" s="16" t="s">
        <v>2193</v>
      </c>
      <c r="C3165" s="17" t="s">
        <v>2164</v>
      </c>
      <c r="D3165" s="21">
        <v>340000</v>
      </c>
      <c r="E3165" s="4">
        <v>56</v>
      </c>
      <c r="F3165" s="4">
        <v>4</v>
      </c>
      <c r="G3165" s="4">
        <v>1.1000000000000001</v>
      </c>
      <c r="H3165" s="10">
        <v>1930</v>
      </c>
      <c r="I3165" s="5">
        <f t="shared" si="98"/>
        <v>176.16580310880829</v>
      </c>
      <c r="J3165" s="3" t="str">
        <f t="shared" si="99"/>
        <v>Low</v>
      </c>
    </row>
    <row r="3166" spans="1:10">
      <c r="A3166" s="7" t="s">
        <v>3252</v>
      </c>
      <c r="B3166" s="18" t="s">
        <v>2252</v>
      </c>
      <c r="C3166" s="19" t="s">
        <v>2164</v>
      </c>
      <c r="D3166" s="22">
        <v>340000</v>
      </c>
      <c r="E3166" s="7">
        <v>151</v>
      </c>
      <c r="F3166" s="7">
        <v>3</v>
      </c>
      <c r="G3166" s="7">
        <v>2</v>
      </c>
      <c r="H3166" s="12">
        <v>1580</v>
      </c>
      <c r="I3166" s="8">
        <f t="shared" si="98"/>
        <v>215.18987341772151</v>
      </c>
      <c r="J3166" s="3" t="str">
        <f t="shared" si="99"/>
        <v>Medium</v>
      </c>
    </row>
    <row r="3167" spans="1:10">
      <c r="A3167" s="4" t="s">
        <v>3253</v>
      </c>
      <c r="B3167" s="16" t="s">
        <v>2181</v>
      </c>
      <c r="C3167" s="17" t="s">
        <v>2164</v>
      </c>
      <c r="D3167" s="21">
        <v>341000</v>
      </c>
      <c r="E3167" s="4">
        <v>8</v>
      </c>
      <c r="F3167" s="4">
        <v>4</v>
      </c>
      <c r="G3167" s="4">
        <v>2.1</v>
      </c>
      <c r="H3167" s="10">
        <v>2325</v>
      </c>
      <c r="I3167" s="5">
        <f t="shared" si="98"/>
        <v>146.66666666666666</v>
      </c>
      <c r="J3167" s="3" t="str">
        <f t="shared" si="99"/>
        <v>Low</v>
      </c>
    </row>
    <row r="3168" spans="1:10">
      <c r="A3168" s="7" t="s">
        <v>3254</v>
      </c>
      <c r="B3168" s="18" t="s">
        <v>2316</v>
      </c>
      <c r="C3168" s="19" t="s">
        <v>2164</v>
      </c>
      <c r="D3168" s="22">
        <v>343000</v>
      </c>
      <c r="E3168" s="7">
        <v>3</v>
      </c>
      <c r="F3168" s="7">
        <v>4</v>
      </c>
      <c r="G3168" s="7">
        <v>1.1000000000000001</v>
      </c>
      <c r="H3168" s="12">
        <v>1665</v>
      </c>
      <c r="I3168" s="8">
        <f t="shared" si="98"/>
        <v>206.006006006006</v>
      </c>
      <c r="J3168" s="3" t="str">
        <f t="shared" si="99"/>
        <v>Medium</v>
      </c>
    </row>
    <row r="3169" spans="1:10">
      <c r="A3169" s="4" t="s">
        <v>3255</v>
      </c>
      <c r="B3169" s="16" t="s">
        <v>2407</v>
      </c>
      <c r="C3169" s="17" t="s">
        <v>2164</v>
      </c>
      <c r="D3169" s="21">
        <v>343000</v>
      </c>
      <c r="E3169" s="4">
        <v>11</v>
      </c>
      <c r="F3169" s="4">
        <v>3</v>
      </c>
      <c r="G3169" s="4">
        <v>2</v>
      </c>
      <c r="H3169" s="10">
        <v>2131</v>
      </c>
      <c r="I3169" s="5">
        <f t="shared" si="98"/>
        <v>160.95729704364149</v>
      </c>
      <c r="J3169" s="3" t="str">
        <f t="shared" si="99"/>
        <v>Low</v>
      </c>
    </row>
    <row r="3170" spans="1:10">
      <c r="A3170" s="7" t="s">
        <v>3256</v>
      </c>
      <c r="B3170" s="18" t="s">
        <v>2407</v>
      </c>
      <c r="C3170" s="19" t="s">
        <v>2164</v>
      </c>
      <c r="D3170" s="22">
        <v>344000</v>
      </c>
      <c r="E3170" s="7">
        <v>35</v>
      </c>
      <c r="F3170" s="7">
        <v>4</v>
      </c>
      <c r="G3170" s="7">
        <v>2</v>
      </c>
      <c r="H3170" s="12">
        <v>1971</v>
      </c>
      <c r="I3170" s="8">
        <f t="shared" si="98"/>
        <v>174.53069507864029</v>
      </c>
      <c r="J3170" s="3" t="str">
        <f t="shared" si="99"/>
        <v>Low</v>
      </c>
    </row>
    <row r="3171" spans="1:10">
      <c r="A3171" s="4" t="s">
        <v>3257</v>
      </c>
      <c r="B3171" s="16" t="s">
        <v>2193</v>
      </c>
      <c r="C3171" s="17" t="s">
        <v>2164</v>
      </c>
      <c r="D3171" s="21">
        <v>345000</v>
      </c>
      <c r="E3171" s="4">
        <v>16</v>
      </c>
      <c r="F3171" s="4">
        <v>3</v>
      </c>
      <c r="G3171" s="4">
        <v>2</v>
      </c>
      <c r="H3171" s="10">
        <v>1797</v>
      </c>
      <c r="I3171" s="5">
        <f t="shared" si="98"/>
        <v>191.98664440734558</v>
      </c>
      <c r="J3171" s="3" t="str">
        <f t="shared" si="99"/>
        <v>Low</v>
      </c>
    </row>
    <row r="3172" spans="1:10">
      <c r="A3172" s="7" t="s">
        <v>3258</v>
      </c>
      <c r="B3172" s="18" t="s">
        <v>2193</v>
      </c>
      <c r="C3172" s="19" t="s">
        <v>2164</v>
      </c>
      <c r="D3172" s="22">
        <v>345000</v>
      </c>
      <c r="E3172" s="7">
        <v>34</v>
      </c>
      <c r="F3172" s="7">
        <v>3</v>
      </c>
      <c r="G3172" s="7">
        <v>2.1</v>
      </c>
      <c r="H3172" s="12">
        <v>2011</v>
      </c>
      <c r="I3172" s="8">
        <f t="shared" si="98"/>
        <v>171.55643958229737</v>
      </c>
      <c r="J3172" s="3" t="str">
        <f t="shared" si="99"/>
        <v>Low</v>
      </c>
    </row>
    <row r="3173" spans="1:10">
      <c r="A3173" s="4" t="s">
        <v>3259</v>
      </c>
      <c r="B3173" s="16" t="s">
        <v>2181</v>
      </c>
      <c r="C3173" s="17" t="s">
        <v>2164</v>
      </c>
      <c r="D3173" s="21">
        <v>345000</v>
      </c>
      <c r="E3173" s="4">
        <v>57</v>
      </c>
      <c r="F3173" s="4">
        <v>4</v>
      </c>
      <c r="G3173" s="4">
        <v>2.1</v>
      </c>
      <c r="H3173" s="10">
        <v>2513</v>
      </c>
      <c r="I3173" s="5">
        <f t="shared" si="98"/>
        <v>137.28611221647432</v>
      </c>
      <c r="J3173" s="3" t="str">
        <f t="shared" si="99"/>
        <v>Low</v>
      </c>
    </row>
    <row r="3174" spans="1:10">
      <c r="A3174" s="7" t="s">
        <v>3260</v>
      </c>
      <c r="B3174" s="18" t="s">
        <v>2193</v>
      </c>
      <c r="C3174" s="19" t="s">
        <v>2164</v>
      </c>
      <c r="D3174" s="22">
        <v>345000</v>
      </c>
      <c r="E3174" s="7">
        <v>80</v>
      </c>
      <c r="F3174" s="7">
        <v>3</v>
      </c>
      <c r="G3174" s="7">
        <v>2</v>
      </c>
      <c r="H3174" s="12">
        <v>1603</v>
      </c>
      <c r="I3174" s="8">
        <f t="shared" si="98"/>
        <v>215.22145976294448</v>
      </c>
      <c r="J3174" s="3" t="str">
        <f t="shared" si="99"/>
        <v>Medium</v>
      </c>
    </row>
    <row r="3175" spans="1:10">
      <c r="A3175" s="4" t="s">
        <v>3261</v>
      </c>
      <c r="B3175" s="16" t="s">
        <v>2193</v>
      </c>
      <c r="C3175" s="17" t="s">
        <v>2164</v>
      </c>
      <c r="D3175" s="21">
        <v>346000</v>
      </c>
      <c r="E3175" s="4">
        <v>4</v>
      </c>
      <c r="F3175" s="4">
        <v>3</v>
      </c>
      <c r="G3175" s="4">
        <v>2</v>
      </c>
      <c r="H3175" s="10">
        <v>1521</v>
      </c>
      <c r="I3175" s="5">
        <f t="shared" si="98"/>
        <v>227.48191978961211</v>
      </c>
      <c r="J3175" s="3" t="str">
        <f t="shared" si="99"/>
        <v>Medium</v>
      </c>
    </row>
    <row r="3176" spans="1:10">
      <c r="A3176" s="7" t="s">
        <v>3262</v>
      </c>
      <c r="B3176" s="18" t="s">
        <v>2171</v>
      </c>
      <c r="C3176" s="19" t="s">
        <v>2164</v>
      </c>
      <c r="D3176" s="22">
        <v>347000</v>
      </c>
      <c r="E3176" s="7">
        <v>3</v>
      </c>
      <c r="F3176" s="7">
        <v>3</v>
      </c>
      <c r="G3176" s="7">
        <v>3</v>
      </c>
      <c r="H3176" s="12">
        <v>2100</v>
      </c>
      <c r="I3176" s="8">
        <f t="shared" si="98"/>
        <v>165.23809523809524</v>
      </c>
      <c r="J3176" s="3" t="str">
        <f t="shared" si="99"/>
        <v>Low</v>
      </c>
    </row>
    <row r="3177" spans="1:10">
      <c r="A3177" s="4" t="s">
        <v>3263</v>
      </c>
      <c r="B3177" s="16" t="s">
        <v>2938</v>
      </c>
      <c r="C3177" s="17" t="s">
        <v>2164</v>
      </c>
      <c r="D3177" s="21">
        <v>348000</v>
      </c>
      <c r="E3177" s="4">
        <v>41</v>
      </c>
      <c r="F3177" s="4">
        <v>4</v>
      </c>
      <c r="G3177" s="4">
        <v>2.1</v>
      </c>
      <c r="H3177" s="10">
        <v>2036</v>
      </c>
      <c r="I3177" s="5">
        <f t="shared" si="98"/>
        <v>170.92337917485264</v>
      </c>
      <c r="J3177" s="3" t="str">
        <f t="shared" si="99"/>
        <v>Low</v>
      </c>
    </row>
    <row r="3178" spans="1:10">
      <c r="A3178" s="7" t="s">
        <v>3263</v>
      </c>
      <c r="B3178" s="18" t="s">
        <v>2938</v>
      </c>
      <c r="C3178" s="19" t="s">
        <v>2164</v>
      </c>
      <c r="D3178" s="22">
        <v>348000</v>
      </c>
      <c r="E3178" s="7">
        <v>24</v>
      </c>
      <c r="F3178" s="7">
        <v>4</v>
      </c>
      <c r="G3178" s="7">
        <v>2.1</v>
      </c>
      <c r="H3178" s="12">
        <v>2036</v>
      </c>
      <c r="I3178" s="8">
        <f t="shared" si="98"/>
        <v>170.92337917485264</v>
      </c>
      <c r="J3178" s="3" t="str">
        <f t="shared" si="99"/>
        <v>Low</v>
      </c>
    </row>
    <row r="3179" spans="1:10">
      <c r="A3179" s="4" t="s">
        <v>3264</v>
      </c>
      <c r="B3179" s="16" t="s">
        <v>2193</v>
      </c>
      <c r="C3179" s="17" t="s">
        <v>2164</v>
      </c>
      <c r="D3179" s="21">
        <v>349000</v>
      </c>
      <c r="E3179" s="4">
        <v>8</v>
      </c>
      <c r="F3179" s="4">
        <v>3</v>
      </c>
      <c r="G3179" s="4">
        <v>2.1</v>
      </c>
      <c r="H3179" s="10">
        <v>1850</v>
      </c>
      <c r="I3179" s="5">
        <f t="shared" si="98"/>
        <v>188.64864864864865</v>
      </c>
      <c r="J3179" s="3" t="str">
        <f t="shared" si="99"/>
        <v>Low</v>
      </c>
    </row>
    <row r="3180" spans="1:10">
      <c r="A3180" s="7" t="s">
        <v>3265</v>
      </c>
      <c r="B3180" s="18" t="s">
        <v>2316</v>
      </c>
      <c r="C3180" s="19" t="s">
        <v>2164</v>
      </c>
      <c r="D3180" s="22">
        <v>349900</v>
      </c>
      <c r="E3180" s="7">
        <v>13</v>
      </c>
      <c r="F3180" s="7">
        <v>3</v>
      </c>
      <c r="G3180" s="7">
        <v>2</v>
      </c>
      <c r="H3180" s="12">
        <v>1310</v>
      </c>
      <c r="I3180" s="8">
        <f t="shared" si="98"/>
        <v>267.09923664122135</v>
      </c>
      <c r="J3180" s="3" t="str">
        <f t="shared" si="99"/>
        <v>Medium</v>
      </c>
    </row>
    <row r="3181" spans="1:10">
      <c r="A3181" s="4" t="s">
        <v>3266</v>
      </c>
      <c r="B3181" s="16" t="s">
        <v>2193</v>
      </c>
      <c r="C3181" s="17" t="s">
        <v>2164</v>
      </c>
      <c r="D3181" s="21">
        <v>350000</v>
      </c>
      <c r="E3181" s="4">
        <v>5</v>
      </c>
      <c r="F3181" s="4">
        <v>3</v>
      </c>
      <c r="G3181" s="4">
        <v>1.1000000000000001</v>
      </c>
      <c r="H3181" s="10">
        <v>1791</v>
      </c>
      <c r="I3181" s="5">
        <f t="shared" si="98"/>
        <v>195.42155220547181</v>
      </c>
      <c r="J3181" s="3" t="str">
        <f t="shared" si="99"/>
        <v>Low</v>
      </c>
    </row>
    <row r="3182" spans="1:10">
      <c r="A3182" s="7" t="s">
        <v>3267</v>
      </c>
      <c r="B3182" s="18" t="s">
        <v>2181</v>
      </c>
      <c r="C3182" s="19" t="s">
        <v>2164</v>
      </c>
      <c r="D3182" s="22">
        <v>350000</v>
      </c>
      <c r="E3182" s="7">
        <v>4</v>
      </c>
      <c r="F3182" s="7">
        <v>3</v>
      </c>
      <c r="G3182" s="7">
        <v>2.1</v>
      </c>
      <c r="H3182" s="12">
        <v>1700</v>
      </c>
      <c r="I3182" s="8">
        <f t="shared" si="98"/>
        <v>205.88235294117646</v>
      </c>
      <c r="J3182" s="3" t="str">
        <f t="shared" si="99"/>
        <v>Medium</v>
      </c>
    </row>
    <row r="3183" spans="1:10">
      <c r="A3183" s="4" t="s">
        <v>3268</v>
      </c>
      <c r="B3183" s="16" t="s">
        <v>2252</v>
      </c>
      <c r="C3183" s="17" t="s">
        <v>2164</v>
      </c>
      <c r="D3183" s="21">
        <v>350000</v>
      </c>
      <c r="E3183" s="4">
        <v>8</v>
      </c>
      <c r="F3183" s="4">
        <v>3</v>
      </c>
      <c r="G3183" s="4">
        <v>3</v>
      </c>
      <c r="H3183" s="10">
        <v>1575</v>
      </c>
      <c r="I3183" s="5">
        <f t="shared" si="98"/>
        <v>222.22222222222223</v>
      </c>
      <c r="J3183" s="3" t="str">
        <f t="shared" si="99"/>
        <v>Medium</v>
      </c>
    </row>
    <row r="3184" spans="1:10">
      <c r="A3184" s="7" t="s">
        <v>3269</v>
      </c>
      <c r="B3184" s="18" t="s">
        <v>2181</v>
      </c>
      <c r="C3184" s="19" t="s">
        <v>2164</v>
      </c>
      <c r="D3184" s="22">
        <v>350000</v>
      </c>
      <c r="E3184" s="7">
        <v>5</v>
      </c>
      <c r="F3184" s="7">
        <v>3</v>
      </c>
      <c r="G3184" s="7">
        <v>3</v>
      </c>
      <c r="H3184" s="12">
        <v>1686</v>
      </c>
      <c r="I3184" s="8">
        <f t="shared" si="98"/>
        <v>207.59193357058126</v>
      </c>
      <c r="J3184" s="3" t="str">
        <f t="shared" si="99"/>
        <v>Medium</v>
      </c>
    </row>
    <row r="3185" spans="1:10">
      <c r="A3185" s="4" t="s">
        <v>3270</v>
      </c>
      <c r="B3185" s="16" t="s">
        <v>2193</v>
      </c>
      <c r="C3185" s="17" t="s">
        <v>2164</v>
      </c>
      <c r="D3185" s="21">
        <v>350000</v>
      </c>
      <c r="E3185" s="4">
        <v>3</v>
      </c>
      <c r="F3185" s="4">
        <v>3</v>
      </c>
      <c r="G3185" s="4">
        <v>2.1</v>
      </c>
      <c r="H3185" s="10">
        <v>1604</v>
      </c>
      <c r="I3185" s="5">
        <f t="shared" si="98"/>
        <v>218.20448877805487</v>
      </c>
      <c r="J3185" s="3" t="str">
        <f t="shared" si="99"/>
        <v>Medium</v>
      </c>
    </row>
    <row r="3186" spans="1:10">
      <c r="A3186" s="7" t="s">
        <v>3271</v>
      </c>
      <c r="B3186" s="18" t="s">
        <v>2193</v>
      </c>
      <c r="C3186" s="19" t="s">
        <v>2164</v>
      </c>
      <c r="D3186" s="22">
        <v>350000</v>
      </c>
      <c r="E3186" s="7">
        <v>9</v>
      </c>
      <c r="F3186" s="7">
        <v>3</v>
      </c>
      <c r="G3186" s="7">
        <v>1.1000000000000001</v>
      </c>
      <c r="H3186" s="12">
        <v>1760</v>
      </c>
      <c r="I3186" s="8">
        <f t="shared" si="98"/>
        <v>198.86363636363637</v>
      </c>
      <c r="J3186" s="3" t="str">
        <f t="shared" si="99"/>
        <v>Low</v>
      </c>
    </row>
    <row r="3187" spans="1:10">
      <c r="A3187" s="4" t="s">
        <v>3272</v>
      </c>
      <c r="B3187" s="16" t="s">
        <v>2168</v>
      </c>
      <c r="C3187" s="17" t="s">
        <v>2164</v>
      </c>
      <c r="D3187" s="21">
        <v>350000</v>
      </c>
      <c r="E3187" s="4">
        <v>4</v>
      </c>
      <c r="F3187" s="4">
        <v>3</v>
      </c>
      <c r="G3187" s="4">
        <v>2.1</v>
      </c>
      <c r="H3187" s="10">
        <v>2353</v>
      </c>
      <c r="I3187" s="5">
        <f t="shared" si="98"/>
        <v>148.74628134296643</v>
      </c>
      <c r="J3187" s="3" t="str">
        <f t="shared" si="99"/>
        <v>Low</v>
      </c>
    </row>
    <row r="3188" spans="1:10">
      <c r="A3188" s="7" t="s">
        <v>3273</v>
      </c>
      <c r="B3188" s="18" t="s">
        <v>2193</v>
      </c>
      <c r="C3188" s="19" t="s">
        <v>2164</v>
      </c>
      <c r="D3188" s="22">
        <v>350000</v>
      </c>
      <c r="E3188" s="7">
        <v>13</v>
      </c>
      <c r="F3188" s="7">
        <v>4</v>
      </c>
      <c r="G3188" s="7">
        <v>2</v>
      </c>
      <c r="H3188" s="12">
        <v>2100</v>
      </c>
      <c r="I3188" s="8">
        <f t="shared" si="98"/>
        <v>166.66666666666666</v>
      </c>
      <c r="J3188" s="3" t="str">
        <f t="shared" si="99"/>
        <v>Low</v>
      </c>
    </row>
    <row r="3189" spans="1:10">
      <c r="A3189" s="4" t="s">
        <v>3274</v>
      </c>
      <c r="B3189" s="16" t="s">
        <v>2316</v>
      </c>
      <c r="C3189" s="17" t="s">
        <v>2164</v>
      </c>
      <c r="D3189" s="21">
        <v>350840</v>
      </c>
      <c r="E3189" s="4">
        <v>18</v>
      </c>
      <c r="F3189" s="4">
        <v>3</v>
      </c>
      <c r="G3189" s="4">
        <v>1.1000000000000001</v>
      </c>
      <c r="H3189" s="10">
        <v>1734</v>
      </c>
      <c r="I3189" s="5">
        <f t="shared" si="98"/>
        <v>202.32987312572087</v>
      </c>
      <c r="J3189" s="3" t="str">
        <f t="shared" si="99"/>
        <v>Medium</v>
      </c>
    </row>
    <row r="3190" spans="1:10">
      <c r="A3190" s="7" t="s">
        <v>3275</v>
      </c>
      <c r="B3190" s="18" t="s">
        <v>2193</v>
      </c>
      <c r="C3190" s="19" t="s">
        <v>2164</v>
      </c>
      <c r="D3190" s="22">
        <v>351000</v>
      </c>
      <c r="E3190" s="7">
        <v>4</v>
      </c>
      <c r="F3190" s="7">
        <v>3</v>
      </c>
      <c r="G3190" s="7">
        <v>1.1000000000000001</v>
      </c>
      <c r="H3190" s="12">
        <v>1556</v>
      </c>
      <c r="I3190" s="8">
        <f t="shared" si="98"/>
        <v>225.57840616966581</v>
      </c>
      <c r="J3190" s="3" t="str">
        <f t="shared" si="99"/>
        <v>Medium</v>
      </c>
    </row>
    <row r="3191" spans="1:10">
      <c r="A3191" s="4" t="s">
        <v>3276</v>
      </c>
      <c r="B3191" s="16" t="s">
        <v>2316</v>
      </c>
      <c r="C3191" s="17" t="s">
        <v>2164</v>
      </c>
      <c r="D3191" s="21">
        <v>352100</v>
      </c>
      <c r="E3191" s="4">
        <v>4</v>
      </c>
      <c r="F3191" s="4">
        <v>3</v>
      </c>
      <c r="G3191" s="4">
        <v>1.1000000000000001</v>
      </c>
      <c r="H3191" s="10">
        <v>2406</v>
      </c>
      <c r="I3191" s="5">
        <f t="shared" si="98"/>
        <v>146.34247714048212</v>
      </c>
      <c r="J3191" s="3" t="str">
        <f t="shared" si="99"/>
        <v>Low</v>
      </c>
    </row>
    <row r="3192" spans="1:10">
      <c r="A3192" s="7" t="s">
        <v>3277</v>
      </c>
      <c r="B3192" s="18" t="s">
        <v>2193</v>
      </c>
      <c r="C3192" s="19" t="s">
        <v>2164</v>
      </c>
      <c r="D3192" s="22">
        <v>355000</v>
      </c>
      <c r="E3192" s="7">
        <v>17</v>
      </c>
      <c r="F3192" s="7">
        <v>3</v>
      </c>
      <c r="G3192" s="7">
        <v>2</v>
      </c>
      <c r="H3192" s="12">
        <v>1709</v>
      </c>
      <c r="I3192" s="8">
        <f t="shared" si="98"/>
        <v>207.7238150965477</v>
      </c>
      <c r="J3192" s="3" t="str">
        <f t="shared" si="99"/>
        <v>Medium</v>
      </c>
    </row>
    <row r="3193" spans="1:10">
      <c r="A3193" s="4" t="s">
        <v>3278</v>
      </c>
      <c r="B3193" s="16" t="s">
        <v>2181</v>
      </c>
      <c r="C3193" s="17" t="s">
        <v>2164</v>
      </c>
      <c r="D3193" s="21">
        <v>355000</v>
      </c>
      <c r="E3193" s="4">
        <v>5</v>
      </c>
      <c r="F3193" s="4">
        <v>3</v>
      </c>
      <c r="G3193" s="4">
        <v>2</v>
      </c>
      <c r="H3193" s="10">
        <v>1668</v>
      </c>
      <c r="I3193" s="5">
        <f t="shared" si="98"/>
        <v>212.82973621103116</v>
      </c>
      <c r="J3193" s="3" t="str">
        <f t="shared" si="99"/>
        <v>Medium</v>
      </c>
    </row>
    <row r="3194" spans="1:10">
      <c r="A3194" s="7" t="s">
        <v>3279</v>
      </c>
      <c r="B3194" s="18" t="s">
        <v>2193</v>
      </c>
      <c r="C3194" s="19" t="s">
        <v>2164</v>
      </c>
      <c r="D3194" s="22">
        <v>355000</v>
      </c>
      <c r="E3194" s="7">
        <v>25</v>
      </c>
      <c r="F3194" s="7">
        <v>4</v>
      </c>
      <c r="G3194" s="7">
        <v>2</v>
      </c>
      <c r="H3194" s="12">
        <v>1612</v>
      </c>
      <c r="I3194" s="8">
        <f t="shared" si="98"/>
        <v>220.22332506203475</v>
      </c>
      <c r="J3194" s="3" t="str">
        <f t="shared" si="99"/>
        <v>Medium</v>
      </c>
    </row>
    <row r="3195" spans="1:10">
      <c r="A3195" s="4" t="s">
        <v>3280</v>
      </c>
      <c r="B3195" s="16" t="s">
        <v>2181</v>
      </c>
      <c r="C3195" s="17" t="s">
        <v>2164</v>
      </c>
      <c r="D3195" s="21">
        <v>355000</v>
      </c>
      <c r="E3195" s="4">
        <v>12</v>
      </c>
      <c r="F3195" s="4">
        <v>4</v>
      </c>
      <c r="G3195" s="4">
        <v>2.1</v>
      </c>
      <c r="H3195" s="10">
        <v>2233</v>
      </c>
      <c r="I3195" s="5">
        <f t="shared" si="98"/>
        <v>158.97895208240035</v>
      </c>
      <c r="J3195" s="3" t="str">
        <f t="shared" si="99"/>
        <v>Low</v>
      </c>
    </row>
    <row r="3196" spans="1:10">
      <c r="A3196" s="7" t="s">
        <v>3281</v>
      </c>
      <c r="B3196" s="18" t="s">
        <v>2181</v>
      </c>
      <c r="C3196" s="19" t="s">
        <v>2164</v>
      </c>
      <c r="D3196" s="22">
        <v>356500</v>
      </c>
      <c r="E3196" s="7">
        <v>5</v>
      </c>
      <c r="F3196" s="7">
        <v>5</v>
      </c>
      <c r="G3196" s="7">
        <v>2.1</v>
      </c>
      <c r="H3196" s="12">
        <v>2350</v>
      </c>
      <c r="I3196" s="8">
        <f t="shared" si="98"/>
        <v>151.70212765957447</v>
      </c>
      <c r="J3196" s="3" t="str">
        <f t="shared" si="99"/>
        <v>Low</v>
      </c>
    </row>
    <row r="3197" spans="1:10">
      <c r="A3197" s="4" t="s">
        <v>3282</v>
      </c>
      <c r="B3197" s="16" t="s">
        <v>2193</v>
      </c>
      <c r="C3197" s="17" t="s">
        <v>2164</v>
      </c>
      <c r="D3197" s="21">
        <v>357000</v>
      </c>
      <c r="E3197" s="4">
        <v>11</v>
      </c>
      <c r="F3197" s="4">
        <v>3</v>
      </c>
      <c r="G3197" s="4">
        <v>3</v>
      </c>
      <c r="H3197" s="10">
        <v>1650</v>
      </c>
      <c r="I3197" s="5">
        <f t="shared" si="98"/>
        <v>216.36363636363637</v>
      </c>
      <c r="J3197" s="3" t="str">
        <f t="shared" si="99"/>
        <v>Medium</v>
      </c>
    </row>
    <row r="3198" spans="1:10">
      <c r="A3198" s="7" t="s">
        <v>3283</v>
      </c>
      <c r="B3198" s="18" t="s">
        <v>2210</v>
      </c>
      <c r="C3198" s="19" t="s">
        <v>2164</v>
      </c>
      <c r="D3198" s="22">
        <v>358000</v>
      </c>
      <c r="E3198" s="7">
        <v>60</v>
      </c>
      <c r="F3198" s="7">
        <v>5</v>
      </c>
      <c r="G3198" s="7">
        <v>3</v>
      </c>
      <c r="H3198" s="12">
        <v>2544</v>
      </c>
      <c r="I3198" s="8">
        <f t="shared" si="98"/>
        <v>140.72327044025158</v>
      </c>
      <c r="J3198" s="3" t="str">
        <f t="shared" si="99"/>
        <v>Low</v>
      </c>
    </row>
    <row r="3199" spans="1:10">
      <c r="A3199" s="4" t="s">
        <v>3284</v>
      </c>
      <c r="B3199" s="16" t="s">
        <v>2252</v>
      </c>
      <c r="C3199" s="17" t="s">
        <v>2164</v>
      </c>
      <c r="D3199" s="21">
        <v>359000</v>
      </c>
      <c r="E3199" s="4">
        <v>5</v>
      </c>
      <c r="F3199" s="4">
        <v>3</v>
      </c>
      <c r="G3199" s="4">
        <v>2.1</v>
      </c>
      <c r="H3199" s="10">
        <v>1826</v>
      </c>
      <c r="I3199" s="5">
        <f t="shared" si="98"/>
        <v>196.60460021905806</v>
      </c>
      <c r="J3199" s="3" t="str">
        <f t="shared" si="99"/>
        <v>Low</v>
      </c>
    </row>
    <row r="3200" spans="1:10">
      <c r="A3200" s="7" t="s">
        <v>3285</v>
      </c>
      <c r="B3200" s="18" t="s">
        <v>2181</v>
      </c>
      <c r="C3200" s="19" t="s">
        <v>2164</v>
      </c>
      <c r="D3200" s="22">
        <v>359900</v>
      </c>
      <c r="E3200" s="7">
        <v>153</v>
      </c>
      <c r="F3200" s="7">
        <v>3</v>
      </c>
      <c r="G3200" s="7">
        <v>2</v>
      </c>
      <c r="H3200" s="12">
        <v>1600</v>
      </c>
      <c r="I3200" s="8">
        <f t="shared" si="98"/>
        <v>224.9375</v>
      </c>
      <c r="J3200" s="3" t="str">
        <f t="shared" si="99"/>
        <v>Medium</v>
      </c>
    </row>
    <row r="3201" spans="1:10">
      <c r="A3201" s="4" t="s">
        <v>3286</v>
      </c>
      <c r="B3201" s="16" t="s">
        <v>2181</v>
      </c>
      <c r="C3201" s="17" t="s">
        <v>2164</v>
      </c>
      <c r="D3201" s="21">
        <v>359900</v>
      </c>
      <c r="E3201" s="4">
        <v>70</v>
      </c>
      <c r="F3201" s="4">
        <v>3</v>
      </c>
      <c r="G3201" s="4">
        <v>2</v>
      </c>
      <c r="H3201" s="10">
        <v>1600</v>
      </c>
      <c r="I3201" s="5">
        <f t="shared" si="98"/>
        <v>224.9375</v>
      </c>
      <c r="J3201" s="3" t="str">
        <f t="shared" si="99"/>
        <v>Medium</v>
      </c>
    </row>
    <row r="3202" spans="1:10">
      <c r="A3202" s="7" t="s">
        <v>3287</v>
      </c>
      <c r="B3202" s="18" t="s">
        <v>2316</v>
      </c>
      <c r="C3202" s="19" t="s">
        <v>2164</v>
      </c>
      <c r="D3202" s="22">
        <v>360000</v>
      </c>
      <c r="E3202" s="7">
        <v>3</v>
      </c>
      <c r="F3202" s="7">
        <v>3</v>
      </c>
      <c r="G3202" s="7">
        <v>2</v>
      </c>
      <c r="H3202" s="12">
        <v>1500</v>
      </c>
      <c r="I3202" s="8">
        <f t="shared" ref="I3202:I3265" si="100">D3202/H3202</f>
        <v>240</v>
      </c>
      <c r="J3202" s="3" t="str">
        <f t="shared" ref="J3202:J3265" si="101">IF(I3202 &gt; 300, "High", IF(AND(I3202 &lt;= 300, I3202 &gt; 200), "Medium", "Low"))</f>
        <v>Medium</v>
      </c>
    </row>
    <row r="3203" spans="1:10">
      <c r="A3203" s="4" t="s">
        <v>3288</v>
      </c>
      <c r="B3203" s="16" t="s">
        <v>2252</v>
      </c>
      <c r="C3203" s="17" t="s">
        <v>2164</v>
      </c>
      <c r="D3203" s="21">
        <v>360000</v>
      </c>
      <c r="E3203" s="4">
        <v>12</v>
      </c>
      <c r="F3203" s="4">
        <v>3</v>
      </c>
      <c r="G3203" s="4">
        <v>3.1</v>
      </c>
      <c r="H3203" s="10">
        <v>1858</v>
      </c>
      <c r="I3203" s="5">
        <f t="shared" si="100"/>
        <v>193.75672766415499</v>
      </c>
      <c r="J3203" s="3" t="str">
        <f t="shared" si="101"/>
        <v>Low</v>
      </c>
    </row>
    <row r="3204" spans="1:10">
      <c r="A3204" s="7" t="s">
        <v>3289</v>
      </c>
      <c r="B3204" s="18" t="s">
        <v>2193</v>
      </c>
      <c r="C3204" s="19" t="s">
        <v>2164</v>
      </c>
      <c r="D3204" s="22">
        <v>360000</v>
      </c>
      <c r="E3204" s="7">
        <v>5</v>
      </c>
      <c r="F3204" s="7">
        <v>4</v>
      </c>
      <c r="G3204" s="7">
        <v>1.1000000000000001</v>
      </c>
      <c r="H3204" s="12">
        <v>1908</v>
      </c>
      <c r="I3204" s="8">
        <f t="shared" si="100"/>
        <v>188.67924528301887</v>
      </c>
      <c r="J3204" s="3" t="str">
        <f t="shared" si="101"/>
        <v>Low</v>
      </c>
    </row>
    <row r="3205" spans="1:10">
      <c r="A3205" s="4" t="s">
        <v>3290</v>
      </c>
      <c r="B3205" s="16" t="s">
        <v>2181</v>
      </c>
      <c r="C3205" s="17" t="s">
        <v>2164</v>
      </c>
      <c r="D3205" s="21">
        <v>360000</v>
      </c>
      <c r="E3205" s="4">
        <v>22</v>
      </c>
      <c r="F3205" s="4">
        <v>3</v>
      </c>
      <c r="G3205" s="4">
        <v>2</v>
      </c>
      <c r="H3205" s="10">
        <v>1545</v>
      </c>
      <c r="I3205" s="5">
        <f t="shared" si="100"/>
        <v>233.00970873786409</v>
      </c>
      <c r="J3205" s="3" t="str">
        <f t="shared" si="101"/>
        <v>Medium</v>
      </c>
    </row>
    <row r="3206" spans="1:10">
      <c r="A3206" s="7" t="s">
        <v>3291</v>
      </c>
      <c r="B3206" s="18" t="s">
        <v>2193</v>
      </c>
      <c r="C3206" s="19" t="s">
        <v>2164</v>
      </c>
      <c r="D3206" s="22">
        <v>360000</v>
      </c>
      <c r="E3206" s="7">
        <v>20</v>
      </c>
      <c r="F3206" s="7">
        <v>4</v>
      </c>
      <c r="G3206" s="7">
        <v>1.1000000000000001</v>
      </c>
      <c r="H3206" s="12">
        <v>2062</v>
      </c>
      <c r="I3206" s="8">
        <f t="shared" si="100"/>
        <v>174.58777885548011</v>
      </c>
      <c r="J3206" s="3" t="str">
        <f t="shared" si="101"/>
        <v>Low</v>
      </c>
    </row>
    <row r="3207" spans="1:10">
      <c r="A3207" s="4" t="s">
        <v>3292</v>
      </c>
      <c r="B3207" s="16" t="s">
        <v>2181</v>
      </c>
      <c r="C3207" s="17" t="s">
        <v>2164</v>
      </c>
      <c r="D3207" s="21">
        <v>360000</v>
      </c>
      <c r="E3207" s="4">
        <v>74</v>
      </c>
      <c r="F3207" s="4">
        <v>5</v>
      </c>
      <c r="G3207" s="4">
        <v>3</v>
      </c>
      <c r="H3207" s="10">
        <v>2325</v>
      </c>
      <c r="I3207" s="5">
        <f t="shared" si="100"/>
        <v>154.83870967741936</v>
      </c>
      <c r="J3207" s="3" t="str">
        <f t="shared" si="101"/>
        <v>Low</v>
      </c>
    </row>
    <row r="3208" spans="1:10">
      <c r="A3208" s="7" t="s">
        <v>3293</v>
      </c>
      <c r="B3208" s="18" t="s">
        <v>2316</v>
      </c>
      <c r="C3208" s="19" t="s">
        <v>2164</v>
      </c>
      <c r="D3208" s="22">
        <v>362500</v>
      </c>
      <c r="E3208" s="7">
        <v>0</v>
      </c>
      <c r="F3208" s="7">
        <v>3</v>
      </c>
      <c r="G3208" s="7">
        <v>2.1</v>
      </c>
      <c r="H3208" s="12">
        <v>2325</v>
      </c>
      <c r="I3208" s="8">
        <f t="shared" si="100"/>
        <v>155.91397849462365</v>
      </c>
      <c r="J3208" s="3" t="str">
        <f t="shared" si="101"/>
        <v>Low</v>
      </c>
    </row>
    <row r="3209" spans="1:10">
      <c r="A3209" s="4" t="s">
        <v>3294</v>
      </c>
      <c r="B3209" s="16" t="s">
        <v>2273</v>
      </c>
      <c r="C3209" s="17" t="s">
        <v>2164</v>
      </c>
      <c r="D3209" s="21">
        <v>362500</v>
      </c>
      <c r="E3209" s="4">
        <v>42</v>
      </c>
      <c r="F3209" s="4">
        <v>5</v>
      </c>
      <c r="G3209" s="4">
        <v>2.1</v>
      </c>
      <c r="H3209" s="10">
        <v>2432</v>
      </c>
      <c r="I3209" s="5">
        <f t="shared" si="100"/>
        <v>149.05427631578948</v>
      </c>
      <c r="J3209" s="3" t="str">
        <f t="shared" si="101"/>
        <v>Low</v>
      </c>
    </row>
    <row r="3210" spans="1:10">
      <c r="A3210" s="7" t="s">
        <v>3295</v>
      </c>
      <c r="B3210" s="18" t="s">
        <v>2181</v>
      </c>
      <c r="C3210" s="19" t="s">
        <v>2164</v>
      </c>
      <c r="D3210" s="22">
        <v>363000</v>
      </c>
      <c r="E3210" s="7">
        <v>10</v>
      </c>
      <c r="F3210" s="7">
        <v>3</v>
      </c>
      <c r="G3210" s="7">
        <v>2.1</v>
      </c>
      <c r="H3210" s="12">
        <v>2242</v>
      </c>
      <c r="I3210" s="8">
        <f t="shared" si="100"/>
        <v>161.90900981266725</v>
      </c>
      <c r="J3210" s="3" t="str">
        <f t="shared" si="101"/>
        <v>Low</v>
      </c>
    </row>
    <row r="3211" spans="1:10">
      <c r="A3211" s="4" t="s">
        <v>3296</v>
      </c>
      <c r="B3211" s="16" t="s">
        <v>2163</v>
      </c>
      <c r="C3211" s="17" t="s">
        <v>2164</v>
      </c>
      <c r="D3211" s="21">
        <v>363000</v>
      </c>
      <c r="E3211" s="4">
        <v>348</v>
      </c>
      <c r="F3211" s="4">
        <v>3</v>
      </c>
      <c r="G3211" s="4">
        <v>2.1</v>
      </c>
      <c r="H3211" s="10">
        <v>1956</v>
      </c>
      <c r="I3211" s="5">
        <f t="shared" si="100"/>
        <v>185.58282208588957</v>
      </c>
      <c r="J3211" s="3" t="str">
        <f t="shared" si="101"/>
        <v>Low</v>
      </c>
    </row>
    <row r="3212" spans="1:10">
      <c r="A3212" s="7" t="s">
        <v>3297</v>
      </c>
      <c r="B3212" s="18" t="s">
        <v>2193</v>
      </c>
      <c r="C3212" s="19" t="s">
        <v>2164</v>
      </c>
      <c r="D3212" s="22">
        <v>364400</v>
      </c>
      <c r="E3212" s="7">
        <v>44</v>
      </c>
      <c r="F3212" s="7">
        <v>4</v>
      </c>
      <c r="G3212" s="7">
        <v>2</v>
      </c>
      <c r="H3212" s="12">
        <v>1912</v>
      </c>
      <c r="I3212" s="8">
        <f t="shared" si="100"/>
        <v>190.58577405857741</v>
      </c>
      <c r="J3212" s="3" t="str">
        <f t="shared" si="101"/>
        <v>Low</v>
      </c>
    </row>
    <row r="3213" spans="1:10">
      <c r="A3213" s="4" t="s">
        <v>3298</v>
      </c>
      <c r="B3213" s="16" t="s">
        <v>2181</v>
      </c>
      <c r="C3213" s="17" t="s">
        <v>2164</v>
      </c>
      <c r="D3213" s="21">
        <v>365000</v>
      </c>
      <c r="E3213" s="4">
        <v>3</v>
      </c>
      <c r="F3213" s="4">
        <v>3</v>
      </c>
      <c r="G3213" s="4">
        <v>3</v>
      </c>
      <c r="H3213" s="10">
        <v>1816</v>
      </c>
      <c r="I3213" s="5">
        <f t="shared" si="100"/>
        <v>200.99118942731278</v>
      </c>
      <c r="J3213" s="3" t="str">
        <f t="shared" si="101"/>
        <v>Medium</v>
      </c>
    </row>
    <row r="3214" spans="1:10">
      <c r="A3214" s="7" t="s">
        <v>3299</v>
      </c>
      <c r="B3214" s="18" t="s">
        <v>2163</v>
      </c>
      <c r="C3214" s="19" t="s">
        <v>2164</v>
      </c>
      <c r="D3214" s="22">
        <v>365000</v>
      </c>
      <c r="E3214" s="7">
        <v>6</v>
      </c>
      <c r="F3214" s="7">
        <v>4</v>
      </c>
      <c r="G3214" s="7">
        <v>2.1</v>
      </c>
      <c r="H3214" s="12">
        <v>2184</v>
      </c>
      <c r="I3214" s="8">
        <f t="shared" si="100"/>
        <v>167.12454212454213</v>
      </c>
      <c r="J3214" s="3" t="str">
        <f t="shared" si="101"/>
        <v>Low</v>
      </c>
    </row>
    <row r="3215" spans="1:10">
      <c r="A3215" s="4" t="s">
        <v>3300</v>
      </c>
      <c r="B3215" s="16" t="s">
        <v>2316</v>
      </c>
      <c r="C3215" s="17" t="s">
        <v>2164</v>
      </c>
      <c r="D3215" s="21">
        <v>365000</v>
      </c>
      <c r="E3215" s="4">
        <v>21</v>
      </c>
      <c r="F3215" s="4">
        <v>5</v>
      </c>
      <c r="G3215" s="4">
        <v>2.1</v>
      </c>
      <c r="H3215" s="10">
        <v>2672</v>
      </c>
      <c r="I3215" s="5">
        <f t="shared" si="100"/>
        <v>136.60179640718562</v>
      </c>
      <c r="J3215" s="3" t="str">
        <f t="shared" si="101"/>
        <v>Low</v>
      </c>
    </row>
    <row r="3216" spans="1:10">
      <c r="A3216" s="7" t="s">
        <v>3301</v>
      </c>
      <c r="B3216" s="18" t="s">
        <v>2193</v>
      </c>
      <c r="C3216" s="19" t="s">
        <v>2164</v>
      </c>
      <c r="D3216" s="22">
        <v>365000</v>
      </c>
      <c r="E3216" s="7">
        <v>49</v>
      </c>
      <c r="F3216" s="7">
        <v>4</v>
      </c>
      <c r="G3216" s="7">
        <v>2.2000000000000002</v>
      </c>
      <c r="H3216" s="12">
        <v>2444</v>
      </c>
      <c r="I3216" s="8">
        <f t="shared" si="100"/>
        <v>149.34533551554827</v>
      </c>
      <c r="J3216" s="3" t="str">
        <f t="shared" si="101"/>
        <v>Low</v>
      </c>
    </row>
    <row r="3217" spans="1:10">
      <c r="A3217" s="4" t="s">
        <v>3302</v>
      </c>
      <c r="B3217" s="16" t="s">
        <v>2181</v>
      </c>
      <c r="C3217" s="17" t="s">
        <v>2164</v>
      </c>
      <c r="D3217" s="21">
        <v>365000</v>
      </c>
      <c r="E3217" s="4">
        <v>38</v>
      </c>
      <c r="F3217" s="4">
        <v>0</v>
      </c>
      <c r="G3217" s="4">
        <v>0.2</v>
      </c>
      <c r="H3217" s="10">
        <v>2450</v>
      </c>
      <c r="I3217" s="5">
        <f t="shared" si="100"/>
        <v>148.9795918367347</v>
      </c>
      <c r="J3217" s="3" t="str">
        <f t="shared" si="101"/>
        <v>Low</v>
      </c>
    </row>
    <row r="3218" spans="1:10">
      <c r="A3218" s="7" t="s">
        <v>3303</v>
      </c>
      <c r="B3218" s="18" t="s">
        <v>2938</v>
      </c>
      <c r="C3218" s="19" t="s">
        <v>2164</v>
      </c>
      <c r="D3218" s="22">
        <v>365000</v>
      </c>
      <c r="E3218" s="7">
        <v>38</v>
      </c>
      <c r="F3218" s="7">
        <v>3</v>
      </c>
      <c r="G3218" s="7">
        <v>2.1</v>
      </c>
      <c r="H3218" s="12">
        <v>1698</v>
      </c>
      <c r="I3218" s="8">
        <f t="shared" si="100"/>
        <v>214.9587750294464</v>
      </c>
      <c r="J3218" s="3" t="str">
        <f t="shared" si="101"/>
        <v>Medium</v>
      </c>
    </row>
    <row r="3219" spans="1:10">
      <c r="A3219" s="4" t="s">
        <v>3304</v>
      </c>
      <c r="B3219" s="16" t="s">
        <v>2193</v>
      </c>
      <c r="C3219" s="17" t="s">
        <v>2164</v>
      </c>
      <c r="D3219" s="21">
        <v>365000</v>
      </c>
      <c r="E3219" s="4">
        <v>10</v>
      </c>
      <c r="F3219" s="4">
        <v>4</v>
      </c>
      <c r="G3219" s="4">
        <v>2</v>
      </c>
      <c r="H3219" s="10">
        <v>2200</v>
      </c>
      <c r="I3219" s="5">
        <f t="shared" si="100"/>
        <v>165.90909090909091</v>
      </c>
      <c r="J3219" s="3" t="str">
        <f t="shared" si="101"/>
        <v>Low</v>
      </c>
    </row>
    <row r="3220" spans="1:10">
      <c r="A3220" s="7" t="s">
        <v>3305</v>
      </c>
      <c r="B3220" s="18" t="s">
        <v>2316</v>
      </c>
      <c r="C3220" s="19" t="s">
        <v>2164</v>
      </c>
      <c r="D3220" s="22">
        <v>365000</v>
      </c>
      <c r="E3220" s="7">
        <v>77</v>
      </c>
      <c r="F3220" s="7">
        <v>4</v>
      </c>
      <c r="G3220" s="7">
        <v>2.1</v>
      </c>
      <c r="H3220" s="12">
        <v>2568</v>
      </c>
      <c r="I3220" s="8">
        <f t="shared" si="100"/>
        <v>142.13395638629282</v>
      </c>
      <c r="J3220" s="3" t="str">
        <f t="shared" si="101"/>
        <v>Low</v>
      </c>
    </row>
    <row r="3221" spans="1:10">
      <c r="A3221" s="4" t="s">
        <v>3306</v>
      </c>
      <c r="B3221" s="16" t="s">
        <v>3151</v>
      </c>
      <c r="C3221" s="17" t="s">
        <v>2164</v>
      </c>
      <c r="D3221" s="21">
        <v>365000</v>
      </c>
      <c r="E3221" s="4">
        <v>194</v>
      </c>
      <c r="F3221" s="4">
        <v>3</v>
      </c>
      <c r="G3221" s="4">
        <v>2</v>
      </c>
      <c r="H3221" s="10">
        <v>1826</v>
      </c>
      <c r="I3221" s="5">
        <f t="shared" si="100"/>
        <v>199.89047097480832</v>
      </c>
      <c r="J3221" s="3" t="str">
        <f t="shared" si="101"/>
        <v>Low</v>
      </c>
    </row>
    <row r="3222" spans="1:10">
      <c r="A3222" s="7" t="s">
        <v>3307</v>
      </c>
      <c r="B3222" s="18" t="s">
        <v>2163</v>
      </c>
      <c r="C3222" s="19" t="s">
        <v>2164</v>
      </c>
      <c r="D3222" s="22">
        <v>365100</v>
      </c>
      <c r="E3222" s="7">
        <v>8</v>
      </c>
      <c r="F3222" s="7">
        <v>3</v>
      </c>
      <c r="G3222" s="7">
        <v>2.1</v>
      </c>
      <c r="H3222" s="12">
        <v>1746</v>
      </c>
      <c r="I3222" s="8">
        <f t="shared" si="100"/>
        <v>209.10652920962198</v>
      </c>
      <c r="J3222" s="3" t="str">
        <f t="shared" si="101"/>
        <v>Medium</v>
      </c>
    </row>
    <row r="3223" spans="1:10">
      <c r="A3223" s="4" t="s">
        <v>3308</v>
      </c>
      <c r="B3223" s="16" t="s">
        <v>2163</v>
      </c>
      <c r="C3223" s="17" t="s">
        <v>2164</v>
      </c>
      <c r="D3223" s="21">
        <v>365900</v>
      </c>
      <c r="E3223" s="4">
        <v>69</v>
      </c>
      <c r="F3223" s="4">
        <v>4</v>
      </c>
      <c r="G3223" s="4">
        <v>2.1</v>
      </c>
      <c r="H3223" s="10">
        <v>1800</v>
      </c>
      <c r="I3223" s="5">
        <f t="shared" si="100"/>
        <v>203.27777777777777</v>
      </c>
      <c r="J3223" s="3" t="str">
        <f t="shared" si="101"/>
        <v>Medium</v>
      </c>
    </row>
    <row r="3224" spans="1:10">
      <c r="A3224" s="7" t="s">
        <v>3309</v>
      </c>
      <c r="B3224" s="18" t="s">
        <v>2316</v>
      </c>
      <c r="C3224" s="19" t="s">
        <v>2164</v>
      </c>
      <c r="D3224" s="22">
        <v>367000</v>
      </c>
      <c r="E3224" s="7">
        <v>166</v>
      </c>
      <c r="F3224" s="7">
        <v>3</v>
      </c>
      <c r="G3224" s="7">
        <v>2</v>
      </c>
      <c r="H3224" s="12">
        <v>1575</v>
      </c>
      <c r="I3224" s="8">
        <f t="shared" si="100"/>
        <v>233.01587301587301</v>
      </c>
      <c r="J3224" s="3" t="str">
        <f t="shared" si="101"/>
        <v>Medium</v>
      </c>
    </row>
    <row r="3225" spans="1:10">
      <c r="A3225" s="4" t="s">
        <v>3310</v>
      </c>
      <c r="B3225" s="16" t="s">
        <v>2252</v>
      </c>
      <c r="C3225" s="17" t="s">
        <v>2164</v>
      </c>
      <c r="D3225" s="21">
        <v>368000</v>
      </c>
      <c r="E3225" s="4">
        <v>18</v>
      </c>
      <c r="F3225" s="4">
        <v>3</v>
      </c>
      <c r="G3225" s="4">
        <v>2</v>
      </c>
      <c r="H3225" s="10">
        <v>1640</v>
      </c>
      <c r="I3225" s="5">
        <f t="shared" si="100"/>
        <v>224.39024390243901</v>
      </c>
      <c r="J3225" s="3" t="str">
        <f t="shared" si="101"/>
        <v>Medium</v>
      </c>
    </row>
    <row r="3226" spans="1:10">
      <c r="A3226" s="7" t="s">
        <v>3311</v>
      </c>
      <c r="B3226" s="18" t="s">
        <v>2316</v>
      </c>
      <c r="C3226" s="19" t="s">
        <v>2164</v>
      </c>
      <c r="D3226" s="22">
        <v>369900</v>
      </c>
      <c r="E3226" s="7">
        <v>2</v>
      </c>
      <c r="F3226" s="7">
        <v>3</v>
      </c>
      <c r="G3226" s="7">
        <v>2</v>
      </c>
      <c r="H3226" s="12">
        <v>1766</v>
      </c>
      <c r="I3226" s="8">
        <f t="shared" si="100"/>
        <v>209.45639864099661</v>
      </c>
      <c r="J3226" s="3" t="str">
        <f t="shared" si="101"/>
        <v>Medium</v>
      </c>
    </row>
    <row r="3227" spans="1:10">
      <c r="A3227" s="4" t="s">
        <v>3312</v>
      </c>
      <c r="B3227" s="16" t="s">
        <v>2193</v>
      </c>
      <c r="C3227" s="17" t="s">
        <v>2164</v>
      </c>
      <c r="D3227" s="21">
        <v>370000</v>
      </c>
      <c r="E3227" s="4">
        <v>7</v>
      </c>
      <c r="F3227" s="4">
        <v>4</v>
      </c>
      <c r="G3227" s="4">
        <v>2.1</v>
      </c>
      <c r="H3227" s="10">
        <v>1568</v>
      </c>
      <c r="I3227" s="5">
        <f t="shared" si="100"/>
        <v>235.96938775510205</v>
      </c>
      <c r="J3227" s="3" t="str">
        <f t="shared" si="101"/>
        <v>Medium</v>
      </c>
    </row>
    <row r="3228" spans="1:10">
      <c r="A3228" s="7" t="s">
        <v>3313</v>
      </c>
      <c r="B3228" s="18" t="s">
        <v>2316</v>
      </c>
      <c r="C3228" s="19" t="s">
        <v>2164</v>
      </c>
      <c r="D3228" s="22">
        <v>370000</v>
      </c>
      <c r="E3228" s="7">
        <v>12</v>
      </c>
      <c r="F3228" s="7">
        <v>3</v>
      </c>
      <c r="G3228" s="7">
        <v>2</v>
      </c>
      <c r="H3228" s="12">
        <v>1723</v>
      </c>
      <c r="I3228" s="8">
        <f t="shared" si="100"/>
        <v>214.74172954149739</v>
      </c>
      <c r="J3228" s="3" t="str">
        <f t="shared" si="101"/>
        <v>Medium</v>
      </c>
    </row>
    <row r="3229" spans="1:10">
      <c r="A3229" s="4" t="s">
        <v>3314</v>
      </c>
      <c r="B3229" s="16" t="s">
        <v>2181</v>
      </c>
      <c r="C3229" s="17" t="s">
        <v>2164</v>
      </c>
      <c r="D3229" s="21">
        <v>370000</v>
      </c>
      <c r="E3229" s="4">
        <v>3</v>
      </c>
      <c r="F3229" s="4">
        <v>3</v>
      </c>
      <c r="G3229" s="4">
        <v>2.1</v>
      </c>
      <c r="H3229" s="10">
        <v>2180</v>
      </c>
      <c r="I3229" s="5">
        <f t="shared" si="100"/>
        <v>169.72477064220183</v>
      </c>
      <c r="J3229" s="3" t="str">
        <f t="shared" si="101"/>
        <v>Low</v>
      </c>
    </row>
    <row r="3230" spans="1:10">
      <c r="A3230" s="7" t="s">
        <v>3315</v>
      </c>
      <c r="B3230" s="18" t="s">
        <v>2252</v>
      </c>
      <c r="C3230" s="19" t="s">
        <v>2164</v>
      </c>
      <c r="D3230" s="22">
        <v>370000</v>
      </c>
      <c r="E3230" s="7">
        <v>5</v>
      </c>
      <c r="F3230" s="7">
        <v>3</v>
      </c>
      <c r="G3230" s="7">
        <v>2.1</v>
      </c>
      <c r="H3230" s="12">
        <v>1697</v>
      </c>
      <c r="I3230" s="8">
        <f t="shared" si="100"/>
        <v>218.03182086034178</v>
      </c>
      <c r="J3230" s="3" t="str">
        <f t="shared" si="101"/>
        <v>Medium</v>
      </c>
    </row>
    <row r="3231" spans="1:10">
      <c r="A3231" s="4" t="s">
        <v>3316</v>
      </c>
      <c r="B3231" s="16" t="s">
        <v>2938</v>
      </c>
      <c r="C3231" s="17" t="s">
        <v>2164</v>
      </c>
      <c r="D3231" s="21">
        <v>370000</v>
      </c>
      <c r="E3231" s="4">
        <v>47</v>
      </c>
      <c r="F3231" s="4">
        <v>4</v>
      </c>
      <c r="G3231" s="4">
        <v>2.1</v>
      </c>
      <c r="H3231" s="10">
        <v>2265</v>
      </c>
      <c r="I3231" s="5">
        <f t="shared" si="100"/>
        <v>163.35540838852097</v>
      </c>
      <c r="J3231" s="3" t="str">
        <f t="shared" si="101"/>
        <v>Low</v>
      </c>
    </row>
    <row r="3232" spans="1:10">
      <c r="A3232" s="7" t="s">
        <v>3317</v>
      </c>
      <c r="B3232" s="18" t="s">
        <v>2163</v>
      </c>
      <c r="C3232" s="19" t="s">
        <v>2164</v>
      </c>
      <c r="D3232" s="22">
        <v>370000</v>
      </c>
      <c r="E3232" s="7">
        <v>7</v>
      </c>
      <c r="F3232" s="7">
        <v>3</v>
      </c>
      <c r="G3232" s="7">
        <v>2</v>
      </c>
      <c r="H3232" s="12">
        <v>1631</v>
      </c>
      <c r="I3232" s="8">
        <f t="shared" si="100"/>
        <v>226.85469037400367</v>
      </c>
      <c r="J3232" s="3" t="str">
        <f t="shared" si="101"/>
        <v>Medium</v>
      </c>
    </row>
    <row r="3233" spans="1:10">
      <c r="A3233" s="4" t="s">
        <v>3318</v>
      </c>
      <c r="B3233" s="16" t="s">
        <v>2181</v>
      </c>
      <c r="C3233" s="17" t="s">
        <v>2164</v>
      </c>
      <c r="D3233" s="21">
        <v>370000</v>
      </c>
      <c r="E3233" s="4">
        <v>6</v>
      </c>
      <c r="F3233" s="4">
        <v>3</v>
      </c>
      <c r="G3233" s="4">
        <v>2.1</v>
      </c>
      <c r="H3233" s="10">
        <v>1844</v>
      </c>
      <c r="I3233" s="5">
        <f t="shared" si="100"/>
        <v>200.65075921908894</v>
      </c>
      <c r="J3233" s="3" t="str">
        <f t="shared" si="101"/>
        <v>Medium</v>
      </c>
    </row>
    <row r="3234" spans="1:10">
      <c r="A3234" s="7" t="s">
        <v>3319</v>
      </c>
      <c r="B3234" s="18" t="s">
        <v>2563</v>
      </c>
      <c r="C3234" s="19" t="s">
        <v>2164</v>
      </c>
      <c r="D3234" s="22">
        <v>370000</v>
      </c>
      <c r="E3234" s="7">
        <v>5</v>
      </c>
      <c r="F3234" s="7">
        <v>3</v>
      </c>
      <c r="G3234" s="7">
        <v>1.1000000000000001</v>
      </c>
      <c r="H3234" s="12">
        <v>1550</v>
      </c>
      <c r="I3234" s="8">
        <f t="shared" si="100"/>
        <v>238.70967741935485</v>
      </c>
      <c r="J3234" s="3" t="str">
        <f t="shared" si="101"/>
        <v>Medium</v>
      </c>
    </row>
    <row r="3235" spans="1:10">
      <c r="A3235" s="4" t="s">
        <v>3320</v>
      </c>
      <c r="B3235" s="16" t="s">
        <v>2181</v>
      </c>
      <c r="C3235" s="17" t="s">
        <v>2164</v>
      </c>
      <c r="D3235" s="21">
        <v>370000</v>
      </c>
      <c r="E3235" s="4">
        <v>463</v>
      </c>
      <c r="F3235" s="4">
        <v>3</v>
      </c>
      <c r="G3235" s="4">
        <v>2.1</v>
      </c>
      <c r="H3235" s="10">
        <v>1900</v>
      </c>
      <c r="I3235" s="5">
        <f t="shared" si="100"/>
        <v>194.73684210526315</v>
      </c>
      <c r="J3235" s="3" t="str">
        <f t="shared" si="101"/>
        <v>Low</v>
      </c>
    </row>
    <row r="3236" spans="1:10">
      <c r="A3236" s="7" t="s">
        <v>3321</v>
      </c>
      <c r="B3236" s="18" t="s">
        <v>2168</v>
      </c>
      <c r="C3236" s="19" t="s">
        <v>2164</v>
      </c>
      <c r="D3236" s="22">
        <v>370000</v>
      </c>
      <c r="E3236" s="7">
        <v>77</v>
      </c>
      <c r="F3236" s="7">
        <v>4</v>
      </c>
      <c r="G3236" s="7">
        <v>2.1</v>
      </c>
      <c r="H3236" s="12">
        <v>2450</v>
      </c>
      <c r="I3236" s="8">
        <f t="shared" si="100"/>
        <v>151.0204081632653</v>
      </c>
      <c r="J3236" s="3" t="str">
        <f t="shared" si="101"/>
        <v>Low</v>
      </c>
    </row>
    <row r="3237" spans="1:10">
      <c r="A3237" s="4" t="s">
        <v>3322</v>
      </c>
      <c r="B3237" s="16" t="s">
        <v>2163</v>
      </c>
      <c r="C3237" s="17" t="s">
        <v>2164</v>
      </c>
      <c r="D3237" s="21">
        <v>370000</v>
      </c>
      <c r="E3237" s="4">
        <v>60</v>
      </c>
      <c r="F3237" s="4">
        <v>4</v>
      </c>
      <c r="G3237" s="4">
        <v>2.1</v>
      </c>
      <c r="H3237" s="10">
        <v>2106</v>
      </c>
      <c r="I3237" s="5">
        <f t="shared" si="100"/>
        <v>175.68850902184235</v>
      </c>
      <c r="J3237" s="3" t="str">
        <f t="shared" si="101"/>
        <v>Low</v>
      </c>
    </row>
    <row r="3238" spans="1:10">
      <c r="A3238" s="7" t="s">
        <v>3323</v>
      </c>
      <c r="B3238" s="18" t="s">
        <v>2181</v>
      </c>
      <c r="C3238" s="19" t="s">
        <v>2164</v>
      </c>
      <c r="D3238" s="22">
        <v>371800</v>
      </c>
      <c r="E3238" s="7">
        <v>5</v>
      </c>
      <c r="F3238" s="7">
        <v>3</v>
      </c>
      <c r="G3238" s="7">
        <v>2.1</v>
      </c>
      <c r="H3238" s="12">
        <v>1832</v>
      </c>
      <c r="I3238" s="8">
        <f t="shared" si="100"/>
        <v>202.94759825327512</v>
      </c>
      <c r="J3238" s="3" t="str">
        <f t="shared" si="101"/>
        <v>Medium</v>
      </c>
    </row>
    <row r="3239" spans="1:10">
      <c r="A3239" s="4" t="s">
        <v>3324</v>
      </c>
      <c r="B3239" s="16" t="s">
        <v>2193</v>
      </c>
      <c r="C3239" s="17" t="s">
        <v>2164</v>
      </c>
      <c r="D3239" s="21">
        <v>372000</v>
      </c>
      <c r="E3239" s="4">
        <v>4</v>
      </c>
      <c r="F3239" s="4">
        <v>4</v>
      </c>
      <c r="G3239" s="4">
        <v>3</v>
      </c>
      <c r="H3239" s="10">
        <v>1932</v>
      </c>
      <c r="I3239" s="5">
        <f t="shared" si="100"/>
        <v>192.54658385093168</v>
      </c>
      <c r="J3239" s="3" t="str">
        <f t="shared" si="101"/>
        <v>Low</v>
      </c>
    </row>
    <row r="3240" spans="1:10">
      <c r="A3240" s="7" t="s">
        <v>3325</v>
      </c>
      <c r="B3240" s="18" t="s">
        <v>2316</v>
      </c>
      <c r="C3240" s="19" t="s">
        <v>2164</v>
      </c>
      <c r="D3240" s="22">
        <v>375000</v>
      </c>
      <c r="E3240" s="7">
        <v>3</v>
      </c>
      <c r="F3240" s="7">
        <v>4</v>
      </c>
      <c r="G3240" s="7">
        <v>2.1</v>
      </c>
      <c r="H3240" s="12">
        <v>2017</v>
      </c>
      <c r="I3240" s="8">
        <f t="shared" si="100"/>
        <v>185.91968269707488</v>
      </c>
      <c r="J3240" s="3" t="str">
        <f t="shared" si="101"/>
        <v>Low</v>
      </c>
    </row>
    <row r="3241" spans="1:10">
      <c r="A3241" s="4" t="s">
        <v>3326</v>
      </c>
      <c r="B3241" s="16" t="s">
        <v>2193</v>
      </c>
      <c r="C3241" s="17" t="s">
        <v>2164</v>
      </c>
      <c r="D3241" s="21">
        <v>375000</v>
      </c>
      <c r="E3241" s="4">
        <v>4</v>
      </c>
      <c r="F3241" s="4">
        <v>3</v>
      </c>
      <c r="G3241" s="4">
        <v>3.1</v>
      </c>
      <c r="H3241" s="10">
        <v>1588</v>
      </c>
      <c r="I3241" s="5">
        <f t="shared" si="100"/>
        <v>236.14609571788412</v>
      </c>
      <c r="J3241" s="3" t="str">
        <f t="shared" si="101"/>
        <v>Medium</v>
      </c>
    </row>
    <row r="3242" spans="1:10">
      <c r="A3242" s="7" t="s">
        <v>3327</v>
      </c>
      <c r="B3242" s="18" t="s">
        <v>2163</v>
      </c>
      <c r="C3242" s="19" t="s">
        <v>2164</v>
      </c>
      <c r="D3242" s="22">
        <v>375000</v>
      </c>
      <c r="E3242" s="7">
        <v>13</v>
      </c>
      <c r="F3242" s="7">
        <v>3</v>
      </c>
      <c r="G3242" s="7">
        <v>3</v>
      </c>
      <c r="H3242" s="12">
        <v>2137</v>
      </c>
      <c r="I3242" s="8">
        <f t="shared" si="100"/>
        <v>175.47964436125409</v>
      </c>
      <c r="J3242" s="3" t="str">
        <f t="shared" si="101"/>
        <v>Low</v>
      </c>
    </row>
    <row r="3243" spans="1:10">
      <c r="A3243" s="4" t="s">
        <v>3328</v>
      </c>
      <c r="B3243" s="16" t="s">
        <v>2163</v>
      </c>
      <c r="C3243" s="17" t="s">
        <v>2164</v>
      </c>
      <c r="D3243" s="21">
        <v>375000</v>
      </c>
      <c r="E3243" s="4">
        <v>17</v>
      </c>
      <c r="F3243" s="4">
        <v>3</v>
      </c>
      <c r="G3243" s="4">
        <v>2.1</v>
      </c>
      <c r="H3243" s="10">
        <v>2158</v>
      </c>
      <c r="I3243" s="5">
        <f t="shared" si="100"/>
        <v>173.77201112140872</v>
      </c>
      <c r="J3243" s="3" t="str">
        <f t="shared" si="101"/>
        <v>Low</v>
      </c>
    </row>
    <row r="3244" spans="1:10">
      <c r="A3244" s="7" t="s">
        <v>3329</v>
      </c>
      <c r="B3244" s="18" t="s">
        <v>2193</v>
      </c>
      <c r="C3244" s="19" t="s">
        <v>2164</v>
      </c>
      <c r="D3244" s="22">
        <v>375000</v>
      </c>
      <c r="E3244" s="7">
        <v>12</v>
      </c>
      <c r="F3244" s="7">
        <v>4</v>
      </c>
      <c r="G3244" s="7">
        <v>3.1</v>
      </c>
      <c r="H3244" s="12">
        <v>2100</v>
      </c>
      <c r="I3244" s="8">
        <f t="shared" si="100"/>
        <v>178.57142857142858</v>
      </c>
      <c r="J3244" s="3" t="str">
        <f t="shared" si="101"/>
        <v>Low</v>
      </c>
    </row>
    <row r="3245" spans="1:10">
      <c r="A3245" s="4" t="s">
        <v>3330</v>
      </c>
      <c r="B3245" s="16" t="s">
        <v>2210</v>
      </c>
      <c r="C3245" s="17" t="s">
        <v>2164</v>
      </c>
      <c r="D3245" s="21">
        <v>375000</v>
      </c>
      <c r="E3245" s="4">
        <v>78</v>
      </c>
      <c r="F3245" s="4">
        <v>3</v>
      </c>
      <c r="G3245" s="4">
        <v>2</v>
      </c>
      <c r="H3245" s="10">
        <v>2383</v>
      </c>
      <c r="I3245" s="5">
        <f t="shared" si="100"/>
        <v>157.36466638690726</v>
      </c>
      <c r="J3245" s="3" t="str">
        <f t="shared" si="101"/>
        <v>Low</v>
      </c>
    </row>
    <row r="3246" spans="1:10">
      <c r="A3246" s="7" t="s">
        <v>3331</v>
      </c>
      <c r="B3246" s="18" t="s">
        <v>2163</v>
      </c>
      <c r="C3246" s="19" t="s">
        <v>2164</v>
      </c>
      <c r="D3246" s="22">
        <v>375000</v>
      </c>
      <c r="E3246" s="7">
        <v>88</v>
      </c>
      <c r="F3246" s="7">
        <v>4</v>
      </c>
      <c r="G3246" s="7">
        <v>2</v>
      </c>
      <c r="H3246" s="12">
        <v>2473</v>
      </c>
      <c r="I3246" s="8">
        <f t="shared" si="100"/>
        <v>151.637687019814</v>
      </c>
      <c r="J3246" s="3" t="str">
        <f t="shared" si="101"/>
        <v>Low</v>
      </c>
    </row>
    <row r="3247" spans="1:10">
      <c r="A3247" s="4" t="s">
        <v>3332</v>
      </c>
      <c r="B3247" s="16" t="s">
        <v>2163</v>
      </c>
      <c r="C3247" s="17" t="s">
        <v>2164</v>
      </c>
      <c r="D3247" s="21">
        <v>377500</v>
      </c>
      <c r="E3247" s="4">
        <v>1</v>
      </c>
      <c r="F3247" s="4">
        <v>3</v>
      </c>
      <c r="G3247" s="4">
        <v>2.1</v>
      </c>
      <c r="H3247" s="10">
        <v>1769</v>
      </c>
      <c r="I3247" s="5">
        <f t="shared" si="100"/>
        <v>213.39739966082533</v>
      </c>
      <c r="J3247" s="3" t="str">
        <f t="shared" si="101"/>
        <v>Medium</v>
      </c>
    </row>
    <row r="3248" spans="1:10">
      <c r="A3248" s="7" t="s">
        <v>3333</v>
      </c>
      <c r="B3248" s="18" t="s">
        <v>2210</v>
      </c>
      <c r="C3248" s="19" t="s">
        <v>2164</v>
      </c>
      <c r="D3248" s="22">
        <v>378000</v>
      </c>
      <c r="E3248" s="7">
        <v>8</v>
      </c>
      <c r="F3248" s="7">
        <v>3</v>
      </c>
      <c r="G3248" s="7">
        <v>2</v>
      </c>
      <c r="H3248" s="12">
        <v>1505</v>
      </c>
      <c r="I3248" s="8">
        <f t="shared" si="100"/>
        <v>251.16279069767441</v>
      </c>
      <c r="J3248" s="3" t="str">
        <f t="shared" si="101"/>
        <v>Medium</v>
      </c>
    </row>
    <row r="3249" spans="1:10">
      <c r="A3249" s="4" t="s">
        <v>3334</v>
      </c>
      <c r="B3249" s="16" t="s">
        <v>2252</v>
      </c>
      <c r="C3249" s="17" t="s">
        <v>2164</v>
      </c>
      <c r="D3249" s="21">
        <v>379000</v>
      </c>
      <c r="E3249" s="4">
        <v>10</v>
      </c>
      <c r="F3249" s="4">
        <v>3</v>
      </c>
      <c r="G3249" s="4">
        <v>3</v>
      </c>
      <c r="H3249" s="10">
        <v>1644</v>
      </c>
      <c r="I3249" s="5">
        <f t="shared" si="100"/>
        <v>230.53527980535279</v>
      </c>
      <c r="J3249" s="3" t="str">
        <f t="shared" si="101"/>
        <v>Medium</v>
      </c>
    </row>
    <row r="3250" spans="1:10">
      <c r="A3250" s="7" t="s">
        <v>3335</v>
      </c>
      <c r="B3250" s="18" t="s">
        <v>2210</v>
      </c>
      <c r="C3250" s="19" t="s">
        <v>2164</v>
      </c>
      <c r="D3250" s="22">
        <v>379000</v>
      </c>
      <c r="E3250" s="7">
        <v>69</v>
      </c>
      <c r="F3250" s="7">
        <v>4</v>
      </c>
      <c r="G3250" s="7">
        <v>3.1</v>
      </c>
      <c r="H3250" s="12">
        <v>2500</v>
      </c>
      <c r="I3250" s="8">
        <f t="shared" si="100"/>
        <v>151.6</v>
      </c>
      <c r="J3250" s="3" t="str">
        <f t="shared" si="101"/>
        <v>Low</v>
      </c>
    </row>
    <row r="3251" spans="1:10">
      <c r="A3251" s="4" t="s">
        <v>3336</v>
      </c>
      <c r="B3251" s="16" t="s">
        <v>2252</v>
      </c>
      <c r="C3251" s="17" t="s">
        <v>2164</v>
      </c>
      <c r="D3251" s="21">
        <v>379900</v>
      </c>
      <c r="E3251" s="4">
        <v>0</v>
      </c>
      <c r="F3251" s="4">
        <v>3</v>
      </c>
      <c r="G3251" s="4">
        <v>3</v>
      </c>
      <c r="H3251" s="10">
        <v>1967</v>
      </c>
      <c r="I3251" s="5">
        <f t="shared" si="100"/>
        <v>193.1367564819522</v>
      </c>
      <c r="J3251" s="3" t="str">
        <f t="shared" si="101"/>
        <v>Low</v>
      </c>
    </row>
    <row r="3252" spans="1:10">
      <c r="A3252" s="7" t="s">
        <v>3337</v>
      </c>
      <c r="B3252" s="18" t="s">
        <v>2210</v>
      </c>
      <c r="C3252" s="19" t="s">
        <v>2164</v>
      </c>
      <c r="D3252" s="22">
        <v>379900</v>
      </c>
      <c r="E3252" s="7">
        <v>109</v>
      </c>
      <c r="F3252" s="7">
        <v>3</v>
      </c>
      <c r="G3252" s="7">
        <v>2.1</v>
      </c>
      <c r="H3252" s="12">
        <v>1725</v>
      </c>
      <c r="I3252" s="8">
        <f t="shared" si="100"/>
        <v>220.231884057971</v>
      </c>
      <c r="J3252" s="3" t="str">
        <f t="shared" si="101"/>
        <v>Medium</v>
      </c>
    </row>
    <row r="3253" spans="1:10">
      <c r="A3253" s="4" t="s">
        <v>3338</v>
      </c>
      <c r="B3253" s="16" t="s">
        <v>2563</v>
      </c>
      <c r="C3253" s="17" t="s">
        <v>2164</v>
      </c>
      <c r="D3253" s="21">
        <v>380000</v>
      </c>
      <c r="E3253" s="4">
        <v>11</v>
      </c>
      <c r="F3253" s="4">
        <v>3</v>
      </c>
      <c r="G3253" s="4">
        <v>1.1000000000000001</v>
      </c>
      <c r="H3253" s="10">
        <v>1690</v>
      </c>
      <c r="I3253" s="5">
        <f t="shared" si="100"/>
        <v>224.85207100591717</v>
      </c>
      <c r="J3253" s="3" t="str">
        <f t="shared" si="101"/>
        <v>Medium</v>
      </c>
    </row>
    <row r="3254" spans="1:10">
      <c r="A3254" s="7" t="s">
        <v>3339</v>
      </c>
      <c r="B3254" s="18" t="s">
        <v>2163</v>
      </c>
      <c r="C3254" s="19" t="s">
        <v>2164</v>
      </c>
      <c r="D3254" s="22">
        <v>380000</v>
      </c>
      <c r="E3254" s="7">
        <v>4</v>
      </c>
      <c r="F3254" s="7">
        <v>3</v>
      </c>
      <c r="G3254" s="7">
        <v>2.1</v>
      </c>
      <c r="H3254" s="12">
        <v>1891</v>
      </c>
      <c r="I3254" s="8">
        <f t="shared" si="100"/>
        <v>200.9518773135907</v>
      </c>
      <c r="J3254" s="3" t="str">
        <f t="shared" si="101"/>
        <v>Medium</v>
      </c>
    </row>
    <row r="3255" spans="1:10">
      <c r="A3255" s="4" t="s">
        <v>3340</v>
      </c>
      <c r="B3255" s="16" t="s">
        <v>2193</v>
      </c>
      <c r="C3255" s="17" t="s">
        <v>2164</v>
      </c>
      <c r="D3255" s="21">
        <v>380000</v>
      </c>
      <c r="E3255" s="4">
        <v>80</v>
      </c>
      <c r="F3255" s="4">
        <v>4</v>
      </c>
      <c r="G3255" s="4">
        <v>2.1</v>
      </c>
      <c r="H3255" s="10">
        <v>2312</v>
      </c>
      <c r="I3255" s="5">
        <f t="shared" si="100"/>
        <v>164.35986159169551</v>
      </c>
      <c r="J3255" s="3" t="str">
        <f t="shared" si="101"/>
        <v>Low</v>
      </c>
    </row>
    <row r="3256" spans="1:10">
      <c r="A3256" s="7" t="s">
        <v>3341</v>
      </c>
      <c r="B3256" s="18" t="s">
        <v>2163</v>
      </c>
      <c r="C3256" s="19" t="s">
        <v>2164</v>
      </c>
      <c r="D3256" s="22">
        <v>380000</v>
      </c>
      <c r="E3256" s="7">
        <v>34</v>
      </c>
      <c r="F3256" s="7">
        <v>4</v>
      </c>
      <c r="G3256" s="7">
        <v>2.1</v>
      </c>
      <c r="H3256" s="12">
        <v>2707</v>
      </c>
      <c r="I3256" s="8">
        <f t="shared" si="100"/>
        <v>140.37680088659033</v>
      </c>
      <c r="J3256" s="3" t="str">
        <f t="shared" si="101"/>
        <v>Low</v>
      </c>
    </row>
    <row r="3257" spans="1:10">
      <c r="A3257" s="4" t="s">
        <v>3342</v>
      </c>
      <c r="B3257" s="16" t="s">
        <v>2316</v>
      </c>
      <c r="C3257" s="17" t="s">
        <v>2164</v>
      </c>
      <c r="D3257" s="21">
        <v>380000</v>
      </c>
      <c r="E3257" s="4">
        <v>77</v>
      </c>
      <c r="F3257" s="4">
        <v>3</v>
      </c>
      <c r="G3257" s="4">
        <v>3.1</v>
      </c>
      <c r="H3257" s="10">
        <v>2594</v>
      </c>
      <c r="I3257" s="5">
        <f t="shared" si="100"/>
        <v>146.49190439475714</v>
      </c>
      <c r="J3257" s="3" t="str">
        <f t="shared" si="101"/>
        <v>Low</v>
      </c>
    </row>
    <row r="3258" spans="1:10">
      <c r="A3258" s="7" t="s">
        <v>3343</v>
      </c>
      <c r="B3258" s="18" t="s">
        <v>2273</v>
      </c>
      <c r="C3258" s="19" t="s">
        <v>2164</v>
      </c>
      <c r="D3258" s="22">
        <v>380000</v>
      </c>
      <c r="E3258" s="7">
        <v>109</v>
      </c>
      <c r="F3258" s="7">
        <v>5</v>
      </c>
      <c r="G3258" s="7">
        <v>3</v>
      </c>
      <c r="H3258" s="12">
        <v>2592</v>
      </c>
      <c r="I3258" s="8">
        <f t="shared" si="100"/>
        <v>146.60493827160494</v>
      </c>
      <c r="J3258" s="3" t="str">
        <f t="shared" si="101"/>
        <v>Low</v>
      </c>
    </row>
    <row r="3259" spans="1:10">
      <c r="A3259" s="4" t="s">
        <v>3344</v>
      </c>
      <c r="B3259" s="16" t="s">
        <v>2252</v>
      </c>
      <c r="C3259" s="17" t="s">
        <v>2164</v>
      </c>
      <c r="D3259" s="21">
        <v>380000</v>
      </c>
      <c r="E3259" s="4">
        <v>155</v>
      </c>
      <c r="F3259" s="4">
        <v>4</v>
      </c>
      <c r="G3259" s="4">
        <v>3.1</v>
      </c>
      <c r="H3259" s="10">
        <v>1750</v>
      </c>
      <c r="I3259" s="5">
        <f t="shared" si="100"/>
        <v>217.14285714285714</v>
      </c>
      <c r="J3259" s="3" t="str">
        <f t="shared" si="101"/>
        <v>Medium</v>
      </c>
    </row>
    <row r="3260" spans="1:10">
      <c r="A3260" s="7" t="s">
        <v>3345</v>
      </c>
      <c r="B3260" s="18" t="s">
        <v>2181</v>
      </c>
      <c r="C3260" s="19" t="s">
        <v>2164</v>
      </c>
      <c r="D3260" s="22">
        <v>380500</v>
      </c>
      <c r="E3260" s="7">
        <v>4</v>
      </c>
      <c r="F3260" s="7">
        <v>3</v>
      </c>
      <c r="G3260" s="7">
        <v>2.1</v>
      </c>
      <c r="H3260" s="12">
        <v>2067</v>
      </c>
      <c r="I3260" s="8">
        <f t="shared" si="100"/>
        <v>184.08321238509919</v>
      </c>
      <c r="J3260" s="3" t="str">
        <f t="shared" si="101"/>
        <v>Low</v>
      </c>
    </row>
    <row r="3261" spans="1:10">
      <c r="A3261" s="4" t="s">
        <v>3346</v>
      </c>
      <c r="B3261" s="16" t="s">
        <v>2316</v>
      </c>
      <c r="C3261" s="17" t="s">
        <v>2164</v>
      </c>
      <c r="D3261" s="21">
        <v>381000</v>
      </c>
      <c r="E3261" s="4">
        <v>114</v>
      </c>
      <c r="F3261" s="4">
        <v>3</v>
      </c>
      <c r="G3261" s="4">
        <v>2.1</v>
      </c>
      <c r="H3261" s="10">
        <v>2000</v>
      </c>
      <c r="I3261" s="5">
        <f t="shared" si="100"/>
        <v>190.5</v>
      </c>
      <c r="J3261" s="3" t="str">
        <f t="shared" si="101"/>
        <v>Low</v>
      </c>
    </row>
    <row r="3262" spans="1:10">
      <c r="A3262" s="7" t="s">
        <v>3347</v>
      </c>
      <c r="B3262" s="18" t="s">
        <v>2316</v>
      </c>
      <c r="C3262" s="19" t="s">
        <v>2164</v>
      </c>
      <c r="D3262" s="22">
        <v>382000</v>
      </c>
      <c r="E3262" s="7">
        <v>6</v>
      </c>
      <c r="F3262" s="7">
        <v>3</v>
      </c>
      <c r="G3262" s="7">
        <v>1.1000000000000001</v>
      </c>
      <c r="H3262" s="12">
        <v>1454</v>
      </c>
      <c r="I3262" s="8">
        <f t="shared" si="100"/>
        <v>262.72352132049519</v>
      </c>
      <c r="J3262" s="3" t="str">
        <f t="shared" si="101"/>
        <v>Medium</v>
      </c>
    </row>
    <row r="3263" spans="1:10">
      <c r="A3263" s="4" t="s">
        <v>3348</v>
      </c>
      <c r="B3263" s="16" t="s">
        <v>2252</v>
      </c>
      <c r="C3263" s="17" t="s">
        <v>2164</v>
      </c>
      <c r="D3263" s="21">
        <v>382000</v>
      </c>
      <c r="E3263" s="4">
        <v>71</v>
      </c>
      <c r="F3263" s="4">
        <v>4</v>
      </c>
      <c r="G3263" s="4">
        <v>2.1</v>
      </c>
      <c r="H3263" s="10">
        <v>2364</v>
      </c>
      <c r="I3263" s="5">
        <f t="shared" si="100"/>
        <v>161.59052453468698</v>
      </c>
      <c r="J3263" s="3" t="str">
        <f t="shared" si="101"/>
        <v>Low</v>
      </c>
    </row>
    <row r="3264" spans="1:10">
      <c r="A3264" s="7" t="s">
        <v>3349</v>
      </c>
      <c r="B3264" s="18" t="s">
        <v>2181</v>
      </c>
      <c r="C3264" s="19" t="s">
        <v>2164</v>
      </c>
      <c r="D3264" s="22">
        <v>382000</v>
      </c>
      <c r="E3264" s="7">
        <v>7</v>
      </c>
      <c r="F3264" s="7">
        <v>3</v>
      </c>
      <c r="G3264" s="7">
        <v>2.1</v>
      </c>
      <c r="H3264" s="12">
        <v>2007</v>
      </c>
      <c r="I3264" s="8">
        <f t="shared" si="100"/>
        <v>190.33383158943698</v>
      </c>
      <c r="J3264" s="3" t="str">
        <f t="shared" si="101"/>
        <v>Low</v>
      </c>
    </row>
    <row r="3265" spans="1:10">
      <c r="A3265" s="4" t="s">
        <v>3350</v>
      </c>
      <c r="B3265" s="16" t="s">
        <v>2193</v>
      </c>
      <c r="C3265" s="17" t="s">
        <v>2164</v>
      </c>
      <c r="D3265" s="21">
        <v>385000</v>
      </c>
      <c r="E3265" s="4">
        <v>13</v>
      </c>
      <c r="F3265" s="4">
        <v>3</v>
      </c>
      <c r="G3265" s="4">
        <v>2.1</v>
      </c>
      <c r="H3265" s="10">
        <v>1760</v>
      </c>
      <c r="I3265" s="5">
        <f t="shared" si="100"/>
        <v>218.75</v>
      </c>
      <c r="J3265" s="3" t="str">
        <f t="shared" si="101"/>
        <v>Medium</v>
      </c>
    </row>
    <row r="3266" spans="1:10">
      <c r="A3266" s="7" t="s">
        <v>3351</v>
      </c>
      <c r="B3266" s="18" t="s">
        <v>2193</v>
      </c>
      <c r="C3266" s="19" t="s">
        <v>2164</v>
      </c>
      <c r="D3266" s="22">
        <v>385000</v>
      </c>
      <c r="E3266" s="7">
        <v>9</v>
      </c>
      <c r="F3266" s="7">
        <v>3</v>
      </c>
      <c r="G3266" s="7">
        <v>2</v>
      </c>
      <c r="H3266" s="12">
        <v>1955</v>
      </c>
      <c r="I3266" s="8">
        <f t="shared" ref="I3266:I3329" si="102">D3266/H3266</f>
        <v>196.9309462915601</v>
      </c>
      <c r="J3266" s="3" t="str">
        <f t="shared" ref="J3266:J3329" si="103">IF(I3266 &gt; 300, "High", IF(AND(I3266 &lt;= 300, I3266 &gt; 200), "Medium", "Low"))</f>
        <v>Low</v>
      </c>
    </row>
    <row r="3267" spans="1:10">
      <c r="A3267" s="4" t="s">
        <v>3352</v>
      </c>
      <c r="B3267" s="16" t="s">
        <v>2523</v>
      </c>
      <c r="C3267" s="17" t="s">
        <v>2164</v>
      </c>
      <c r="D3267" s="21">
        <v>385000</v>
      </c>
      <c r="E3267" s="4">
        <v>4</v>
      </c>
      <c r="F3267" s="4">
        <v>3</v>
      </c>
      <c r="G3267" s="4">
        <v>2.1</v>
      </c>
      <c r="H3267" s="10">
        <v>1759</v>
      </c>
      <c r="I3267" s="5">
        <f t="shared" si="102"/>
        <v>218.87436043206367</v>
      </c>
      <c r="J3267" s="3" t="str">
        <f t="shared" si="103"/>
        <v>Medium</v>
      </c>
    </row>
    <row r="3268" spans="1:10">
      <c r="A3268" s="7" t="s">
        <v>3353</v>
      </c>
      <c r="B3268" s="18" t="s">
        <v>2181</v>
      </c>
      <c r="C3268" s="19" t="s">
        <v>2164</v>
      </c>
      <c r="D3268" s="22">
        <v>385000</v>
      </c>
      <c r="E3268" s="7">
        <v>7</v>
      </c>
      <c r="F3268" s="7">
        <v>4</v>
      </c>
      <c r="G3268" s="7">
        <v>2.1</v>
      </c>
      <c r="H3268" s="12">
        <v>2392</v>
      </c>
      <c r="I3268" s="8">
        <f t="shared" si="102"/>
        <v>160.95317725752508</v>
      </c>
      <c r="J3268" s="3" t="str">
        <f t="shared" si="103"/>
        <v>Low</v>
      </c>
    </row>
    <row r="3269" spans="1:10">
      <c r="A3269" s="4" t="s">
        <v>3354</v>
      </c>
      <c r="B3269" s="16" t="s">
        <v>2261</v>
      </c>
      <c r="C3269" s="17" t="s">
        <v>2164</v>
      </c>
      <c r="D3269" s="21">
        <v>385000</v>
      </c>
      <c r="E3269" s="4">
        <v>62</v>
      </c>
      <c r="F3269" s="4">
        <v>4</v>
      </c>
      <c r="G3269" s="4">
        <v>2.1</v>
      </c>
      <c r="H3269" s="10">
        <v>2064</v>
      </c>
      <c r="I3269" s="5">
        <f t="shared" si="102"/>
        <v>186.53100775193798</v>
      </c>
      <c r="J3269" s="3" t="str">
        <f t="shared" si="103"/>
        <v>Low</v>
      </c>
    </row>
    <row r="3270" spans="1:10">
      <c r="A3270" s="7" t="s">
        <v>3355</v>
      </c>
      <c r="B3270" s="18" t="s">
        <v>2316</v>
      </c>
      <c r="C3270" s="19" t="s">
        <v>2164</v>
      </c>
      <c r="D3270" s="22">
        <v>388000</v>
      </c>
      <c r="E3270" s="7">
        <v>7</v>
      </c>
      <c r="F3270" s="7">
        <v>3</v>
      </c>
      <c r="G3270" s="7">
        <v>2</v>
      </c>
      <c r="H3270" s="12">
        <v>1726</v>
      </c>
      <c r="I3270" s="8">
        <f t="shared" si="102"/>
        <v>224.79721900347624</v>
      </c>
      <c r="J3270" s="3" t="str">
        <f t="shared" si="103"/>
        <v>Medium</v>
      </c>
    </row>
    <row r="3271" spans="1:10">
      <c r="A3271" s="4" t="s">
        <v>3356</v>
      </c>
      <c r="B3271" s="16" t="s">
        <v>2193</v>
      </c>
      <c r="C3271" s="17" t="s">
        <v>2164</v>
      </c>
      <c r="D3271" s="21">
        <v>388000</v>
      </c>
      <c r="E3271" s="4">
        <v>69</v>
      </c>
      <c r="F3271" s="4">
        <v>5</v>
      </c>
      <c r="G3271" s="4">
        <v>2.1</v>
      </c>
      <c r="H3271" s="10">
        <v>2849</v>
      </c>
      <c r="I3271" s="5">
        <f t="shared" si="102"/>
        <v>136.18813618813618</v>
      </c>
      <c r="J3271" s="3" t="str">
        <f t="shared" si="103"/>
        <v>Low</v>
      </c>
    </row>
    <row r="3272" spans="1:10">
      <c r="A3272" s="7" t="s">
        <v>3357</v>
      </c>
      <c r="B3272" s="18" t="s">
        <v>2181</v>
      </c>
      <c r="C3272" s="19" t="s">
        <v>2164</v>
      </c>
      <c r="D3272" s="22">
        <v>390000</v>
      </c>
      <c r="E3272" s="7">
        <v>10</v>
      </c>
      <c r="F3272" s="7">
        <v>3</v>
      </c>
      <c r="G3272" s="7">
        <v>2.1</v>
      </c>
      <c r="H3272" s="12">
        <v>2090</v>
      </c>
      <c r="I3272" s="8">
        <f t="shared" si="102"/>
        <v>186.60287081339712</v>
      </c>
      <c r="J3272" s="3" t="str">
        <f t="shared" si="103"/>
        <v>Low</v>
      </c>
    </row>
    <row r="3273" spans="1:10">
      <c r="A3273" s="4" t="s">
        <v>3358</v>
      </c>
      <c r="B3273" s="16" t="s">
        <v>2563</v>
      </c>
      <c r="C3273" s="17" t="s">
        <v>2164</v>
      </c>
      <c r="D3273" s="21">
        <v>390000</v>
      </c>
      <c r="E3273" s="4">
        <v>5</v>
      </c>
      <c r="F3273" s="4">
        <v>3</v>
      </c>
      <c r="G3273" s="4">
        <v>2</v>
      </c>
      <c r="H3273" s="10">
        <v>1610</v>
      </c>
      <c r="I3273" s="5">
        <f t="shared" si="102"/>
        <v>242.2360248447205</v>
      </c>
      <c r="J3273" s="3" t="str">
        <f t="shared" si="103"/>
        <v>Medium</v>
      </c>
    </row>
    <row r="3274" spans="1:10">
      <c r="A3274" s="7" t="s">
        <v>3359</v>
      </c>
      <c r="B3274" s="18" t="s">
        <v>2193</v>
      </c>
      <c r="C3274" s="19" t="s">
        <v>2164</v>
      </c>
      <c r="D3274" s="22">
        <v>390000</v>
      </c>
      <c r="E3274" s="7">
        <v>56</v>
      </c>
      <c r="F3274" s="7">
        <v>6</v>
      </c>
      <c r="G3274" s="7">
        <v>3</v>
      </c>
      <c r="H3274" s="12">
        <v>2266</v>
      </c>
      <c r="I3274" s="8">
        <f t="shared" si="102"/>
        <v>172.10944395410414</v>
      </c>
      <c r="J3274" s="3" t="str">
        <f t="shared" si="103"/>
        <v>Low</v>
      </c>
    </row>
    <row r="3275" spans="1:10">
      <c r="A3275" s="4" t="s">
        <v>3360</v>
      </c>
      <c r="B3275" s="16" t="s">
        <v>2407</v>
      </c>
      <c r="C3275" s="17" t="s">
        <v>2164</v>
      </c>
      <c r="D3275" s="21">
        <v>390000</v>
      </c>
      <c r="E3275" s="4">
        <v>44</v>
      </c>
      <c r="F3275" s="4">
        <v>3</v>
      </c>
      <c r="G3275" s="4">
        <v>2.1</v>
      </c>
      <c r="H3275" s="10">
        <v>1300</v>
      </c>
      <c r="I3275" s="5">
        <f t="shared" si="102"/>
        <v>300</v>
      </c>
      <c r="J3275" s="3" t="str">
        <f t="shared" si="103"/>
        <v>Medium</v>
      </c>
    </row>
    <row r="3276" spans="1:10">
      <c r="A3276" s="7" t="s">
        <v>3361</v>
      </c>
      <c r="B3276" s="18" t="s">
        <v>2252</v>
      </c>
      <c r="C3276" s="19" t="s">
        <v>2164</v>
      </c>
      <c r="D3276" s="22">
        <v>390000</v>
      </c>
      <c r="E3276" s="7">
        <v>21</v>
      </c>
      <c r="F3276" s="7">
        <v>4</v>
      </c>
      <c r="G3276" s="7">
        <v>2.1</v>
      </c>
      <c r="H3276" s="12">
        <v>2200</v>
      </c>
      <c r="I3276" s="8">
        <f t="shared" si="102"/>
        <v>177.27272727272728</v>
      </c>
      <c r="J3276" s="3" t="str">
        <f t="shared" si="103"/>
        <v>Low</v>
      </c>
    </row>
    <row r="3277" spans="1:10">
      <c r="A3277" s="4" t="s">
        <v>3362</v>
      </c>
      <c r="B3277" s="16" t="s">
        <v>2210</v>
      </c>
      <c r="C3277" s="17" t="s">
        <v>2164</v>
      </c>
      <c r="D3277" s="21">
        <v>391000</v>
      </c>
      <c r="E3277" s="4">
        <v>32</v>
      </c>
      <c r="F3277" s="4">
        <v>3</v>
      </c>
      <c r="G3277" s="4">
        <v>2.1</v>
      </c>
      <c r="H3277" s="10">
        <v>2541</v>
      </c>
      <c r="I3277" s="5">
        <f t="shared" si="102"/>
        <v>153.87642660369934</v>
      </c>
      <c r="J3277" s="3" t="str">
        <f t="shared" si="103"/>
        <v>Low</v>
      </c>
    </row>
    <row r="3278" spans="1:10">
      <c r="A3278" s="7" t="s">
        <v>3363</v>
      </c>
      <c r="B3278" s="18" t="s">
        <v>2252</v>
      </c>
      <c r="C3278" s="19" t="s">
        <v>2164</v>
      </c>
      <c r="D3278" s="22">
        <v>391888</v>
      </c>
      <c r="E3278" s="7">
        <v>16</v>
      </c>
      <c r="F3278" s="7">
        <v>4</v>
      </c>
      <c r="G3278" s="7">
        <v>2.2000000000000002</v>
      </c>
      <c r="H3278" s="12">
        <v>2927</v>
      </c>
      <c r="I3278" s="8">
        <f t="shared" si="102"/>
        <v>133.88725657669968</v>
      </c>
      <c r="J3278" s="3" t="str">
        <f t="shared" si="103"/>
        <v>Low</v>
      </c>
    </row>
    <row r="3279" spans="1:10">
      <c r="A3279" s="4" t="s">
        <v>3364</v>
      </c>
      <c r="B3279" s="16" t="s">
        <v>2252</v>
      </c>
      <c r="C3279" s="17" t="s">
        <v>2164</v>
      </c>
      <c r="D3279" s="21">
        <v>392000</v>
      </c>
      <c r="E3279" s="4">
        <v>4</v>
      </c>
      <c r="F3279" s="4">
        <v>3</v>
      </c>
      <c r="G3279" s="4">
        <v>3</v>
      </c>
      <c r="H3279" s="10">
        <v>1742</v>
      </c>
      <c r="I3279" s="5">
        <f t="shared" si="102"/>
        <v>225.02870264064293</v>
      </c>
      <c r="J3279" s="3" t="str">
        <f t="shared" si="103"/>
        <v>Medium</v>
      </c>
    </row>
    <row r="3280" spans="1:10">
      <c r="A3280" s="7" t="s">
        <v>3365</v>
      </c>
      <c r="B3280" s="18" t="s">
        <v>2252</v>
      </c>
      <c r="C3280" s="19" t="s">
        <v>2164</v>
      </c>
      <c r="D3280" s="22">
        <v>392000</v>
      </c>
      <c r="E3280" s="7">
        <v>11</v>
      </c>
      <c r="F3280" s="7">
        <v>4</v>
      </c>
      <c r="G3280" s="7">
        <v>2.1</v>
      </c>
      <c r="H3280" s="12">
        <v>2554</v>
      </c>
      <c r="I3280" s="8">
        <f t="shared" si="102"/>
        <v>153.48472983555209</v>
      </c>
      <c r="J3280" s="3" t="str">
        <f t="shared" si="103"/>
        <v>Low</v>
      </c>
    </row>
    <row r="3281" spans="1:10">
      <c r="A3281" s="4" t="s">
        <v>3366</v>
      </c>
      <c r="B3281" s="16" t="s">
        <v>2252</v>
      </c>
      <c r="C3281" s="17" t="s">
        <v>2164</v>
      </c>
      <c r="D3281" s="21">
        <v>394000</v>
      </c>
      <c r="E3281" s="4">
        <v>62</v>
      </c>
      <c r="F3281" s="4">
        <v>3</v>
      </c>
      <c r="G3281" s="4">
        <v>3</v>
      </c>
      <c r="H3281" s="10">
        <v>1936</v>
      </c>
      <c r="I3281" s="5">
        <f t="shared" si="102"/>
        <v>203.51239669421489</v>
      </c>
      <c r="J3281" s="3" t="str">
        <f t="shared" si="103"/>
        <v>Medium</v>
      </c>
    </row>
    <row r="3282" spans="1:10">
      <c r="A3282" s="7" t="s">
        <v>3367</v>
      </c>
      <c r="B3282" s="18" t="s">
        <v>2193</v>
      </c>
      <c r="C3282" s="19" t="s">
        <v>2164</v>
      </c>
      <c r="D3282" s="22">
        <v>394500</v>
      </c>
      <c r="E3282" s="7">
        <v>8</v>
      </c>
      <c r="F3282" s="7">
        <v>5</v>
      </c>
      <c r="G3282" s="7">
        <v>3</v>
      </c>
      <c r="H3282" s="12">
        <v>1578</v>
      </c>
      <c r="I3282" s="8">
        <f t="shared" si="102"/>
        <v>250</v>
      </c>
      <c r="J3282" s="3" t="str">
        <f t="shared" si="103"/>
        <v>Medium</v>
      </c>
    </row>
    <row r="3283" spans="1:10">
      <c r="A3283" s="4" t="s">
        <v>3368</v>
      </c>
      <c r="B3283" s="16" t="s">
        <v>2523</v>
      </c>
      <c r="C3283" s="17" t="s">
        <v>2164</v>
      </c>
      <c r="D3283" s="21">
        <v>395000</v>
      </c>
      <c r="E3283" s="4">
        <v>18</v>
      </c>
      <c r="F3283" s="4">
        <v>4</v>
      </c>
      <c r="G3283" s="4">
        <v>3.1</v>
      </c>
      <c r="H3283" s="10">
        <v>2571</v>
      </c>
      <c r="I3283" s="5">
        <f t="shared" si="102"/>
        <v>153.63671723064957</v>
      </c>
      <c r="J3283" s="3" t="str">
        <f t="shared" si="103"/>
        <v>Low</v>
      </c>
    </row>
    <row r="3284" spans="1:10">
      <c r="A3284" s="7" t="s">
        <v>3369</v>
      </c>
      <c r="B3284" s="18" t="s">
        <v>2252</v>
      </c>
      <c r="C3284" s="19" t="s">
        <v>2164</v>
      </c>
      <c r="D3284" s="22">
        <v>395000</v>
      </c>
      <c r="E3284" s="7">
        <v>52</v>
      </c>
      <c r="F3284" s="7">
        <v>3</v>
      </c>
      <c r="G3284" s="7">
        <v>2</v>
      </c>
      <c r="H3284" s="12">
        <v>1847</v>
      </c>
      <c r="I3284" s="8">
        <f t="shared" si="102"/>
        <v>213.86031402273957</v>
      </c>
      <c r="J3284" s="3" t="str">
        <f t="shared" si="103"/>
        <v>Medium</v>
      </c>
    </row>
    <row r="3285" spans="1:10">
      <c r="A3285" s="4" t="s">
        <v>3370</v>
      </c>
      <c r="B3285" s="16" t="s">
        <v>2163</v>
      </c>
      <c r="C3285" s="17" t="s">
        <v>2164</v>
      </c>
      <c r="D3285" s="21">
        <v>395000</v>
      </c>
      <c r="E3285" s="4">
        <v>65</v>
      </c>
      <c r="F3285" s="4">
        <v>4</v>
      </c>
      <c r="G3285" s="4">
        <v>3.1</v>
      </c>
      <c r="H3285" s="10">
        <v>2372</v>
      </c>
      <c r="I3285" s="5">
        <f t="shared" si="102"/>
        <v>166.52613827993255</v>
      </c>
      <c r="J3285" s="3" t="str">
        <f t="shared" si="103"/>
        <v>Low</v>
      </c>
    </row>
    <row r="3286" spans="1:10">
      <c r="A3286" s="7" t="s">
        <v>3371</v>
      </c>
      <c r="B3286" s="18" t="s">
        <v>2252</v>
      </c>
      <c r="C3286" s="19" t="s">
        <v>2164</v>
      </c>
      <c r="D3286" s="22">
        <v>395000</v>
      </c>
      <c r="E3286" s="7">
        <v>77</v>
      </c>
      <c r="F3286" s="7">
        <v>3</v>
      </c>
      <c r="G3286" s="7">
        <v>2.1</v>
      </c>
      <c r="H3286" s="12">
        <v>2742</v>
      </c>
      <c r="I3286" s="8">
        <f t="shared" si="102"/>
        <v>144.05543398978847</v>
      </c>
      <c r="J3286" s="3" t="str">
        <f t="shared" si="103"/>
        <v>Low</v>
      </c>
    </row>
    <row r="3287" spans="1:10">
      <c r="A3287" s="4" t="s">
        <v>3372</v>
      </c>
      <c r="B3287" s="16" t="s">
        <v>2252</v>
      </c>
      <c r="C3287" s="17" t="s">
        <v>2164</v>
      </c>
      <c r="D3287" s="21">
        <v>397000</v>
      </c>
      <c r="E3287" s="4">
        <v>35</v>
      </c>
      <c r="F3287" s="4">
        <v>3</v>
      </c>
      <c r="G3287" s="4">
        <v>2.1</v>
      </c>
      <c r="H3287" s="10">
        <v>1647</v>
      </c>
      <c r="I3287" s="5">
        <f t="shared" si="102"/>
        <v>241.04432301153614</v>
      </c>
      <c r="J3287" s="3" t="str">
        <f t="shared" si="103"/>
        <v>Medium</v>
      </c>
    </row>
    <row r="3288" spans="1:10">
      <c r="A3288" s="7" t="s">
        <v>3373</v>
      </c>
      <c r="B3288" s="18" t="s">
        <v>2181</v>
      </c>
      <c r="C3288" s="19" t="s">
        <v>2164</v>
      </c>
      <c r="D3288" s="22">
        <v>398000</v>
      </c>
      <c r="E3288" s="7">
        <v>28</v>
      </c>
      <c r="F3288" s="7">
        <v>4</v>
      </c>
      <c r="G3288" s="7">
        <v>2.1</v>
      </c>
      <c r="H3288" s="12">
        <v>2553</v>
      </c>
      <c r="I3288" s="8">
        <f t="shared" si="102"/>
        <v>155.89502546024286</v>
      </c>
      <c r="J3288" s="3" t="str">
        <f t="shared" si="103"/>
        <v>Low</v>
      </c>
    </row>
    <row r="3289" spans="1:10">
      <c r="A3289" s="4" t="s">
        <v>3374</v>
      </c>
      <c r="B3289" s="16" t="s">
        <v>2252</v>
      </c>
      <c r="C3289" s="17" t="s">
        <v>2164</v>
      </c>
      <c r="D3289" s="21">
        <v>399900</v>
      </c>
      <c r="E3289" s="4">
        <v>115</v>
      </c>
      <c r="F3289" s="4">
        <v>3</v>
      </c>
      <c r="G3289" s="4">
        <v>3</v>
      </c>
      <c r="H3289" s="10">
        <v>1950</v>
      </c>
      <c r="I3289" s="5">
        <f t="shared" si="102"/>
        <v>205.07692307692307</v>
      </c>
      <c r="J3289" s="3" t="str">
        <f t="shared" si="103"/>
        <v>Medium</v>
      </c>
    </row>
    <row r="3290" spans="1:10">
      <c r="A3290" s="7" t="s">
        <v>3375</v>
      </c>
      <c r="B3290" s="18" t="s">
        <v>2252</v>
      </c>
      <c r="C3290" s="19" t="s">
        <v>2164</v>
      </c>
      <c r="D3290" s="22">
        <v>400000</v>
      </c>
      <c r="E3290" s="7">
        <v>24</v>
      </c>
      <c r="F3290" s="7">
        <v>3</v>
      </c>
      <c r="G3290" s="7">
        <v>2</v>
      </c>
      <c r="H3290" s="12">
        <v>2453</v>
      </c>
      <c r="I3290" s="8">
        <f t="shared" si="102"/>
        <v>163.06563391765187</v>
      </c>
      <c r="J3290" s="3" t="str">
        <f t="shared" si="103"/>
        <v>Low</v>
      </c>
    </row>
    <row r="3291" spans="1:10">
      <c r="A3291" s="4" t="s">
        <v>3376</v>
      </c>
      <c r="B3291" s="16" t="s">
        <v>2163</v>
      </c>
      <c r="C3291" s="17" t="s">
        <v>2164</v>
      </c>
      <c r="D3291" s="21">
        <v>400000</v>
      </c>
      <c r="E3291" s="4">
        <v>46</v>
      </c>
      <c r="F3291" s="4">
        <v>3</v>
      </c>
      <c r="G3291" s="4">
        <v>2.1</v>
      </c>
      <c r="H3291" s="10">
        <v>1795</v>
      </c>
      <c r="I3291" s="5">
        <f t="shared" si="102"/>
        <v>222.84122562674094</v>
      </c>
      <c r="J3291" s="3" t="str">
        <f t="shared" si="103"/>
        <v>Medium</v>
      </c>
    </row>
    <row r="3292" spans="1:10">
      <c r="A3292" s="7" t="s">
        <v>3377</v>
      </c>
      <c r="B3292" s="18" t="s">
        <v>2316</v>
      </c>
      <c r="C3292" s="19" t="s">
        <v>2164</v>
      </c>
      <c r="D3292" s="22">
        <v>400000</v>
      </c>
      <c r="E3292" s="7">
        <v>8</v>
      </c>
      <c r="F3292" s="7">
        <v>3</v>
      </c>
      <c r="G3292" s="7">
        <v>3.1</v>
      </c>
      <c r="H3292" s="12">
        <v>2064</v>
      </c>
      <c r="I3292" s="8">
        <f t="shared" si="102"/>
        <v>193.79844961240309</v>
      </c>
      <c r="J3292" s="3" t="str">
        <f t="shared" si="103"/>
        <v>Low</v>
      </c>
    </row>
    <row r="3293" spans="1:10">
      <c r="A3293" s="4" t="s">
        <v>3378</v>
      </c>
      <c r="B3293" s="16" t="s">
        <v>2563</v>
      </c>
      <c r="C3293" s="17" t="s">
        <v>2164</v>
      </c>
      <c r="D3293" s="21">
        <v>400000</v>
      </c>
      <c r="E3293" s="4">
        <v>18</v>
      </c>
      <c r="F3293" s="4">
        <v>3</v>
      </c>
      <c r="G3293" s="4">
        <v>2.1</v>
      </c>
      <c r="H3293" s="10">
        <v>1825</v>
      </c>
      <c r="I3293" s="5">
        <f t="shared" si="102"/>
        <v>219.17808219178082</v>
      </c>
      <c r="J3293" s="3" t="str">
        <f t="shared" si="103"/>
        <v>Medium</v>
      </c>
    </row>
    <row r="3294" spans="1:10">
      <c r="A3294" s="7" t="s">
        <v>3379</v>
      </c>
      <c r="B3294" s="18" t="s">
        <v>2181</v>
      </c>
      <c r="C3294" s="19" t="s">
        <v>2164</v>
      </c>
      <c r="D3294" s="22">
        <v>400000</v>
      </c>
      <c r="E3294" s="7">
        <v>7</v>
      </c>
      <c r="F3294" s="7">
        <v>3</v>
      </c>
      <c r="G3294" s="7">
        <v>1.1000000000000001</v>
      </c>
      <c r="H3294" s="12">
        <v>2233</v>
      </c>
      <c r="I3294" s="8">
        <f t="shared" si="102"/>
        <v>179.13121361397222</v>
      </c>
      <c r="J3294" s="3" t="str">
        <f t="shared" si="103"/>
        <v>Low</v>
      </c>
    </row>
    <row r="3295" spans="1:10">
      <c r="A3295" s="4" t="s">
        <v>3380</v>
      </c>
      <c r="B3295" s="16" t="s">
        <v>2938</v>
      </c>
      <c r="C3295" s="17" t="s">
        <v>2164</v>
      </c>
      <c r="D3295" s="21">
        <v>400000</v>
      </c>
      <c r="E3295" s="4">
        <v>74</v>
      </c>
      <c r="F3295" s="4">
        <v>4</v>
      </c>
      <c r="G3295" s="4">
        <v>2.1</v>
      </c>
      <c r="H3295" s="10">
        <v>2441</v>
      </c>
      <c r="I3295" s="5">
        <f t="shared" si="102"/>
        <v>163.8672675133142</v>
      </c>
      <c r="J3295" s="3" t="str">
        <f t="shared" si="103"/>
        <v>Low</v>
      </c>
    </row>
    <row r="3296" spans="1:10">
      <c r="A3296" s="7" t="s">
        <v>3381</v>
      </c>
      <c r="B3296" s="18" t="s">
        <v>2316</v>
      </c>
      <c r="C3296" s="19" t="s">
        <v>2164</v>
      </c>
      <c r="D3296" s="22">
        <v>400000</v>
      </c>
      <c r="E3296" s="7">
        <v>247</v>
      </c>
      <c r="F3296" s="7">
        <v>3</v>
      </c>
      <c r="G3296" s="7">
        <v>1</v>
      </c>
      <c r="H3296" s="7">
        <v>899</v>
      </c>
      <c r="I3296" s="8">
        <f t="shared" si="102"/>
        <v>444.93882091212458</v>
      </c>
      <c r="J3296" s="3" t="str">
        <f t="shared" si="103"/>
        <v>High</v>
      </c>
    </row>
    <row r="3297" spans="1:10">
      <c r="A3297" s="4" t="s">
        <v>3382</v>
      </c>
      <c r="B3297" s="16" t="s">
        <v>2252</v>
      </c>
      <c r="C3297" s="17" t="s">
        <v>2164</v>
      </c>
      <c r="D3297" s="21">
        <v>402900</v>
      </c>
      <c r="E3297" s="4">
        <v>289</v>
      </c>
      <c r="F3297" s="4">
        <v>3</v>
      </c>
      <c r="G3297" s="4">
        <v>2.1</v>
      </c>
      <c r="H3297" s="10">
        <v>2100</v>
      </c>
      <c r="I3297" s="5">
        <f t="shared" si="102"/>
        <v>191.85714285714286</v>
      </c>
      <c r="J3297" s="3" t="str">
        <f t="shared" si="103"/>
        <v>Low</v>
      </c>
    </row>
    <row r="3298" spans="1:10">
      <c r="A3298" s="7" t="s">
        <v>3383</v>
      </c>
      <c r="B3298" s="18" t="s">
        <v>2523</v>
      </c>
      <c r="C3298" s="19" t="s">
        <v>2164</v>
      </c>
      <c r="D3298" s="22">
        <v>405000</v>
      </c>
      <c r="E3298" s="7">
        <v>8</v>
      </c>
      <c r="F3298" s="7">
        <v>3</v>
      </c>
      <c r="G3298" s="7">
        <v>2.1</v>
      </c>
      <c r="H3298" s="12">
        <v>2106</v>
      </c>
      <c r="I3298" s="8">
        <f t="shared" si="102"/>
        <v>192.30769230769232</v>
      </c>
      <c r="J3298" s="3" t="str">
        <f t="shared" si="103"/>
        <v>Low</v>
      </c>
    </row>
    <row r="3299" spans="1:10">
      <c r="A3299" s="4" t="s">
        <v>3384</v>
      </c>
      <c r="B3299" s="16" t="s">
        <v>2252</v>
      </c>
      <c r="C3299" s="17" t="s">
        <v>2164</v>
      </c>
      <c r="D3299" s="21">
        <v>406000</v>
      </c>
      <c r="E3299" s="4">
        <v>66</v>
      </c>
      <c r="F3299" s="4">
        <v>3</v>
      </c>
      <c r="G3299" s="4">
        <v>3</v>
      </c>
      <c r="H3299" s="10">
        <v>1950</v>
      </c>
      <c r="I3299" s="5">
        <f t="shared" si="102"/>
        <v>208.2051282051282</v>
      </c>
      <c r="J3299" s="3" t="str">
        <f t="shared" si="103"/>
        <v>Medium</v>
      </c>
    </row>
    <row r="3300" spans="1:10">
      <c r="A3300" s="7" t="s">
        <v>3385</v>
      </c>
      <c r="B3300" s="18" t="s">
        <v>2252</v>
      </c>
      <c r="C3300" s="19" t="s">
        <v>2164</v>
      </c>
      <c r="D3300" s="22">
        <v>408100</v>
      </c>
      <c r="E3300" s="7">
        <v>34</v>
      </c>
      <c r="F3300" s="7">
        <v>3</v>
      </c>
      <c r="G3300" s="7">
        <v>2.1</v>
      </c>
      <c r="H3300" s="12">
        <v>2100</v>
      </c>
      <c r="I3300" s="8">
        <f t="shared" si="102"/>
        <v>194.33333333333334</v>
      </c>
      <c r="J3300" s="3" t="str">
        <f t="shared" si="103"/>
        <v>Low</v>
      </c>
    </row>
    <row r="3301" spans="1:10">
      <c r="A3301" s="4" t="s">
        <v>3386</v>
      </c>
      <c r="B3301" s="16" t="s">
        <v>2163</v>
      </c>
      <c r="C3301" s="17" t="s">
        <v>2164</v>
      </c>
      <c r="D3301" s="21">
        <v>410000</v>
      </c>
      <c r="E3301" s="4">
        <v>2</v>
      </c>
      <c r="F3301" s="4">
        <v>4</v>
      </c>
      <c r="G3301" s="4">
        <v>2.1</v>
      </c>
      <c r="H3301" s="10">
        <v>2898</v>
      </c>
      <c r="I3301" s="5">
        <f t="shared" si="102"/>
        <v>141.47688060731539</v>
      </c>
      <c r="J3301" s="3" t="str">
        <f t="shared" si="103"/>
        <v>Low</v>
      </c>
    </row>
    <row r="3302" spans="1:10">
      <c r="A3302" s="7" t="s">
        <v>3387</v>
      </c>
      <c r="B3302" s="18" t="s">
        <v>2193</v>
      </c>
      <c r="C3302" s="19" t="s">
        <v>2164</v>
      </c>
      <c r="D3302" s="22">
        <v>410000</v>
      </c>
      <c r="E3302" s="7">
        <v>2</v>
      </c>
      <c r="F3302" s="7">
        <v>3</v>
      </c>
      <c r="G3302" s="7">
        <v>3.1</v>
      </c>
      <c r="H3302" s="12">
        <v>1636</v>
      </c>
      <c r="I3302" s="8">
        <f t="shared" si="102"/>
        <v>250.61124694376528</v>
      </c>
      <c r="J3302" s="3" t="str">
        <f t="shared" si="103"/>
        <v>Medium</v>
      </c>
    </row>
    <row r="3303" spans="1:10">
      <c r="A3303" s="4" t="s">
        <v>3388</v>
      </c>
      <c r="B3303" s="16" t="s">
        <v>2252</v>
      </c>
      <c r="C3303" s="17" t="s">
        <v>2164</v>
      </c>
      <c r="D3303" s="21">
        <v>410000</v>
      </c>
      <c r="E3303" s="4">
        <v>37</v>
      </c>
      <c r="F3303" s="4">
        <v>3</v>
      </c>
      <c r="G3303" s="4">
        <v>2</v>
      </c>
      <c r="H3303" s="10">
        <v>1850</v>
      </c>
      <c r="I3303" s="5">
        <f t="shared" si="102"/>
        <v>221.62162162162161</v>
      </c>
      <c r="J3303" s="3" t="str">
        <f t="shared" si="103"/>
        <v>Medium</v>
      </c>
    </row>
    <row r="3304" spans="1:10">
      <c r="A3304" s="7" t="s">
        <v>3389</v>
      </c>
      <c r="B3304" s="18" t="s">
        <v>2316</v>
      </c>
      <c r="C3304" s="19" t="s">
        <v>2164</v>
      </c>
      <c r="D3304" s="22">
        <v>410000</v>
      </c>
      <c r="E3304" s="7">
        <v>28</v>
      </c>
      <c r="F3304" s="7">
        <v>3</v>
      </c>
      <c r="G3304" s="7">
        <v>2.1</v>
      </c>
      <c r="H3304" s="12">
        <v>2076</v>
      </c>
      <c r="I3304" s="8">
        <f t="shared" si="102"/>
        <v>197.49518304431598</v>
      </c>
      <c r="J3304" s="3" t="str">
        <f t="shared" si="103"/>
        <v>Low</v>
      </c>
    </row>
    <row r="3305" spans="1:10">
      <c r="A3305" s="4" t="s">
        <v>3390</v>
      </c>
      <c r="B3305" s="16" t="s">
        <v>2252</v>
      </c>
      <c r="C3305" s="17" t="s">
        <v>2164</v>
      </c>
      <c r="D3305" s="21">
        <v>410000</v>
      </c>
      <c r="E3305" s="4">
        <v>246</v>
      </c>
      <c r="F3305" s="4">
        <v>3</v>
      </c>
      <c r="G3305" s="4">
        <v>2.1</v>
      </c>
      <c r="H3305" s="10">
        <v>2180</v>
      </c>
      <c r="I3305" s="5">
        <f t="shared" si="102"/>
        <v>188.07339449541286</v>
      </c>
      <c r="J3305" s="3" t="str">
        <f t="shared" si="103"/>
        <v>Low</v>
      </c>
    </row>
    <row r="3306" spans="1:10">
      <c r="A3306" s="7" t="s">
        <v>3391</v>
      </c>
      <c r="B3306" s="18" t="s">
        <v>2193</v>
      </c>
      <c r="C3306" s="19" t="s">
        <v>2164</v>
      </c>
      <c r="D3306" s="22">
        <v>410100</v>
      </c>
      <c r="E3306" s="7">
        <v>0</v>
      </c>
      <c r="F3306" s="7">
        <v>3</v>
      </c>
      <c r="G3306" s="7">
        <v>2.1</v>
      </c>
      <c r="H3306" s="12">
        <v>1915</v>
      </c>
      <c r="I3306" s="8">
        <f t="shared" si="102"/>
        <v>214.1514360313316</v>
      </c>
      <c r="J3306" s="3" t="str">
        <f t="shared" si="103"/>
        <v>Medium</v>
      </c>
    </row>
    <row r="3307" spans="1:10">
      <c r="A3307" s="4" t="s">
        <v>3392</v>
      </c>
      <c r="B3307" s="16" t="s">
        <v>2193</v>
      </c>
      <c r="C3307" s="17" t="s">
        <v>2164</v>
      </c>
      <c r="D3307" s="21">
        <v>412430</v>
      </c>
      <c r="E3307" s="4">
        <v>0</v>
      </c>
      <c r="F3307" s="4">
        <v>4</v>
      </c>
      <c r="G3307" s="4">
        <v>2.1</v>
      </c>
      <c r="H3307" s="10">
        <v>2285</v>
      </c>
      <c r="I3307" s="5">
        <f t="shared" si="102"/>
        <v>180.49452954048141</v>
      </c>
      <c r="J3307" s="3" t="str">
        <f t="shared" si="103"/>
        <v>Low</v>
      </c>
    </row>
    <row r="3308" spans="1:10">
      <c r="A3308" s="7" t="s">
        <v>3393</v>
      </c>
      <c r="B3308" s="18" t="s">
        <v>2193</v>
      </c>
      <c r="C3308" s="19" t="s">
        <v>2164</v>
      </c>
      <c r="D3308" s="22">
        <v>413625</v>
      </c>
      <c r="E3308" s="7">
        <v>0</v>
      </c>
      <c r="F3308" s="7">
        <v>3</v>
      </c>
      <c r="G3308" s="7">
        <v>2.1</v>
      </c>
      <c r="H3308" s="12">
        <v>1915</v>
      </c>
      <c r="I3308" s="8">
        <f t="shared" si="102"/>
        <v>215.99216710182768</v>
      </c>
      <c r="J3308" s="3" t="str">
        <f t="shared" si="103"/>
        <v>Medium</v>
      </c>
    </row>
    <row r="3309" spans="1:10">
      <c r="A3309" s="4" t="s">
        <v>3394</v>
      </c>
      <c r="B3309" s="16" t="s">
        <v>2316</v>
      </c>
      <c r="C3309" s="17" t="s">
        <v>2164</v>
      </c>
      <c r="D3309" s="21">
        <v>415000</v>
      </c>
      <c r="E3309" s="4">
        <v>10</v>
      </c>
      <c r="F3309" s="4">
        <v>3</v>
      </c>
      <c r="G3309" s="4">
        <v>3</v>
      </c>
      <c r="H3309" s="10">
        <v>1600</v>
      </c>
      <c r="I3309" s="5">
        <f t="shared" si="102"/>
        <v>259.375</v>
      </c>
      <c r="J3309" s="3" t="str">
        <f t="shared" si="103"/>
        <v>Medium</v>
      </c>
    </row>
    <row r="3310" spans="1:10">
      <c r="A3310" s="7" t="s">
        <v>3395</v>
      </c>
      <c r="B3310" s="18" t="s">
        <v>2163</v>
      </c>
      <c r="C3310" s="19" t="s">
        <v>2164</v>
      </c>
      <c r="D3310" s="22">
        <v>415000</v>
      </c>
      <c r="E3310" s="7">
        <v>0</v>
      </c>
      <c r="F3310" s="7">
        <v>3</v>
      </c>
      <c r="G3310" s="7">
        <v>2.1</v>
      </c>
      <c r="H3310" s="12">
        <v>2822</v>
      </c>
      <c r="I3310" s="8">
        <f t="shared" si="102"/>
        <v>147.05882352941177</v>
      </c>
      <c r="J3310" s="3" t="str">
        <f t="shared" si="103"/>
        <v>Low</v>
      </c>
    </row>
    <row r="3311" spans="1:10">
      <c r="A3311" s="4" t="s">
        <v>3396</v>
      </c>
      <c r="B3311" s="16" t="s">
        <v>2542</v>
      </c>
      <c r="C3311" s="17" t="s">
        <v>2164</v>
      </c>
      <c r="D3311" s="21">
        <v>415000</v>
      </c>
      <c r="E3311" s="4">
        <v>173</v>
      </c>
      <c r="F3311" s="4">
        <v>3</v>
      </c>
      <c r="G3311" s="4">
        <v>2.1</v>
      </c>
      <c r="H3311" s="10">
        <v>1785</v>
      </c>
      <c r="I3311" s="5">
        <f t="shared" si="102"/>
        <v>232.49299719887955</v>
      </c>
      <c r="J3311" s="3" t="str">
        <f t="shared" si="103"/>
        <v>Medium</v>
      </c>
    </row>
    <row r="3312" spans="1:10">
      <c r="A3312" s="7" t="s">
        <v>3397</v>
      </c>
      <c r="B3312" s="18" t="s">
        <v>2252</v>
      </c>
      <c r="C3312" s="19" t="s">
        <v>2164</v>
      </c>
      <c r="D3312" s="22">
        <v>415900</v>
      </c>
      <c r="E3312" s="7">
        <v>271</v>
      </c>
      <c r="F3312" s="7">
        <v>3</v>
      </c>
      <c r="G3312" s="7">
        <v>2.1</v>
      </c>
      <c r="H3312" s="12">
        <v>2100</v>
      </c>
      <c r="I3312" s="8">
        <f t="shared" si="102"/>
        <v>198.04761904761904</v>
      </c>
      <c r="J3312" s="3" t="str">
        <f t="shared" si="103"/>
        <v>Low</v>
      </c>
    </row>
    <row r="3313" spans="1:10">
      <c r="A3313" s="4" t="s">
        <v>3398</v>
      </c>
      <c r="B3313" s="16" t="s">
        <v>2938</v>
      </c>
      <c r="C3313" s="17" t="s">
        <v>2164</v>
      </c>
      <c r="D3313" s="21">
        <v>417500</v>
      </c>
      <c r="E3313" s="4">
        <v>11</v>
      </c>
      <c r="F3313" s="4">
        <v>4</v>
      </c>
      <c r="G3313" s="4">
        <v>2.1</v>
      </c>
      <c r="H3313" s="10">
        <v>2184</v>
      </c>
      <c r="I3313" s="5">
        <f t="shared" si="102"/>
        <v>191.16300366300365</v>
      </c>
      <c r="J3313" s="3" t="str">
        <f t="shared" si="103"/>
        <v>Low</v>
      </c>
    </row>
    <row r="3314" spans="1:10">
      <c r="A3314" s="7" t="s">
        <v>3399</v>
      </c>
      <c r="B3314" s="18" t="s">
        <v>2523</v>
      </c>
      <c r="C3314" s="19" t="s">
        <v>2164</v>
      </c>
      <c r="D3314" s="22">
        <v>417500</v>
      </c>
      <c r="E3314" s="7">
        <v>6</v>
      </c>
      <c r="F3314" s="7">
        <v>3</v>
      </c>
      <c r="G3314" s="7">
        <v>2.1</v>
      </c>
      <c r="H3314" s="12">
        <v>2030</v>
      </c>
      <c r="I3314" s="8">
        <f t="shared" si="102"/>
        <v>205.66502463054186</v>
      </c>
      <c r="J3314" s="3" t="str">
        <f t="shared" si="103"/>
        <v>Medium</v>
      </c>
    </row>
    <row r="3315" spans="1:10">
      <c r="A3315" s="4" t="s">
        <v>3400</v>
      </c>
      <c r="B3315" s="16" t="s">
        <v>3151</v>
      </c>
      <c r="C3315" s="17" t="s">
        <v>2164</v>
      </c>
      <c r="D3315" s="21">
        <v>418421</v>
      </c>
      <c r="E3315" s="4">
        <v>0</v>
      </c>
      <c r="F3315" s="4">
        <v>3</v>
      </c>
      <c r="G3315" s="4">
        <v>2</v>
      </c>
      <c r="H3315" s="10">
        <v>1740</v>
      </c>
      <c r="I3315" s="5">
        <f t="shared" si="102"/>
        <v>240.47183908045977</v>
      </c>
      <c r="J3315" s="3" t="str">
        <f t="shared" si="103"/>
        <v>Medium</v>
      </c>
    </row>
    <row r="3316" spans="1:10">
      <c r="A3316" s="7" t="s">
        <v>3401</v>
      </c>
      <c r="B3316" s="18" t="s">
        <v>2316</v>
      </c>
      <c r="C3316" s="19" t="s">
        <v>2164</v>
      </c>
      <c r="D3316" s="22">
        <v>419000</v>
      </c>
      <c r="E3316" s="7">
        <v>16</v>
      </c>
      <c r="F3316" s="7">
        <v>0</v>
      </c>
      <c r="G3316" s="7">
        <v>0.1</v>
      </c>
      <c r="H3316" s="12">
        <v>1400</v>
      </c>
      <c r="I3316" s="8">
        <f t="shared" si="102"/>
        <v>299.28571428571428</v>
      </c>
      <c r="J3316" s="3" t="str">
        <f t="shared" si="103"/>
        <v>Medium</v>
      </c>
    </row>
    <row r="3317" spans="1:10">
      <c r="A3317" s="4" t="s">
        <v>3401</v>
      </c>
      <c r="B3317" s="16" t="s">
        <v>2316</v>
      </c>
      <c r="C3317" s="17" t="s">
        <v>2164</v>
      </c>
      <c r="D3317" s="21">
        <v>419000</v>
      </c>
      <c r="E3317" s="4">
        <v>7</v>
      </c>
      <c r="F3317" s="4">
        <v>3</v>
      </c>
      <c r="G3317" s="4">
        <v>2.1</v>
      </c>
      <c r="H3317" s="10">
        <v>1782</v>
      </c>
      <c r="I3317" s="5">
        <f t="shared" si="102"/>
        <v>235.12906846240179</v>
      </c>
      <c r="J3317" s="3" t="str">
        <f t="shared" si="103"/>
        <v>Medium</v>
      </c>
    </row>
    <row r="3318" spans="1:10">
      <c r="A3318" s="7" t="s">
        <v>3402</v>
      </c>
      <c r="B3318" s="18" t="s">
        <v>2181</v>
      </c>
      <c r="C3318" s="19" t="s">
        <v>2164</v>
      </c>
      <c r="D3318" s="22">
        <v>419000</v>
      </c>
      <c r="E3318" s="7">
        <v>73</v>
      </c>
      <c r="F3318" s="7">
        <v>3</v>
      </c>
      <c r="G3318" s="7">
        <v>3</v>
      </c>
      <c r="H3318" s="12">
        <v>2608</v>
      </c>
      <c r="I3318" s="8">
        <f t="shared" si="102"/>
        <v>160.65950920245399</v>
      </c>
      <c r="J3318" s="3" t="str">
        <f t="shared" si="103"/>
        <v>Low</v>
      </c>
    </row>
    <row r="3319" spans="1:10">
      <c r="A3319" s="4" t="s">
        <v>3403</v>
      </c>
      <c r="B3319" s="16" t="s">
        <v>2193</v>
      </c>
      <c r="C3319" s="17" t="s">
        <v>2164</v>
      </c>
      <c r="D3319" s="21">
        <v>420000</v>
      </c>
      <c r="E3319" s="4">
        <v>9</v>
      </c>
      <c r="F3319" s="4">
        <v>5</v>
      </c>
      <c r="G3319" s="4">
        <v>2.2000000000000002</v>
      </c>
      <c r="H3319" s="10">
        <v>2300</v>
      </c>
      <c r="I3319" s="5">
        <f t="shared" si="102"/>
        <v>182.60869565217391</v>
      </c>
      <c r="J3319" s="3" t="str">
        <f t="shared" si="103"/>
        <v>Low</v>
      </c>
    </row>
    <row r="3320" spans="1:10">
      <c r="A3320" s="7" t="s">
        <v>3404</v>
      </c>
      <c r="B3320" s="18" t="s">
        <v>2193</v>
      </c>
      <c r="C3320" s="19" t="s">
        <v>2164</v>
      </c>
      <c r="D3320" s="22">
        <v>420000</v>
      </c>
      <c r="E3320" s="7">
        <v>9</v>
      </c>
      <c r="F3320" s="7">
        <v>4</v>
      </c>
      <c r="G3320" s="7">
        <v>2.2000000000000002</v>
      </c>
      <c r="H3320" s="12">
        <v>2300</v>
      </c>
      <c r="I3320" s="8">
        <f t="shared" si="102"/>
        <v>182.60869565217391</v>
      </c>
      <c r="J3320" s="3" t="str">
        <f t="shared" si="103"/>
        <v>Low</v>
      </c>
    </row>
    <row r="3321" spans="1:10">
      <c r="A3321" s="4" t="s">
        <v>3405</v>
      </c>
      <c r="B3321" s="16" t="s">
        <v>2316</v>
      </c>
      <c r="C3321" s="17" t="s">
        <v>2164</v>
      </c>
      <c r="D3321" s="21">
        <v>420000</v>
      </c>
      <c r="E3321" s="4">
        <v>4</v>
      </c>
      <c r="F3321" s="4">
        <v>3</v>
      </c>
      <c r="G3321" s="4">
        <v>2.1</v>
      </c>
      <c r="H3321" s="10">
        <v>1805</v>
      </c>
      <c r="I3321" s="5">
        <f t="shared" si="102"/>
        <v>232.68698060941827</v>
      </c>
      <c r="J3321" s="3" t="str">
        <f t="shared" si="103"/>
        <v>Medium</v>
      </c>
    </row>
    <row r="3322" spans="1:10">
      <c r="A3322" s="7" t="s">
        <v>3406</v>
      </c>
      <c r="B3322" s="18" t="s">
        <v>2407</v>
      </c>
      <c r="C3322" s="19" t="s">
        <v>2164</v>
      </c>
      <c r="D3322" s="22">
        <v>420000</v>
      </c>
      <c r="E3322" s="7">
        <v>28</v>
      </c>
      <c r="F3322" s="7">
        <v>4</v>
      </c>
      <c r="G3322" s="7">
        <v>2.1</v>
      </c>
      <c r="H3322" s="12">
        <v>2101</v>
      </c>
      <c r="I3322" s="8">
        <f t="shared" si="102"/>
        <v>199.90480723465018</v>
      </c>
      <c r="J3322" s="3" t="str">
        <f t="shared" si="103"/>
        <v>Low</v>
      </c>
    </row>
    <row r="3323" spans="1:10">
      <c r="A3323" s="4" t="s">
        <v>3407</v>
      </c>
      <c r="B3323" s="16" t="s">
        <v>3037</v>
      </c>
      <c r="C3323" s="17" t="s">
        <v>2164</v>
      </c>
      <c r="D3323" s="21">
        <v>420000</v>
      </c>
      <c r="E3323" s="4">
        <v>70</v>
      </c>
      <c r="F3323" s="4">
        <v>3</v>
      </c>
      <c r="G3323" s="4">
        <v>3</v>
      </c>
      <c r="H3323" s="10">
        <v>2073</v>
      </c>
      <c r="I3323" s="5">
        <f t="shared" si="102"/>
        <v>202.60492040520984</v>
      </c>
      <c r="J3323" s="3" t="str">
        <f t="shared" si="103"/>
        <v>Medium</v>
      </c>
    </row>
    <row r="3324" spans="1:10">
      <c r="A3324" s="7" t="s">
        <v>3408</v>
      </c>
      <c r="B3324" s="18" t="s">
        <v>2252</v>
      </c>
      <c r="C3324" s="19" t="s">
        <v>2164</v>
      </c>
      <c r="D3324" s="22">
        <v>420000</v>
      </c>
      <c r="E3324" s="7">
        <v>101</v>
      </c>
      <c r="F3324" s="7">
        <v>4</v>
      </c>
      <c r="G3324" s="7">
        <v>2.2000000000000002</v>
      </c>
      <c r="H3324" s="12">
        <v>2449</v>
      </c>
      <c r="I3324" s="8">
        <f t="shared" si="102"/>
        <v>171.49857084524297</v>
      </c>
      <c r="J3324" s="3" t="str">
        <f t="shared" si="103"/>
        <v>Low</v>
      </c>
    </row>
    <row r="3325" spans="1:10">
      <c r="A3325" s="4" t="s">
        <v>3409</v>
      </c>
      <c r="B3325" s="16" t="s">
        <v>2193</v>
      </c>
      <c r="C3325" s="17" t="s">
        <v>2164</v>
      </c>
      <c r="D3325" s="21">
        <v>420125</v>
      </c>
      <c r="E3325" s="4">
        <v>0</v>
      </c>
      <c r="F3325" s="4">
        <v>4</v>
      </c>
      <c r="G3325" s="4">
        <v>2.1</v>
      </c>
      <c r="H3325" s="10">
        <v>2285</v>
      </c>
      <c r="I3325" s="5">
        <f t="shared" si="102"/>
        <v>183.8621444201313</v>
      </c>
      <c r="J3325" s="3" t="str">
        <f t="shared" si="103"/>
        <v>Low</v>
      </c>
    </row>
    <row r="3326" spans="1:10">
      <c r="A3326" s="7" t="s">
        <v>3410</v>
      </c>
      <c r="B3326" s="18" t="s">
        <v>2163</v>
      </c>
      <c r="C3326" s="19" t="s">
        <v>2164</v>
      </c>
      <c r="D3326" s="22">
        <v>422000</v>
      </c>
      <c r="E3326" s="7">
        <v>8</v>
      </c>
      <c r="F3326" s="7">
        <v>3</v>
      </c>
      <c r="G3326" s="7">
        <v>2</v>
      </c>
      <c r="H3326" s="12">
        <v>2002</v>
      </c>
      <c r="I3326" s="8">
        <f t="shared" si="102"/>
        <v>210.78921078921078</v>
      </c>
      <c r="J3326" s="3" t="str">
        <f t="shared" si="103"/>
        <v>Medium</v>
      </c>
    </row>
    <row r="3327" spans="1:10">
      <c r="A3327" s="4" t="s">
        <v>3411</v>
      </c>
      <c r="B3327" s="16" t="s">
        <v>2163</v>
      </c>
      <c r="C3327" s="17" t="s">
        <v>2164</v>
      </c>
      <c r="D3327" s="21">
        <v>422000</v>
      </c>
      <c r="E3327" s="4">
        <v>20</v>
      </c>
      <c r="F3327" s="4">
        <v>3</v>
      </c>
      <c r="G3327" s="4">
        <v>2.1</v>
      </c>
      <c r="H3327" s="10">
        <v>1835</v>
      </c>
      <c r="I3327" s="5">
        <f t="shared" si="102"/>
        <v>229.97275204359673</v>
      </c>
      <c r="J3327" s="3" t="str">
        <f t="shared" si="103"/>
        <v>Medium</v>
      </c>
    </row>
    <row r="3328" spans="1:10">
      <c r="A3328" s="7" t="s">
        <v>3412</v>
      </c>
      <c r="B3328" s="18" t="s">
        <v>2316</v>
      </c>
      <c r="C3328" s="19" t="s">
        <v>2164</v>
      </c>
      <c r="D3328" s="22">
        <v>422000</v>
      </c>
      <c r="E3328" s="7">
        <v>44</v>
      </c>
      <c r="F3328" s="7">
        <v>4</v>
      </c>
      <c r="G3328" s="7">
        <v>2.1</v>
      </c>
      <c r="H3328" s="12">
        <v>2496</v>
      </c>
      <c r="I3328" s="8">
        <f t="shared" si="102"/>
        <v>169.07051282051282</v>
      </c>
      <c r="J3328" s="3" t="str">
        <f t="shared" si="103"/>
        <v>Low</v>
      </c>
    </row>
    <row r="3329" spans="1:10">
      <c r="A3329" s="4" t="s">
        <v>3413</v>
      </c>
      <c r="B3329" s="16" t="s">
        <v>2316</v>
      </c>
      <c r="C3329" s="17" t="s">
        <v>2164</v>
      </c>
      <c r="D3329" s="21">
        <v>425000</v>
      </c>
      <c r="E3329" s="4">
        <v>12</v>
      </c>
      <c r="F3329" s="4">
        <v>3</v>
      </c>
      <c r="G3329" s="4">
        <v>2</v>
      </c>
      <c r="H3329" s="10">
        <v>2200</v>
      </c>
      <c r="I3329" s="5">
        <f t="shared" si="102"/>
        <v>193.18181818181819</v>
      </c>
      <c r="J3329" s="3" t="str">
        <f t="shared" si="103"/>
        <v>Low</v>
      </c>
    </row>
    <row r="3330" spans="1:10">
      <c r="A3330" s="7" t="s">
        <v>3414</v>
      </c>
      <c r="B3330" s="18" t="s">
        <v>2252</v>
      </c>
      <c r="C3330" s="19" t="s">
        <v>2164</v>
      </c>
      <c r="D3330" s="22">
        <v>425000</v>
      </c>
      <c r="E3330" s="7">
        <v>9</v>
      </c>
      <c r="F3330" s="7">
        <v>4</v>
      </c>
      <c r="G3330" s="7">
        <v>2.2000000000000002</v>
      </c>
      <c r="H3330" s="12">
        <v>2196</v>
      </c>
      <c r="I3330" s="8">
        <f t="shared" ref="I3330:I3393" si="104">D3330/H3330</f>
        <v>193.53369763205828</v>
      </c>
      <c r="J3330" s="3" t="str">
        <f t="shared" ref="J3330:J3393" si="105">IF(I3330 &gt; 300, "High", IF(AND(I3330 &lt;= 300, I3330 &gt; 200), "Medium", "Low"))</f>
        <v>Low</v>
      </c>
    </row>
    <row r="3331" spans="1:10">
      <c r="A3331" s="4" t="s">
        <v>3415</v>
      </c>
      <c r="B3331" s="16" t="s">
        <v>2163</v>
      </c>
      <c r="C3331" s="17" t="s">
        <v>2164</v>
      </c>
      <c r="D3331" s="21">
        <v>425000</v>
      </c>
      <c r="E3331" s="4">
        <v>4</v>
      </c>
      <c r="F3331" s="4">
        <v>3</v>
      </c>
      <c r="G3331" s="4">
        <v>2.1</v>
      </c>
      <c r="H3331" s="10">
        <v>2300</v>
      </c>
      <c r="I3331" s="5">
        <f t="shared" si="104"/>
        <v>184.78260869565219</v>
      </c>
      <c r="J3331" s="3" t="str">
        <f t="shared" si="105"/>
        <v>Low</v>
      </c>
    </row>
    <row r="3332" spans="1:10">
      <c r="A3332" s="7" t="s">
        <v>3416</v>
      </c>
      <c r="B3332" s="18" t="s">
        <v>2252</v>
      </c>
      <c r="C3332" s="19" t="s">
        <v>2164</v>
      </c>
      <c r="D3332" s="22">
        <v>425000</v>
      </c>
      <c r="E3332" s="7">
        <v>72</v>
      </c>
      <c r="F3332" s="7">
        <v>3</v>
      </c>
      <c r="G3332" s="7">
        <v>2.1</v>
      </c>
      <c r="H3332" s="12">
        <v>2012</v>
      </c>
      <c r="I3332" s="8">
        <f t="shared" si="104"/>
        <v>211.23260437375745</v>
      </c>
      <c r="J3332" s="3" t="str">
        <f t="shared" si="105"/>
        <v>Medium</v>
      </c>
    </row>
    <row r="3333" spans="1:10">
      <c r="A3333" s="4" t="s">
        <v>3417</v>
      </c>
      <c r="B3333" s="16" t="s">
        <v>2563</v>
      </c>
      <c r="C3333" s="17" t="s">
        <v>2164</v>
      </c>
      <c r="D3333" s="21">
        <v>425000</v>
      </c>
      <c r="E3333" s="4">
        <v>27</v>
      </c>
      <c r="F3333" s="4">
        <v>3</v>
      </c>
      <c r="G3333" s="4">
        <v>2</v>
      </c>
      <c r="H3333" s="10">
        <v>1700</v>
      </c>
      <c r="I3333" s="5">
        <f t="shared" si="104"/>
        <v>250</v>
      </c>
      <c r="J3333" s="3" t="str">
        <f t="shared" si="105"/>
        <v>Medium</v>
      </c>
    </row>
    <row r="3334" spans="1:10">
      <c r="A3334" s="7" t="s">
        <v>3418</v>
      </c>
      <c r="B3334" s="18" t="s">
        <v>2193</v>
      </c>
      <c r="C3334" s="19" t="s">
        <v>2164</v>
      </c>
      <c r="D3334" s="22">
        <v>425000</v>
      </c>
      <c r="E3334" s="7">
        <v>26</v>
      </c>
      <c r="F3334" s="7">
        <v>3</v>
      </c>
      <c r="G3334" s="7">
        <v>2.1</v>
      </c>
      <c r="H3334" s="12">
        <v>2204</v>
      </c>
      <c r="I3334" s="8">
        <f t="shared" si="104"/>
        <v>192.83121597096189</v>
      </c>
      <c r="J3334" s="3" t="str">
        <f t="shared" si="105"/>
        <v>Low</v>
      </c>
    </row>
    <row r="3335" spans="1:10">
      <c r="A3335" s="4" t="s">
        <v>3419</v>
      </c>
      <c r="B3335" s="16" t="s">
        <v>2252</v>
      </c>
      <c r="C3335" s="17" t="s">
        <v>2164</v>
      </c>
      <c r="D3335" s="21">
        <v>428000</v>
      </c>
      <c r="E3335" s="4">
        <v>7</v>
      </c>
      <c r="F3335" s="4">
        <v>3</v>
      </c>
      <c r="G3335" s="4">
        <v>2.1</v>
      </c>
      <c r="H3335" s="10">
        <v>1900</v>
      </c>
      <c r="I3335" s="5">
        <f t="shared" si="104"/>
        <v>225.26315789473685</v>
      </c>
      <c r="J3335" s="3" t="str">
        <f t="shared" si="105"/>
        <v>Medium</v>
      </c>
    </row>
    <row r="3336" spans="1:10">
      <c r="A3336" s="7" t="s">
        <v>3420</v>
      </c>
      <c r="B3336" s="18" t="s">
        <v>2578</v>
      </c>
      <c r="C3336" s="19" t="s">
        <v>2164</v>
      </c>
      <c r="D3336" s="22">
        <v>429900</v>
      </c>
      <c r="E3336" s="7">
        <v>455</v>
      </c>
      <c r="F3336" s="7">
        <v>4</v>
      </c>
      <c r="G3336" s="7">
        <v>3</v>
      </c>
      <c r="H3336" s="12">
        <v>2010</v>
      </c>
      <c r="I3336" s="8">
        <f t="shared" si="104"/>
        <v>213.88059701492537</v>
      </c>
      <c r="J3336" s="3" t="str">
        <f t="shared" si="105"/>
        <v>Medium</v>
      </c>
    </row>
    <row r="3337" spans="1:10">
      <c r="A3337" s="4" t="s">
        <v>3421</v>
      </c>
      <c r="B3337" s="16" t="s">
        <v>2163</v>
      </c>
      <c r="C3337" s="17" t="s">
        <v>2164</v>
      </c>
      <c r="D3337" s="21">
        <v>430000</v>
      </c>
      <c r="E3337" s="4">
        <v>8</v>
      </c>
      <c r="F3337" s="4">
        <v>3</v>
      </c>
      <c r="G3337" s="4">
        <v>3.1</v>
      </c>
      <c r="H3337" s="10">
        <v>2024</v>
      </c>
      <c r="I3337" s="5">
        <f t="shared" si="104"/>
        <v>212.4505928853755</v>
      </c>
      <c r="J3337" s="3" t="str">
        <f t="shared" si="105"/>
        <v>Medium</v>
      </c>
    </row>
    <row r="3338" spans="1:10">
      <c r="A3338" s="7" t="s">
        <v>3422</v>
      </c>
      <c r="B3338" s="18" t="s">
        <v>2163</v>
      </c>
      <c r="C3338" s="19" t="s">
        <v>2164</v>
      </c>
      <c r="D3338" s="22">
        <v>430000</v>
      </c>
      <c r="E3338" s="7">
        <v>8</v>
      </c>
      <c r="F3338" s="7">
        <v>3</v>
      </c>
      <c r="G3338" s="7">
        <v>3.1</v>
      </c>
      <c r="H3338" s="12">
        <v>2024</v>
      </c>
      <c r="I3338" s="8">
        <f t="shared" si="104"/>
        <v>212.4505928853755</v>
      </c>
      <c r="J3338" s="3" t="str">
        <f t="shared" si="105"/>
        <v>Medium</v>
      </c>
    </row>
    <row r="3339" spans="1:10">
      <c r="A3339" s="4" t="s">
        <v>3423</v>
      </c>
      <c r="B3339" s="16" t="s">
        <v>2181</v>
      </c>
      <c r="C3339" s="17" t="s">
        <v>2164</v>
      </c>
      <c r="D3339" s="21">
        <v>430000</v>
      </c>
      <c r="E3339" s="4">
        <v>6</v>
      </c>
      <c r="F3339" s="4">
        <v>4</v>
      </c>
      <c r="G3339" s="4">
        <v>3</v>
      </c>
      <c r="H3339" s="10">
        <v>1952</v>
      </c>
      <c r="I3339" s="5">
        <f t="shared" si="104"/>
        <v>220.28688524590163</v>
      </c>
      <c r="J3339" s="3" t="str">
        <f t="shared" si="105"/>
        <v>Medium</v>
      </c>
    </row>
    <row r="3340" spans="1:10">
      <c r="A3340" s="7" t="s">
        <v>3424</v>
      </c>
      <c r="B3340" s="18" t="s">
        <v>2407</v>
      </c>
      <c r="C3340" s="19" t="s">
        <v>2164</v>
      </c>
      <c r="D3340" s="22">
        <v>430000</v>
      </c>
      <c r="E3340" s="7">
        <v>22</v>
      </c>
      <c r="F3340" s="7">
        <v>4</v>
      </c>
      <c r="G3340" s="7">
        <v>3.1</v>
      </c>
      <c r="H3340" s="12">
        <v>2203</v>
      </c>
      <c r="I3340" s="8">
        <f t="shared" si="104"/>
        <v>195.18837948252383</v>
      </c>
      <c r="J3340" s="3" t="str">
        <f t="shared" si="105"/>
        <v>Low</v>
      </c>
    </row>
    <row r="3341" spans="1:10">
      <c r="A3341" s="4" t="s">
        <v>3425</v>
      </c>
      <c r="B3341" s="16" t="s">
        <v>2316</v>
      </c>
      <c r="C3341" s="17" t="s">
        <v>2164</v>
      </c>
      <c r="D3341" s="21">
        <v>430000</v>
      </c>
      <c r="E3341" s="4">
        <v>11</v>
      </c>
      <c r="F3341" s="4">
        <v>3</v>
      </c>
      <c r="G3341" s="4">
        <v>3</v>
      </c>
      <c r="H3341" s="10">
        <v>1922</v>
      </c>
      <c r="I3341" s="5">
        <f t="shared" si="104"/>
        <v>223.72528616024974</v>
      </c>
      <c r="J3341" s="3" t="str">
        <f t="shared" si="105"/>
        <v>Medium</v>
      </c>
    </row>
    <row r="3342" spans="1:10">
      <c r="A3342" s="7" t="s">
        <v>3426</v>
      </c>
      <c r="B3342" s="18" t="s">
        <v>2563</v>
      </c>
      <c r="C3342" s="19" t="s">
        <v>2164</v>
      </c>
      <c r="D3342" s="22">
        <v>430000</v>
      </c>
      <c r="E3342" s="7">
        <v>49</v>
      </c>
      <c r="F3342" s="7">
        <v>3</v>
      </c>
      <c r="G3342" s="7">
        <v>2.1</v>
      </c>
      <c r="H3342" s="12">
        <v>2056</v>
      </c>
      <c r="I3342" s="8">
        <f t="shared" si="104"/>
        <v>209.14396887159532</v>
      </c>
      <c r="J3342" s="3" t="str">
        <f t="shared" si="105"/>
        <v>Medium</v>
      </c>
    </row>
    <row r="3343" spans="1:10">
      <c r="A3343" s="4" t="s">
        <v>3427</v>
      </c>
      <c r="B3343" s="16" t="s">
        <v>2316</v>
      </c>
      <c r="C3343" s="17" t="s">
        <v>2164</v>
      </c>
      <c r="D3343" s="21">
        <v>434000</v>
      </c>
      <c r="E3343" s="4">
        <v>68</v>
      </c>
      <c r="F3343" s="4">
        <v>3</v>
      </c>
      <c r="G3343" s="4">
        <v>2.1</v>
      </c>
      <c r="H3343" s="10">
        <v>2200</v>
      </c>
      <c r="I3343" s="5">
        <f t="shared" si="104"/>
        <v>197.27272727272728</v>
      </c>
      <c r="J3343" s="3" t="str">
        <f t="shared" si="105"/>
        <v>Low</v>
      </c>
    </row>
    <row r="3344" spans="1:10">
      <c r="A3344" s="7" t="s">
        <v>3428</v>
      </c>
      <c r="B3344" s="18" t="s">
        <v>2163</v>
      </c>
      <c r="C3344" s="19" t="s">
        <v>2164</v>
      </c>
      <c r="D3344" s="22">
        <v>435000</v>
      </c>
      <c r="E3344" s="7">
        <v>31</v>
      </c>
      <c r="F3344" s="7">
        <v>3</v>
      </c>
      <c r="G3344" s="7">
        <v>2.1</v>
      </c>
      <c r="H3344" s="12">
        <v>1893</v>
      </c>
      <c r="I3344" s="8">
        <f t="shared" si="104"/>
        <v>229.79397781299525</v>
      </c>
      <c r="J3344" s="3" t="str">
        <f t="shared" si="105"/>
        <v>Medium</v>
      </c>
    </row>
    <row r="3345" spans="1:10">
      <c r="A3345" s="4" t="s">
        <v>3429</v>
      </c>
      <c r="B3345" s="16" t="s">
        <v>2163</v>
      </c>
      <c r="C3345" s="17" t="s">
        <v>2164</v>
      </c>
      <c r="D3345" s="21">
        <v>435000</v>
      </c>
      <c r="E3345" s="4">
        <v>57</v>
      </c>
      <c r="F3345" s="4">
        <v>4</v>
      </c>
      <c r="G3345" s="4">
        <v>2.1</v>
      </c>
      <c r="H3345" s="10">
        <v>2860</v>
      </c>
      <c r="I3345" s="5">
        <f t="shared" si="104"/>
        <v>152.09790209790211</v>
      </c>
      <c r="J3345" s="3" t="str">
        <f t="shared" si="105"/>
        <v>Low</v>
      </c>
    </row>
    <row r="3346" spans="1:10">
      <c r="A3346" s="7" t="s">
        <v>3430</v>
      </c>
      <c r="B3346" s="18" t="s">
        <v>2563</v>
      </c>
      <c r="C3346" s="19" t="s">
        <v>2164</v>
      </c>
      <c r="D3346" s="22">
        <v>435000</v>
      </c>
      <c r="E3346" s="7">
        <v>64</v>
      </c>
      <c r="F3346" s="7">
        <v>4</v>
      </c>
      <c r="G3346" s="7">
        <v>2.1</v>
      </c>
      <c r="H3346" s="12">
        <v>2382</v>
      </c>
      <c r="I3346" s="8">
        <f t="shared" si="104"/>
        <v>182.61964735516372</v>
      </c>
      <c r="J3346" s="3" t="str">
        <f t="shared" si="105"/>
        <v>Low</v>
      </c>
    </row>
    <row r="3347" spans="1:10">
      <c r="A3347" s="4" t="s">
        <v>3431</v>
      </c>
      <c r="B3347" s="16" t="s">
        <v>2163</v>
      </c>
      <c r="C3347" s="17" t="s">
        <v>2164</v>
      </c>
      <c r="D3347" s="21">
        <v>437000</v>
      </c>
      <c r="E3347" s="4">
        <v>10</v>
      </c>
      <c r="F3347" s="4">
        <v>3</v>
      </c>
      <c r="G3347" s="4">
        <v>3.1</v>
      </c>
      <c r="H3347" s="10">
        <v>1622</v>
      </c>
      <c r="I3347" s="5">
        <f t="shared" si="104"/>
        <v>269.42046855733662</v>
      </c>
      <c r="J3347" s="3" t="str">
        <f t="shared" si="105"/>
        <v>Medium</v>
      </c>
    </row>
    <row r="3348" spans="1:10">
      <c r="A3348" s="7" t="s">
        <v>3432</v>
      </c>
      <c r="B3348" s="18" t="s">
        <v>2193</v>
      </c>
      <c r="C3348" s="19" t="s">
        <v>2164</v>
      </c>
      <c r="D3348" s="22">
        <v>439725</v>
      </c>
      <c r="E3348" s="7">
        <v>0</v>
      </c>
      <c r="F3348" s="7">
        <v>4</v>
      </c>
      <c r="G3348" s="7">
        <v>2.1</v>
      </c>
      <c r="H3348" s="12">
        <v>2285</v>
      </c>
      <c r="I3348" s="8">
        <f t="shared" si="104"/>
        <v>192.43982494529541</v>
      </c>
      <c r="J3348" s="3" t="str">
        <f t="shared" si="105"/>
        <v>Low</v>
      </c>
    </row>
    <row r="3349" spans="1:10">
      <c r="A3349" s="4" t="s">
        <v>3433</v>
      </c>
      <c r="B3349" s="16" t="s">
        <v>2193</v>
      </c>
      <c r="C3349" s="17" t="s">
        <v>2164</v>
      </c>
      <c r="D3349" s="21">
        <v>440000</v>
      </c>
      <c r="E3349" s="4">
        <v>17</v>
      </c>
      <c r="F3349" s="4">
        <v>4</v>
      </c>
      <c r="G3349" s="4">
        <v>3.1</v>
      </c>
      <c r="H3349" s="10">
        <v>2311</v>
      </c>
      <c r="I3349" s="5">
        <f t="shared" si="104"/>
        <v>190.39376893119862</v>
      </c>
      <c r="J3349" s="3" t="str">
        <f t="shared" si="105"/>
        <v>Low</v>
      </c>
    </row>
    <row r="3350" spans="1:10">
      <c r="A3350" s="7" t="s">
        <v>3434</v>
      </c>
      <c r="B3350" s="18" t="s">
        <v>3151</v>
      </c>
      <c r="C3350" s="19" t="s">
        <v>2164</v>
      </c>
      <c r="D3350" s="22">
        <v>440000</v>
      </c>
      <c r="E3350" s="7">
        <v>62</v>
      </c>
      <c r="F3350" s="7">
        <v>4</v>
      </c>
      <c r="G3350" s="7">
        <v>2.1</v>
      </c>
      <c r="H3350" s="12">
        <v>2200</v>
      </c>
      <c r="I3350" s="8">
        <f t="shared" si="104"/>
        <v>200</v>
      </c>
      <c r="J3350" s="3" t="str">
        <f t="shared" si="105"/>
        <v>Low</v>
      </c>
    </row>
    <row r="3351" spans="1:10">
      <c r="A3351" s="4" t="s">
        <v>3435</v>
      </c>
      <c r="B3351" s="16" t="s">
        <v>2183</v>
      </c>
      <c r="C3351" s="17" t="s">
        <v>2164</v>
      </c>
      <c r="D3351" s="21">
        <v>440000</v>
      </c>
      <c r="E3351" s="4">
        <v>127</v>
      </c>
      <c r="F3351" s="4">
        <v>3</v>
      </c>
      <c r="G3351" s="4">
        <v>2</v>
      </c>
      <c r="H3351" s="10">
        <v>1568</v>
      </c>
      <c r="I3351" s="5">
        <f t="shared" si="104"/>
        <v>280.61224489795916</v>
      </c>
      <c r="J3351" s="3" t="str">
        <f t="shared" si="105"/>
        <v>Medium</v>
      </c>
    </row>
    <row r="3352" spans="1:10">
      <c r="A3352" s="7" t="s">
        <v>3436</v>
      </c>
      <c r="B3352" s="18" t="s">
        <v>2193</v>
      </c>
      <c r="C3352" s="19" t="s">
        <v>2164</v>
      </c>
      <c r="D3352" s="22">
        <v>440560</v>
      </c>
      <c r="E3352" s="7">
        <v>0</v>
      </c>
      <c r="F3352" s="7">
        <v>4</v>
      </c>
      <c r="G3352" s="7">
        <v>2.1</v>
      </c>
      <c r="H3352" s="12">
        <v>2540</v>
      </c>
      <c r="I3352" s="8">
        <f t="shared" si="104"/>
        <v>173.44881889763781</v>
      </c>
      <c r="J3352" s="3" t="str">
        <f t="shared" si="105"/>
        <v>Low</v>
      </c>
    </row>
    <row r="3353" spans="1:10">
      <c r="A3353" s="4" t="s">
        <v>3437</v>
      </c>
      <c r="B3353" s="16" t="s">
        <v>2193</v>
      </c>
      <c r="C3353" s="17" t="s">
        <v>2164</v>
      </c>
      <c r="D3353" s="21">
        <v>443415</v>
      </c>
      <c r="E3353" s="4">
        <v>0</v>
      </c>
      <c r="F3353" s="4">
        <v>4</v>
      </c>
      <c r="G3353" s="4">
        <v>2.1</v>
      </c>
      <c r="H3353" s="10">
        <v>2285</v>
      </c>
      <c r="I3353" s="5">
        <f t="shared" si="104"/>
        <v>194.054704595186</v>
      </c>
      <c r="J3353" s="3" t="str">
        <f t="shared" si="105"/>
        <v>Low</v>
      </c>
    </row>
    <row r="3354" spans="1:10">
      <c r="A3354" s="7" t="s">
        <v>3438</v>
      </c>
      <c r="B3354" s="18" t="s">
        <v>2193</v>
      </c>
      <c r="C3354" s="19" t="s">
        <v>2164</v>
      </c>
      <c r="D3354" s="22">
        <v>444900</v>
      </c>
      <c r="E3354" s="7">
        <v>0</v>
      </c>
      <c r="F3354" s="7">
        <v>4</v>
      </c>
      <c r="G3354" s="7">
        <v>2.1</v>
      </c>
      <c r="H3354" s="12">
        <v>2285</v>
      </c>
      <c r="I3354" s="8">
        <f t="shared" si="104"/>
        <v>194.70459518599563</v>
      </c>
      <c r="J3354" s="3" t="str">
        <f t="shared" si="105"/>
        <v>Low</v>
      </c>
    </row>
    <row r="3355" spans="1:10">
      <c r="A3355" s="4" t="s">
        <v>3439</v>
      </c>
      <c r="B3355" s="16" t="s">
        <v>2407</v>
      </c>
      <c r="C3355" s="17" t="s">
        <v>2164</v>
      </c>
      <c r="D3355" s="21">
        <v>445000</v>
      </c>
      <c r="E3355" s="4">
        <v>84</v>
      </c>
      <c r="F3355" s="4">
        <v>3</v>
      </c>
      <c r="G3355" s="4">
        <v>2</v>
      </c>
      <c r="H3355" s="10">
        <v>1972</v>
      </c>
      <c r="I3355" s="5">
        <f t="shared" si="104"/>
        <v>225.65922920892496</v>
      </c>
      <c r="J3355" s="3" t="str">
        <f t="shared" si="105"/>
        <v>Medium</v>
      </c>
    </row>
    <row r="3356" spans="1:10">
      <c r="A3356" s="7" t="s">
        <v>3440</v>
      </c>
      <c r="B3356" s="18" t="s">
        <v>2163</v>
      </c>
      <c r="C3356" s="19" t="s">
        <v>2164</v>
      </c>
      <c r="D3356" s="22">
        <v>445000</v>
      </c>
      <c r="E3356" s="7">
        <v>68</v>
      </c>
      <c r="F3356" s="7">
        <v>4</v>
      </c>
      <c r="G3356" s="7">
        <v>2.1</v>
      </c>
      <c r="H3356" s="12">
        <v>2776</v>
      </c>
      <c r="I3356" s="8">
        <f t="shared" si="104"/>
        <v>160.30259365994237</v>
      </c>
      <c r="J3356" s="3" t="str">
        <f t="shared" si="105"/>
        <v>Low</v>
      </c>
    </row>
    <row r="3357" spans="1:10">
      <c r="A3357" s="4" t="s">
        <v>3441</v>
      </c>
      <c r="B3357" s="16" t="s">
        <v>2193</v>
      </c>
      <c r="C3357" s="17" t="s">
        <v>2164</v>
      </c>
      <c r="D3357" s="21">
        <v>446275</v>
      </c>
      <c r="E3357" s="4">
        <v>0</v>
      </c>
      <c r="F3357" s="4">
        <v>4</v>
      </c>
      <c r="G3357" s="4">
        <v>3.1</v>
      </c>
      <c r="H3357" s="10">
        <v>2550</v>
      </c>
      <c r="I3357" s="5">
        <f t="shared" si="104"/>
        <v>175.00980392156862</v>
      </c>
      <c r="J3357" s="3" t="str">
        <f t="shared" si="105"/>
        <v>Low</v>
      </c>
    </row>
    <row r="3358" spans="1:10">
      <c r="A3358" s="7" t="s">
        <v>3442</v>
      </c>
      <c r="B3358" s="18" t="s">
        <v>2163</v>
      </c>
      <c r="C3358" s="19" t="s">
        <v>2164</v>
      </c>
      <c r="D3358" s="22">
        <v>449797</v>
      </c>
      <c r="E3358" s="7">
        <v>13</v>
      </c>
      <c r="F3358" s="7">
        <v>3</v>
      </c>
      <c r="G3358" s="7">
        <v>2.1</v>
      </c>
      <c r="H3358" s="12">
        <v>2223</v>
      </c>
      <c r="I3358" s="8">
        <f t="shared" si="104"/>
        <v>202.33783175888439</v>
      </c>
      <c r="J3358" s="3" t="str">
        <f t="shared" si="105"/>
        <v>Medium</v>
      </c>
    </row>
    <row r="3359" spans="1:10">
      <c r="A3359" s="4" t="s">
        <v>3443</v>
      </c>
      <c r="B3359" s="16" t="s">
        <v>2252</v>
      </c>
      <c r="C3359" s="17" t="s">
        <v>2164</v>
      </c>
      <c r="D3359" s="21">
        <v>449900</v>
      </c>
      <c r="E3359" s="4">
        <v>133</v>
      </c>
      <c r="F3359" s="4">
        <v>4</v>
      </c>
      <c r="G3359" s="4">
        <v>2.1</v>
      </c>
      <c r="H3359" s="10">
        <v>2523</v>
      </c>
      <c r="I3359" s="5">
        <f t="shared" si="104"/>
        <v>178.31946095917559</v>
      </c>
      <c r="J3359" s="3" t="str">
        <f t="shared" si="105"/>
        <v>Low</v>
      </c>
    </row>
    <row r="3360" spans="1:10">
      <c r="A3360" s="7" t="s">
        <v>3444</v>
      </c>
      <c r="B3360" s="18" t="s">
        <v>2163</v>
      </c>
      <c r="C3360" s="19" t="s">
        <v>2164</v>
      </c>
      <c r="D3360" s="22">
        <v>450000</v>
      </c>
      <c r="E3360" s="7">
        <v>5</v>
      </c>
      <c r="F3360" s="7">
        <v>3</v>
      </c>
      <c r="G3360" s="7">
        <v>2.1</v>
      </c>
      <c r="H3360" s="12">
        <v>2332</v>
      </c>
      <c r="I3360" s="8">
        <f t="shared" si="104"/>
        <v>192.96740994854201</v>
      </c>
      <c r="J3360" s="3" t="str">
        <f t="shared" si="105"/>
        <v>Low</v>
      </c>
    </row>
    <row r="3361" spans="1:10">
      <c r="A3361" s="4" t="s">
        <v>3445</v>
      </c>
      <c r="B3361" s="16" t="s">
        <v>2563</v>
      </c>
      <c r="C3361" s="17" t="s">
        <v>2164</v>
      </c>
      <c r="D3361" s="21">
        <v>450000</v>
      </c>
      <c r="E3361" s="4">
        <v>3</v>
      </c>
      <c r="F3361" s="4">
        <v>4</v>
      </c>
      <c r="G3361" s="4">
        <v>3</v>
      </c>
      <c r="H3361" s="10">
        <v>2572</v>
      </c>
      <c r="I3361" s="5">
        <f t="shared" si="104"/>
        <v>174.96111975116642</v>
      </c>
      <c r="J3361" s="3" t="str">
        <f t="shared" si="105"/>
        <v>Low</v>
      </c>
    </row>
    <row r="3362" spans="1:10">
      <c r="A3362" s="7" t="s">
        <v>3446</v>
      </c>
      <c r="B3362" s="18" t="s">
        <v>3151</v>
      </c>
      <c r="C3362" s="19" t="s">
        <v>2164</v>
      </c>
      <c r="D3362" s="22">
        <v>450000</v>
      </c>
      <c r="E3362" s="7">
        <v>13</v>
      </c>
      <c r="F3362" s="7">
        <v>3</v>
      </c>
      <c r="G3362" s="7">
        <v>2.1</v>
      </c>
      <c r="H3362" s="12">
        <v>1791</v>
      </c>
      <c r="I3362" s="8">
        <f t="shared" si="104"/>
        <v>251.25628140703517</v>
      </c>
      <c r="J3362" s="3" t="str">
        <f t="shared" si="105"/>
        <v>Medium</v>
      </c>
    </row>
    <row r="3363" spans="1:10">
      <c r="A3363" s="4" t="s">
        <v>3447</v>
      </c>
      <c r="B3363" s="16" t="s">
        <v>2163</v>
      </c>
      <c r="C3363" s="17" t="s">
        <v>2164</v>
      </c>
      <c r="D3363" s="21">
        <v>450000</v>
      </c>
      <c r="E3363" s="4">
        <v>49</v>
      </c>
      <c r="F3363" s="4">
        <v>4</v>
      </c>
      <c r="G3363" s="4">
        <v>2.1</v>
      </c>
      <c r="H3363" s="10">
        <v>2600</v>
      </c>
      <c r="I3363" s="5">
        <f t="shared" si="104"/>
        <v>173.07692307692307</v>
      </c>
      <c r="J3363" s="3" t="str">
        <f t="shared" si="105"/>
        <v>Low</v>
      </c>
    </row>
    <row r="3364" spans="1:10">
      <c r="A3364" s="7" t="s">
        <v>3448</v>
      </c>
      <c r="B3364" s="18" t="s">
        <v>2193</v>
      </c>
      <c r="C3364" s="19" t="s">
        <v>2164</v>
      </c>
      <c r="D3364" s="22">
        <v>450000</v>
      </c>
      <c r="E3364" s="7">
        <v>70</v>
      </c>
      <c r="F3364" s="7">
        <v>4</v>
      </c>
      <c r="G3364" s="7">
        <v>2.2000000000000002</v>
      </c>
      <c r="H3364" s="12">
        <v>2259</v>
      </c>
      <c r="I3364" s="8">
        <f t="shared" si="104"/>
        <v>199.20318725099602</v>
      </c>
      <c r="J3364" s="3" t="str">
        <f t="shared" si="105"/>
        <v>Low</v>
      </c>
    </row>
    <row r="3365" spans="1:10">
      <c r="A3365" s="4" t="s">
        <v>3449</v>
      </c>
      <c r="B3365" s="16" t="s">
        <v>2163</v>
      </c>
      <c r="C3365" s="17" t="s">
        <v>2164</v>
      </c>
      <c r="D3365" s="21">
        <v>452000</v>
      </c>
      <c r="E3365" s="4">
        <v>5</v>
      </c>
      <c r="F3365" s="4">
        <v>4</v>
      </c>
      <c r="G3365" s="4">
        <v>2.1</v>
      </c>
      <c r="H3365" s="10">
        <v>2048</v>
      </c>
      <c r="I3365" s="5">
        <f t="shared" si="104"/>
        <v>220.703125</v>
      </c>
      <c r="J3365" s="3" t="str">
        <f t="shared" si="105"/>
        <v>Medium</v>
      </c>
    </row>
    <row r="3366" spans="1:10">
      <c r="A3366" s="7" t="s">
        <v>3450</v>
      </c>
      <c r="B3366" s="18" t="s">
        <v>2163</v>
      </c>
      <c r="C3366" s="19" t="s">
        <v>2164</v>
      </c>
      <c r="D3366" s="22">
        <v>452000</v>
      </c>
      <c r="E3366" s="7">
        <v>3</v>
      </c>
      <c r="F3366" s="7">
        <v>4</v>
      </c>
      <c r="G3366" s="7">
        <v>2.1</v>
      </c>
      <c r="H3366" s="12">
        <v>2018</v>
      </c>
      <c r="I3366" s="8">
        <f t="shared" si="104"/>
        <v>223.98414271555995</v>
      </c>
      <c r="J3366" s="3" t="str">
        <f t="shared" si="105"/>
        <v>Medium</v>
      </c>
    </row>
    <row r="3367" spans="1:10">
      <c r="A3367" s="4" t="s">
        <v>3451</v>
      </c>
      <c r="B3367" s="16" t="s">
        <v>2193</v>
      </c>
      <c r="C3367" s="17" t="s">
        <v>2164</v>
      </c>
      <c r="D3367" s="21">
        <v>453000</v>
      </c>
      <c r="E3367" s="4">
        <v>5</v>
      </c>
      <c r="F3367" s="4">
        <v>4</v>
      </c>
      <c r="G3367" s="4">
        <v>2.1</v>
      </c>
      <c r="H3367" s="10">
        <v>2268</v>
      </c>
      <c r="I3367" s="5">
        <f t="shared" si="104"/>
        <v>199.73544973544975</v>
      </c>
      <c r="J3367" s="3" t="str">
        <f t="shared" si="105"/>
        <v>Low</v>
      </c>
    </row>
    <row r="3368" spans="1:10">
      <c r="A3368" s="7" t="s">
        <v>3452</v>
      </c>
      <c r="B3368" s="18" t="s">
        <v>2163</v>
      </c>
      <c r="C3368" s="19" t="s">
        <v>2164</v>
      </c>
      <c r="D3368" s="22">
        <v>454900</v>
      </c>
      <c r="E3368" s="7">
        <v>9</v>
      </c>
      <c r="F3368" s="7">
        <v>4</v>
      </c>
      <c r="G3368" s="7">
        <v>2.1</v>
      </c>
      <c r="H3368" s="12">
        <v>2353</v>
      </c>
      <c r="I3368" s="8">
        <f t="shared" si="104"/>
        <v>193.32766680832978</v>
      </c>
      <c r="J3368" s="3" t="str">
        <f t="shared" si="105"/>
        <v>Low</v>
      </c>
    </row>
    <row r="3369" spans="1:10">
      <c r="A3369" s="4" t="s">
        <v>3453</v>
      </c>
      <c r="B3369" s="16" t="s">
        <v>2163</v>
      </c>
      <c r="C3369" s="17" t="s">
        <v>2164</v>
      </c>
      <c r="D3369" s="21">
        <v>455000</v>
      </c>
      <c r="E3369" s="4">
        <v>5</v>
      </c>
      <c r="F3369" s="4">
        <v>3</v>
      </c>
      <c r="G3369" s="4">
        <v>3.1</v>
      </c>
      <c r="H3369" s="10">
        <v>1761</v>
      </c>
      <c r="I3369" s="5">
        <f t="shared" si="104"/>
        <v>258.37592277115277</v>
      </c>
      <c r="J3369" s="3" t="str">
        <f t="shared" si="105"/>
        <v>Medium</v>
      </c>
    </row>
    <row r="3370" spans="1:10">
      <c r="A3370" s="7" t="s">
        <v>3454</v>
      </c>
      <c r="B3370" s="18" t="s">
        <v>2193</v>
      </c>
      <c r="C3370" s="19" t="s">
        <v>2164</v>
      </c>
      <c r="D3370" s="22">
        <v>456000</v>
      </c>
      <c r="E3370" s="7">
        <v>9</v>
      </c>
      <c r="F3370" s="7">
        <v>4</v>
      </c>
      <c r="G3370" s="7">
        <v>4.0999999999999996</v>
      </c>
      <c r="H3370" s="12">
        <v>2416</v>
      </c>
      <c r="I3370" s="8">
        <f t="shared" si="104"/>
        <v>188.74172185430464</v>
      </c>
      <c r="J3370" s="3" t="str">
        <f t="shared" si="105"/>
        <v>Low</v>
      </c>
    </row>
    <row r="3371" spans="1:10">
      <c r="A3371" s="4" t="s">
        <v>3455</v>
      </c>
      <c r="B3371" s="16" t="s">
        <v>2193</v>
      </c>
      <c r="C3371" s="17" t="s">
        <v>2164</v>
      </c>
      <c r="D3371" s="21">
        <v>456000</v>
      </c>
      <c r="E3371" s="4">
        <v>60</v>
      </c>
      <c r="F3371" s="4">
        <v>4</v>
      </c>
      <c r="G3371" s="4">
        <v>3.1</v>
      </c>
      <c r="H3371" s="10">
        <v>2416</v>
      </c>
      <c r="I3371" s="5">
        <f t="shared" si="104"/>
        <v>188.74172185430464</v>
      </c>
      <c r="J3371" s="3" t="str">
        <f t="shared" si="105"/>
        <v>Low</v>
      </c>
    </row>
    <row r="3372" spans="1:10">
      <c r="A3372" s="7" t="s">
        <v>3456</v>
      </c>
      <c r="B3372" s="18" t="s">
        <v>3151</v>
      </c>
      <c r="C3372" s="19" t="s">
        <v>2164</v>
      </c>
      <c r="D3372" s="22">
        <v>456325</v>
      </c>
      <c r="E3372" s="7">
        <v>20</v>
      </c>
      <c r="F3372" s="7">
        <v>3</v>
      </c>
      <c r="G3372" s="7">
        <v>2.1</v>
      </c>
      <c r="H3372" s="12">
        <v>2166</v>
      </c>
      <c r="I3372" s="8">
        <f t="shared" si="104"/>
        <v>210.67636195752539</v>
      </c>
      <c r="J3372" s="3" t="str">
        <f t="shared" si="105"/>
        <v>Medium</v>
      </c>
    </row>
    <row r="3373" spans="1:10">
      <c r="A3373" s="4" t="s">
        <v>3457</v>
      </c>
      <c r="B3373" s="16" t="s">
        <v>2163</v>
      </c>
      <c r="C3373" s="17" t="s">
        <v>2164</v>
      </c>
      <c r="D3373" s="21">
        <v>459000</v>
      </c>
      <c r="E3373" s="4">
        <v>7</v>
      </c>
      <c r="F3373" s="4">
        <v>3</v>
      </c>
      <c r="G3373" s="4">
        <v>3</v>
      </c>
      <c r="H3373" s="10">
        <v>2017</v>
      </c>
      <c r="I3373" s="5">
        <f t="shared" si="104"/>
        <v>227.56569162121963</v>
      </c>
      <c r="J3373" s="3" t="str">
        <f t="shared" si="105"/>
        <v>Medium</v>
      </c>
    </row>
    <row r="3374" spans="1:10">
      <c r="A3374" s="7" t="s">
        <v>3458</v>
      </c>
      <c r="B3374" s="18" t="s">
        <v>2163</v>
      </c>
      <c r="C3374" s="19" t="s">
        <v>2164</v>
      </c>
      <c r="D3374" s="22">
        <v>459900</v>
      </c>
      <c r="E3374" s="7">
        <v>109</v>
      </c>
      <c r="F3374" s="7">
        <v>4</v>
      </c>
      <c r="G3374" s="7">
        <v>2.1</v>
      </c>
      <c r="H3374" s="12">
        <v>2450</v>
      </c>
      <c r="I3374" s="8">
        <f t="shared" si="104"/>
        <v>187.71428571428572</v>
      </c>
      <c r="J3374" s="3" t="str">
        <f t="shared" si="105"/>
        <v>Low</v>
      </c>
    </row>
    <row r="3375" spans="1:10">
      <c r="A3375" s="4" t="s">
        <v>3459</v>
      </c>
      <c r="B3375" s="16" t="s">
        <v>2163</v>
      </c>
      <c r="C3375" s="17" t="s">
        <v>2164</v>
      </c>
      <c r="D3375" s="21">
        <v>459900</v>
      </c>
      <c r="E3375" s="4">
        <v>176</v>
      </c>
      <c r="F3375" s="4">
        <v>4</v>
      </c>
      <c r="G3375" s="4">
        <v>2.1</v>
      </c>
      <c r="H3375" s="10">
        <v>2400</v>
      </c>
      <c r="I3375" s="5">
        <f t="shared" si="104"/>
        <v>191.625</v>
      </c>
      <c r="J3375" s="3" t="str">
        <f t="shared" si="105"/>
        <v>Low</v>
      </c>
    </row>
    <row r="3376" spans="1:10">
      <c r="A3376" s="7" t="s">
        <v>3460</v>
      </c>
      <c r="B3376" s="18" t="s">
        <v>2163</v>
      </c>
      <c r="C3376" s="19" t="s">
        <v>2164</v>
      </c>
      <c r="D3376" s="22">
        <v>460000</v>
      </c>
      <c r="E3376" s="7">
        <v>15</v>
      </c>
      <c r="F3376" s="7">
        <v>3</v>
      </c>
      <c r="G3376" s="7">
        <v>2.1</v>
      </c>
      <c r="H3376" s="12">
        <v>2317</v>
      </c>
      <c r="I3376" s="8">
        <f t="shared" si="104"/>
        <v>198.53258523953389</v>
      </c>
      <c r="J3376" s="3" t="str">
        <f t="shared" si="105"/>
        <v>Low</v>
      </c>
    </row>
    <row r="3377" spans="1:10">
      <c r="A3377" s="4" t="s">
        <v>3461</v>
      </c>
      <c r="B3377" s="16" t="s">
        <v>2316</v>
      </c>
      <c r="C3377" s="17" t="s">
        <v>2164</v>
      </c>
      <c r="D3377" s="21">
        <v>460000</v>
      </c>
      <c r="E3377" s="4">
        <v>12</v>
      </c>
      <c r="F3377" s="4">
        <v>3</v>
      </c>
      <c r="G3377" s="4">
        <v>2.1</v>
      </c>
      <c r="H3377" s="10">
        <v>2311</v>
      </c>
      <c r="I3377" s="5">
        <f t="shared" si="104"/>
        <v>199.04803115534401</v>
      </c>
      <c r="J3377" s="3" t="str">
        <f t="shared" si="105"/>
        <v>Low</v>
      </c>
    </row>
    <row r="3378" spans="1:10">
      <c r="A3378" s="7" t="s">
        <v>3462</v>
      </c>
      <c r="B3378" s="18" t="s">
        <v>2163</v>
      </c>
      <c r="C3378" s="19" t="s">
        <v>2164</v>
      </c>
      <c r="D3378" s="22">
        <v>460000</v>
      </c>
      <c r="E3378" s="7">
        <v>8</v>
      </c>
      <c r="F3378" s="7">
        <v>4</v>
      </c>
      <c r="G3378" s="7">
        <v>3.1</v>
      </c>
      <c r="H3378" s="12">
        <v>2384</v>
      </c>
      <c r="I3378" s="8">
        <f t="shared" si="104"/>
        <v>192.95302013422818</v>
      </c>
      <c r="J3378" s="3" t="str">
        <f t="shared" si="105"/>
        <v>Low</v>
      </c>
    </row>
    <row r="3379" spans="1:10">
      <c r="A3379" s="4" t="s">
        <v>3463</v>
      </c>
      <c r="B3379" s="16" t="s">
        <v>2163</v>
      </c>
      <c r="C3379" s="17" t="s">
        <v>2164</v>
      </c>
      <c r="D3379" s="21">
        <v>461143</v>
      </c>
      <c r="E3379" s="4">
        <v>5</v>
      </c>
      <c r="F3379" s="4">
        <v>5</v>
      </c>
      <c r="G3379" s="4">
        <v>2.1</v>
      </c>
      <c r="H3379" s="10">
        <v>2952</v>
      </c>
      <c r="I3379" s="5">
        <f t="shared" si="104"/>
        <v>156.21375338753387</v>
      </c>
      <c r="J3379" s="3" t="str">
        <f t="shared" si="105"/>
        <v>Low</v>
      </c>
    </row>
    <row r="3380" spans="1:10">
      <c r="A3380" s="7" t="s">
        <v>3464</v>
      </c>
      <c r="B3380" s="18" t="s">
        <v>2252</v>
      </c>
      <c r="C3380" s="19" t="s">
        <v>2164</v>
      </c>
      <c r="D3380" s="22">
        <v>462697</v>
      </c>
      <c r="E3380" s="7">
        <v>257</v>
      </c>
      <c r="F3380" s="7">
        <v>3</v>
      </c>
      <c r="G3380" s="7">
        <v>2.1</v>
      </c>
      <c r="H3380" s="12">
        <v>2100</v>
      </c>
      <c r="I3380" s="8">
        <f t="shared" si="104"/>
        <v>220.33190476190475</v>
      </c>
      <c r="J3380" s="3" t="str">
        <f t="shared" si="105"/>
        <v>Medium</v>
      </c>
    </row>
    <row r="3381" spans="1:10">
      <c r="A3381" s="4" t="s">
        <v>3465</v>
      </c>
      <c r="B3381" s="16" t="s">
        <v>2596</v>
      </c>
      <c r="C3381" s="17" t="s">
        <v>2164</v>
      </c>
      <c r="D3381" s="21">
        <v>463000</v>
      </c>
      <c r="E3381" s="4">
        <v>86</v>
      </c>
      <c r="F3381" s="4">
        <v>2</v>
      </c>
      <c r="G3381" s="4">
        <v>2.1</v>
      </c>
      <c r="H3381" s="10">
        <v>1863</v>
      </c>
      <c r="I3381" s="5">
        <f t="shared" si="104"/>
        <v>248.52388620504561</v>
      </c>
      <c r="J3381" s="3" t="str">
        <f t="shared" si="105"/>
        <v>Medium</v>
      </c>
    </row>
    <row r="3382" spans="1:10">
      <c r="A3382" s="7" t="s">
        <v>3466</v>
      </c>
      <c r="B3382" s="18" t="s">
        <v>2193</v>
      </c>
      <c r="C3382" s="19" t="s">
        <v>2164</v>
      </c>
      <c r="D3382" s="22">
        <v>463000</v>
      </c>
      <c r="E3382" s="7">
        <v>0</v>
      </c>
      <c r="F3382" s="7">
        <v>4</v>
      </c>
      <c r="G3382" s="7">
        <v>2.1</v>
      </c>
      <c r="H3382" s="12">
        <v>2540</v>
      </c>
      <c r="I3382" s="8">
        <f t="shared" si="104"/>
        <v>182.28346456692913</v>
      </c>
      <c r="J3382" s="3" t="str">
        <f t="shared" si="105"/>
        <v>Low</v>
      </c>
    </row>
    <row r="3383" spans="1:10">
      <c r="A3383" s="4" t="s">
        <v>3467</v>
      </c>
      <c r="B3383" s="16" t="s">
        <v>2252</v>
      </c>
      <c r="C3383" s="17" t="s">
        <v>2164</v>
      </c>
      <c r="D3383" s="21">
        <v>465000</v>
      </c>
      <c r="E3383" s="4">
        <v>10</v>
      </c>
      <c r="F3383" s="4">
        <v>4</v>
      </c>
      <c r="G3383" s="4">
        <v>2.1</v>
      </c>
      <c r="H3383" s="10">
        <v>2452</v>
      </c>
      <c r="I3383" s="5">
        <f t="shared" si="104"/>
        <v>189.6411092985318</v>
      </c>
      <c r="J3383" s="3" t="str">
        <f t="shared" si="105"/>
        <v>Low</v>
      </c>
    </row>
    <row r="3384" spans="1:10">
      <c r="A3384" s="7" t="s">
        <v>3468</v>
      </c>
      <c r="B3384" s="18" t="s">
        <v>2316</v>
      </c>
      <c r="C3384" s="19" t="s">
        <v>2164</v>
      </c>
      <c r="D3384" s="22">
        <v>470000</v>
      </c>
      <c r="E3384" s="7">
        <v>9</v>
      </c>
      <c r="F3384" s="7">
        <v>4</v>
      </c>
      <c r="G3384" s="7">
        <v>2.1</v>
      </c>
      <c r="H3384" s="12">
        <v>2546</v>
      </c>
      <c r="I3384" s="8">
        <f t="shared" si="104"/>
        <v>184.60329929300863</v>
      </c>
      <c r="J3384" s="3" t="str">
        <f t="shared" si="105"/>
        <v>Low</v>
      </c>
    </row>
    <row r="3385" spans="1:10">
      <c r="A3385" s="4" t="s">
        <v>3469</v>
      </c>
      <c r="B3385" s="16" t="s">
        <v>2316</v>
      </c>
      <c r="C3385" s="17" t="s">
        <v>2164</v>
      </c>
      <c r="D3385" s="21">
        <v>473500</v>
      </c>
      <c r="E3385" s="4">
        <v>5</v>
      </c>
      <c r="F3385" s="4">
        <v>4</v>
      </c>
      <c r="G3385" s="4">
        <v>2.1</v>
      </c>
      <c r="H3385" s="10">
        <v>2645</v>
      </c>
      <c r="I3385" s="5">
        <f t="shared" si="104"/>
        <v>179.01701323251419</v>
      </c>
      <c r="J3385" s="3" t="str">
        <f t="shared" si="105"/>
        <v>Low</v>
      </c>
    </row>
    <row r="3386" spans="1:10">
      <c r="A3386" s="7" t="s">
        <v>3470</v>
      </c>
      <c r="B3386" s="18" t="s">
        <v>2563</v>
      </c>
      <c r="C3386" s="19" t="s">
        <v>2164</v>
      </c>
      <c r="D3386" s="22">
        <v>473565</v>
      </c>
      <c r="E3386" s="7">
        <v>265</v>
      </c>
      <c r="F3386" s="7">
        <v>4</v>
      </c>
      <c r="G3386" s="7">
        <v>2.1</v>
      </c>
      <c r="H3386" s="12">
        <v>2653</v>
      </c>
      <c r="I3386" s="8">
        <f t="shared" si="104"/>
        <v>178.50169619298907</v>
      </c>
      <c r="J3386" s="3" t="str">
        <f t="shared" si="105"/>
        <v>Low</v>
      </c>
    </row>
    <row r="3387" spans="1:10">
      <c r="A3387" s="4" t="s">
        <v>3471</v>
      </c>
      <c r="B3387" s="16" t="s">
        <v>2163</v>
      </c>
      <c r="C3387" s="17" t="s">
        <v>2164</v>
      </c>
      <c r="D3387" s="21">
        <v>475000</v>
      </c>
      <c r="E3387" s="4">
        <v>7</v>
      </c>
      <c r="F3387" s="4">
        <v>3</v>
      </c>
      <c r="G3387" s="4">
        <v>3</v>
      </c>
      <c r="H3387" s="10">
        <v>1926</v>
      </c>
      <c r="I3387" s="5">
        <f t="shared" si="104"/>
        <v>246.62512980269989</v>
      </c>
      <c r="J3387" s="3" t="str">
        <f t="shared" si="105"/>
        <v>Medium</v>
      </c>
    </row>
    <row r="3388" spans="1:10">
      <c r="A3388" s="7" t="s">
        <v>3472</v>
      </c>
      <c r="B3388" s="18" t="s">
        <v>2163</v>
      </c>
      <c r="C3388" s="19" t="s">
        <v>2164</v>
      </c>
      <c r="D3388" s="22">
        <v>475000</v>
      </c>
      <c r="E3388" s="7">
        <v>41</v>
      </c>
      <c r="F3388" s="7">
        <v>3</v>
      </c>
      <c r="G3388" s="7">
        <v>2.2000000000000002</v>
      </c>
      <c r="H3388" s="12">
        <v>2021</v>
      </c>
      <c r="I3388" s="8">
        <f t="shared" si="104"/>
        <v>235.03216229589313</v>
      </c>
      <c r="J3388" s="3" t="str">
        <f t="shared" si="105"/>
        <v>Medium</v>
      </c>
    </row>
    <row r="3389" spans="1:10">
      <c r="A3389" s="4" t="s">
        <v>3473</v>
      </c>
      <c r="B3389" s="16" t="s">
        <v>3037</v>
      </c>
      <c r="C3389" s="17" t="s">
        <v>2164</v>
      </c>
      <c r="D3389" s="21">
        <v>475000</v>
      </c>
      <c r="E3389" s="4">
        <v>83</v>
      </c>
      <c r="F3389" s="4">
        <v>3</v>
      </c>
      <c r="G3389" s="4">
        <v>3.1</v>
      </c>
      <c r="H3389" s="10">
        <v>2483</v>
      </c>
      <c r="I3389" s="5">
        <f t="shared" si="104"/>
        <v>191.30084575110754</v>
      </c>
      <c r="J3389" s="3" t="str">
        <f t="shared" si="105"/>
        <v>Low</v>
      </c>
    </row>
    <row r="3390" spans="1:10">
      <c r="A3390" s="7" t="s">
        <v>3474</v>
      </c>
      <c r="B3390" s="18" t="s">
        <v>3151</v>
      </c>
      <c r="C3390" s="19" t="s">
        <v>2164</v>
      </c>
      <c r="D3390" s="22">
        <v>476019</v>
      </c>
      <c r="E3390" s="7">
        <v>0</v>
      </c>
      <c r="F3390" s="7">
        <v>4</v>
      </c>
      <c r="G3390" s="7">
        <v>2.1</v>
      </c>
      <c r="H3390" s="12">
        <v>2599</v>
      </c>
      <c r="I3390" s="8">
        <f t="shared" si="104"/>
        <v>183.15467487495189</v>
      </c>
      <c r="J3390" s="3" t="str">
        <f t="shared" si="105"/>
        <v>Low</v>
      </c>
    </row>
    <row r="3391" spans="1:10">
      <c r="A3391" s="4" t="s">
        <v>3475</v>
      </c>
      <c r="B3391" s="16" t="s">
        <v>2316</v>
      </c>
      <c r="C3391" s="17" t="s">
        <v>2164</v>
      </c>
      <c r="D3391" s="21">
        <v>477500</v>
      </c>
      <c r="E3391" s="4">
        <v>10</v>
      </c>
      <c r="F3391" s="4">
        <v>5</v>
      </c>
      <c r="G3391" s="4">
        <v>3.1</v>
      </c>
      <c r="H3391" s="10">
        <v>3250</v>
      </c>
      <c r="I3391" s="5">
        <f t="shared" si="104"/>
        <v>146.92307692307693</v>
      </c>
      <c r="J3391" s="3" t="str">
        <f t="shared" si="105"/>
        <v>Low</v>
      </c>
    </row>
    <row r="3392" spans="1:10">
      <c r="A3392" s="7" t="s">
        <v>3476</v>
      </c>
      <c r="B3392" s="18" t="s">
        <v>2163</v>
      </c>
      <c r="C3392" s="19" t="s">
        <v>2164</v>
      </c>
      <c r="D3392" s="22">
        <v>478000</v>
      </c>
      <c r="E3392" s="7">
        <v>56</v>
      </c>
      <c r="F3392" s="7">
        <v>3</v>
      </c>
      <c r="G3392" s="7">
        <v>2.1</v>
      </c>
      <c r="H3392" s="12">
        <v>2498</v>
      </c>
      <c r="I3392" s="8">
        <f t="shared" si="104"/>
        <v>191.35308246597279</v>
      </c>
      <c r="J3392" s="3" t="str">
        <f t="shared" si="105"/>
        <v>Low</v>
      </c>
    </row>
    <row r="3393" spans="1:10">
      <c r="A3393" s="4" t="s">
        <v>3477</v>
      </c>
      <c r="B3393" s="16" t="s">
        <v>2163</v>
      </c>
      <c r="C3393" s="17" t="s">
        <v>2164</v>
      </c>
      <c r="D3393" s="21">
        <v>479000</v>
      </c>
      <c r="E3393" s="4">
        <v>8</v>
      </c>
      <c r="F3393" s="4">
        <v>4</v>
      </c>
      <c r="G3393" s="4">
        <v>2.1</v>
      </c>
      <c r="H3393" s="10">
        <v>2643</v>
      </c>
      <c r="I3393" s="5">
        <f t="shared" si="104"/>
        <v>181.23344684071131</v>
      </c>
      <c r="J3393" s="3" t="str">
        <f t="shared" si="105"/>
        <v>Low</v>
      </c>
    </row>
    <row r="3394" spans="1:10">
      <c r="A3394" s="7" t="s">
        <v>3478</v>
      </c>
      <c r="B3394" s="18" t="s">
        <v>2252</v>
      </c>
      <c r="C3394" s="19" t="s">
        <v>2164</v>
      </c>
      <c r="D3394" s="22">
        <v>480000</v>
      </c>
      <c r="E3394" s="7">
        <v>93</v>
      </c>
      <c r="F3394" s="7">
        <v>4</v>
      </c>
      <c r="G3394" s="7">
        <v>2.1</v>
      </c>
      <c r="H3394" s="12">
        <v>2653</v>
      </c>
      <c r="I3394" s="8">
        <f t="shared" ref="I3394:I3457" si="106">D3394/H3394</f>
        <v>180.92725216735772</v>
      </c>
      <c r="J3394" s="3" t="str">
        <f t="shared" ref="J3394:J3457" si="107">IF(I3394 &gt; 300, "High", IF(AND(I3394 &lt;= 300, I3394 &gt; 200), "Medium", "Low"))</f>
        <v>Low</v>
      </c>
    </row>
    <row r="3395" spans="1:10">
      <c r="A3395" s="4" t="s">
        <v>3479</v>
      </c>
      <c r="B3395" s="16" t="s">
        <v>2163</v>
      </c>
      <c r="C3395" s="17" t="s">
        <v>2164</v>
      </c>
      <c r="D3395" s="21">
        <v>485000</v>
      </c>
      <c r="E3395" s="4">
        <v>5</v>
      </c>
      <c r="F3395" s="4">
        <v>3</v>
      </c>
      <c r="G3395" s="4">
        <v>2.1</v>
      </c>
      <c r="H3395" s="10">
        <v>2122</v>
      </c>
      <c r="I3395" s="5">
        <f t="shared" si="106"/>
        <v>228.55796418473139</v>
      </c>
      <c r="J3395" s="3" t="str">
        <f t="shared" si="107"/>
        <v>Medium</v>
      </c>
    </row>
    <row r="3396" spans="1:10">
      <c r="A3396" s="7" t="s">
        <v>3480</v>
      </c>
      <c r="B3396" s="18" t="s">
        <v>2193</v>
      </c>
      <c r="C3396" s="19" t="s">
        <v>2164</v>
      </c>
      <c r="D3396" s="22">
        <v>485000</v>
      </c>
      <c r="E3396" s="7">
        <v>42</v>
      </c>
      <c r="F3396" s="7">
        <v>3</v>
      </c>
      <c r="G3396" s="7">
        <v>2.1</v>
      </c>
      <c r="H3396" s="12">
        <v>1904</v>
      </c>
      <c r="I3396" s="8">
        <f t="shared" si="106"/>
        <v>254.72689075630251</v>
      </c>
      <c r="J3396" s="3" t="str">
        <f t="shared" si="107"/>
        <v>Medium</v>
      </c>
    </row>
    <row r="3397" spans="1:10">
      <c r="A3397" s="4" t="s">
        <v>3481</v>
      </c>
      <c r="B3397" s="16" t="s">
        <v>2193</v>
      </c>
      <c r="C3397" s="17" t="s">
        <v>2164</v>
      </c>
      <c r="D3397" s="21">
        <v>485000</v>
      </c>
      <c r="E3397" s="4">
        <v>46</v>
      </c>
      <c r="F3397" s="4">
        <v>3</v>
      </c>
      <c r="G3397" s="4">
        <v>2.1</v>
      </c>
      <c r="H3397" s="10">
        <v>1904</v>
      </c>
      <c r="I3397" s="5">
        <f t="shared" si="106"/>
        <v>254.72689075630251</v>
      </c>
      <c r="J3397" s="3" t="str">
        <f t="shared" si="107"/>
        <v>Medium</v>
      </c>
    </row>
    <row r="3398" spans="1:10">
      <c r="A3398" s="7" t="s">
        <v>3482</v>
      </c>
      <c r="B3398" s="18" t="s">
        <v>2193</v>
      </c>
      <c r="C3398" s="19" t="s">
        <v>2164</v>
      </c>
      <c r="D3398" s="22">
        <v>487475</v>
      </c>
      <c r="E3398" s="7">
        <v>0</v>
      </c>
      <c r="F3398" s="7">
        <v>4</v>
      </c>
      <c r="G3398" s="7">
        <v>2.1</v>
      </c>
      <c r="H3398" s="12">
        <v>2540</v>
      </c>
      <c r="I3398" s="8">
        <f t="shared" si="106"/>
        <v>191.91929133858267</v>
      </c>
      <c r="J3398" s="3" t="str">
        <f t="shared" si="107"/>
        <v>Low</v>
      </c>
    </row>
    <row r="3399" spans="1:10">
      <c r="A3399" s="4" t="s">
        <v>3483</v>
      </c>
      <c r="B3399" s="16" t="s">
        <v>3151</v>
      </c>
      <c r="C3399" s="17" t="s">
        <v>2164</v>
      </c>
      <c r="D3399" s="21">
        <v>487900</v>
      </c>
      <c r="E3399" s="4">
        <v>11</v>
      </c>
      <c r="F3399" s="4">
        <v>4</v>
      </c>
      <c r="G3399" s="4">
        <v>2.1</v>
      </c>
      <c r="H3399" s="10">
        <v>2602</v>
      </c>
      <c r="I3399" s="5">
        <f t="shared" si="106"/>
        <v>187.50960799385089</v>
      </c>
      <c r="J3399" s="3" t="str">
        <f t="shared" si="107"/>
        <v>Low</v>
      </c>
    </row>
    <row r="3400" spans="1:10">
      <c r="A3400" s="7" t="s">
        <v>3484</v>
      </c>
      <c r="B3400" s="18" t="s">
        <v>3151</v>
      </c>
      <c r="C3400" s="19" t="s">
        <v>2164</v>
      </c>
      <c r="D3400" s="22">
        <v>487900</v>
      </c>
      <c r="E3400" s="7">
        <v>11</v>
      </c>
      <c r="F3400" s="7">
        <v>4</v>
      </c>
      <c r="G3400" s="7">
        <v>2.1</v>
      </c>
      <c r="H3400" s="12">
        <v>2602</v>
      </c>
      <c r="I3400" s="8">
        <f t="shared" si="106"/>
        <v>187.50960799385089</v>
      </c>
      <c r="J3400" s="3" t="str">
        <f t="shared" si="107"/>
        <v>Low</v>
      </c>
    </row>
    <row r="3401" spans="1:10">
      <c r="A3401" s="4" t="s">
        <v>3485</v>
      </c>
      <c r="B3401" s="16" t="s">
        <v>2316</v>
      </c>
      <c r="C3401" s="17" t="s">
        <v>2164</v>
      </c>
      <c r="D3401" s="21">
        <v>490000</v>
      </c>
      <c r="E3401" s="4">
        <v>13</v>
      </c>
      <c r="F3401" s="4">
        <v>5</v>
      </c>
      <c r="G3401" s="4">
        <v>2.1</v>
      </c>
      <c r="H3401" s="10">
        <v>2864</v>
      </c>
      <c r="I3401" s="5">
        <f t="shared" si="106"/>
        <v>171.08938547486034</v>
      </c>
      <c r="J3401" s="3" t="str">
        <f t="shared" si="107"/>
        <v>Low</v>
      </c>
    </row>
    <row r="3402" spans="1:10">
      <c r="A3402" s="7" t="s">
        <v>3486</v>
      </c>
      <c r="B3402" s="18" t="s">
        <v>2193</v>
      </c>
      <c r="C3402" s="19" t="s">
        <v>2164</v>
      </c>
      <c r="D3402" s="22">
        <v>492060</v>
      </c>
      <c r="E3402" s="7">
        <v>0</v>
      </c>
      <c r="F3402" s="7">
        <v>4</v>
      </c>
      <c r="G3402" s="7">
        <v>2.1</v>
      </c>
      <c r="H3402" s="12">
        <v>2540</v>
      </c>
      <c r="I3402" s="8">
        <f t="shared" si="106"/>
        <v>193.7244094488189</v>
      </c>
      <c r="J3402" s="3" t="str">
        <f t="shared" si="107"/>
        <v>Low</v>
      </c>
    </row>
    <row r="3403" spans="1:10">
      <c r="A3403" s="4" t="s">
        <v>3487</v>
      </c>
      <c r="B3403" s="16" t="s">
        <v>2542</v>
      </c>
      <c r="C3403" s="17" t="s">
        <v>2164</v>
      </c>
      <c r="D3403" s="21">
        <v>495000</v>
      </c>
      <c r="E3403" s="4">
        <v>37</v>
      </c>
      <c r="F3403" s="4">
        <v>4</v>
      </c>
      <c r="G3403" s="4">
        <v>2.1</v>
      </c>
      <c r="H3403" s="10">
        <v>3398</v>
      </c>
      <c r="I3403" s="5">
        <f t="shared" si="106"/>
        <v>145.67392583872865</v>
      </c>
      <c r="J3403" s="3" t="str">
        <f t="shared" si="107"/>
        <v>Low</v>
      </c>
    </row>
    <row r="3404" spans="1:10">
      <c r="A3404" s="7" t="s">
        <v>3488</v>
      </c>
      <c r="B3404" s="18" t="s">
        <v>2407</v>
      </c>
      <c r="C3404" s="19" t="s">
        <v>2164</v>
      </c>
      <c r="D3404" s="22">
        <v>495000</v>
      </c>
      <c r="E3404" s="7">
        <v>4</v>
      </c>
      <c r="F3404" s="7">
        <v>3</v>
      </c>
      <c r="G3404" s="7">
        <v>2.1</v>
      </c>
      <c r="H3404" s="12">
        <v>1907</v>
      </c>
      <c r="I3404" s="8">
        <f t="shared" si="106"/>
        <v>259.57000524383847</v>
      </c>
      <c r="J3404" s="3" t="str">
        <f t="shared" si="107"/>
        <v>Medium</v>
      </c>
    </row>
    <row r="3405" spans="1:10">
      <c r="A3405" s="4" t="s">
        <v>3489</v>
      </c>
      <c r="B3405" s="16" t="s">
        <v>2523</v>
      </c>
      <c r="C3405" s="17" t="s">
        <v>2164</v>
      </c>
      <c r="D3405" s="21">
        <v>495000</v>
      </c>
      <c r="E3405" s="4">
        <v>48</v>
      </c>
      <c r="F3405" s="4">
        <v>3</v>
      </c>
      <c r="G3405" s="4">
        <v>3.1</v>
      </c>
      <c r="H3405" s="10">
        <v>2481</v>
      </c>
      <c r="I3405" s="5">
        <f t="shared" si="106"/>
        <v>199.51632406287789</v>
      </c>
      <c r="J3405" s="3" t="str">
        <f t="shared" si="107"/>
        <v>Low</v>
      </c>
    </row>
    <row r="3406" spans="1:10">
      <c r="A3406" s="7" t="s">
        <v>3490</v>
      </c>
      <c r="B3406" s="18" t="s">
        <v>2316</v>
      </c>
      <c r="C3406" s="19" t="s">
        <v>2164</v>
      </c>
      <c r="D3406" s="22">
        <v>499000</v>
      </c>
      <c r="E3406" s="7">
        <v>6</v>
      </c>
      <c r="F3406" s="7">
        <v>5</v>
      </c>
      <c r="G3406" s="7">
        <v>2.1</v>
      </c>
      <c r="H3406" s="12">
        <v>2970</v>
      </c>
      <c r="I3406" s="8">
        <f t="shared" si="106"/>
        <v>168.01346801346801</v>
      </c>
      <c r="J3406" s="3" t="str">
        <f t="shared" si="107"/>
        <v>Low</v>
      </c>
    </row>
    <row r="3407" spans="1:10">
      <c r="A3407" s="4" t="s">
        <v>3491</v>
      </c>
      <c r="B3407" s="16" t="s">
        <v>2407</v>
      </c>
      <c r="C3407" s="17" t="s">
        <v>2164</v>
      </c>
      <c r="D3407" s="21">
        <v>499000</v>
      </c>
      <c r="E3407" s="4">
        <v>298</v>
      </c>
      <c r="F3407" s="4">
        <v>2</v>
      </c>
      <c r="G3407" s="4">
        <v>2</v>
      </c>
      <c r="H3407" s="10">
        <v>1922</v>
      </c>
      <c r="I3407" s="5">
        <f t="shared" si="106"/>
        <v>259.6253902185224</v>
      </c>
      <c r="J3407" s="3" t="str">
        <f t="shared" si="107"/>
        <v>Medium</v>
      </c>
    </row>
    <row r="3408" spans="1:10">
      <c r="A3408" s="7" t="s">
        <v>3492</v>
      </c>
      <c r="B3408" s="18" t="s">
        <v>2193</v>
      </c>
      <c r="C3408" s="19" t="s">
        <v>2164</v>
      </c>
      <c r="D3408" s="22">
        <v>500000</v>
      </c>
      <c r="E3408" s="7">
        <v>81</v>
      </c>
      <c r="F3408" s="7">
        <v>4</v>
      </c>
      <c r="G3408" s="7">
        <v>3.1</v>
      </c>
      <c r="H3408" s="12">
        <v>2938</v>
      </c>
      <c r="I3408" s="8">
        <f t="shared" si="106"/>
        <v>170.18379850238259</v>
      </c>
      <c r="J3408" s="3" t="str">
        <f t="shared" si="107"/>
        <v>Low</v>
      </c>
    </row>
    <row r="3409" spans="1:10">
      <c r="A3409" s="4" t="s">
        <v>3493</v>
      </c>
      <c r="B3409" s="16" t="s">
        <v>2316</v>
      </c>
      <c r="C3409" s="17" t="s">
        <v>2164</v>
      </c>
      <c r="D3409" s="21">
        <v>500000</v>
      </c>
      <c r="E3409" s="4">
        <v>122</v>
      </c>
      <c r="F3409" s="4">
        <v>4</v>
      </c>
      <c r="G3409" s="4">
        <v>3</v>
      </c>
      <c r="H3409" s="10">
        <v>3716</v>
      </c>
      <c r="I3409" s="5">
        <f t="shared" si="106"/>
        <v>134.55328310010765</v>
      </c>
      <c r="J3409" s="3" t="str">
        <f t="shared" si="107"/>
        <v>Low</v>
      </c>
    </row>
    <row r="3410" spans="1:10">
      <c r="A3410" s="7" t="s">
        <v>3494</v>
      </c>
      <c r="B3410" s="18" t="s">
        <v>2261</v>
      </c>
      <c r="C3410" s="19" t="s">
        <v>2164</v>
      </c>
      <c r="D3410" s="22">
        <v>500000</v>
      </c>
      <c r="E3410" s="7">
        <v>201</v>
      </c>
      <c r="F3410" s="7">
        <v>4</v>
      </c>
      <c r="G3410" s="7">
        <v>3.1</v>
      </c>
      <c r="H3410" s="12">
        <v>2549</v>
      </c>
      <c r="I3410" s="8">
        <f t="shared" si="106"/>
        <v>196.15535504119262</v>
      </c>
      <c r="J3410" s="3" t="str">
        <f t="shared" si="107"/>
        <v>Low</v>
      </c>
    </row>
    <row r="3411" spans="1:10">
      <c r="A3411" s="4" t="s">
        <v>3495</v>
      </c>
      <c r="B3411" s="16" t="s">
        <v>2316</v>
      </c>
      <c r="C3411" s="17" t="s">
        <v>2164</v>
      </c>
      <c r="D3411" s="21">
        <v>500000</v>
      </c>
      <c r="E3411" s="4">
        <v>6</v>
      </c>
      <c r="F3411" s="4">
        <v>4</v>
      </c>
      <c r="G3411" s="4">
        <v>2.1</v>
      </c>
      <c r="H3411" s="10">
        <v>2239</v>
      </c>
      <c r="I3411" s="5">
        <f t="shared" si="106"/>
        <v>223.31397945511389</v>
      </c>
      <c r="J3411" s="3" t="str">
        <f t="shared" si="107"/>
        <v>Medium</v>
      </c>
    </row>
    <row r="3412" spans="1:10">
      <c r="A3412" s="7" t="s">
        <v>3496</v>
      </c>
      <c r="B3412" s="18" t="s">
        <v>2316</v>
      </c>
      <c r="C3412" s="19" t="s">
        <v>2164</v>
      </c>
      <c r="D3412" s="22">
        <v>502000</v>
      </c>
      <c r="E3412" s="7">
        <v>9</v>
      </c>
      <c r="F3412" s="7">
        <v>4</v>
      </c>
      <c r="G3412" s="7">
        <v>3.1</v>
      </c>
      <c r="H3412" s="12">
        <v>3528</v>
      </c>
      <c r="I3412" s="8">
        <f t="shared" si="106"/>
        <v>142.29024943310657</v>
      </c>
      <c r="J3412" s="3" t="str">
        <f t="shared" si="107"/>
        <v>Low</v>
      </c>
    </row>
    <row r="3413" spans="1:10">
      <c r="A3413" s="4" t="s">
        <v>3497</v>
      </c>
      <c r="B3413" s="16" t="s">
        <v>2252</v>
      </c>
      <c r="C3413" s="17" t="s">
        <v>2164</v>
      </c>
      <c r="D3413" s="21">
        <v>505000</v>
      </c>
      <c r="E3413" s="4">
        <v>7</v>
      </c>
      <c r="F3413" s="4">
        <v>3</v>
      </c>
      <c r="G3413" s="4">
        <v>2.1</v>
      </c>
      <c r="H3413" s="10">
        <v>2884</v>
      </c>
      <c r="I3413" s="5">
        <f t="shared" si="106"/>
        <v>175.10402219140084</v>
      </c>
      <c r="J3413" s="3" t="str">
        <f t="shared" si="107"/>
        <v>Low</v>
      </c>
    </row>
    <row r="3414" spans="1:10">
      <c r="A3414" s="7" t="s">
        <v>3498</v>
      </c>
      <c r="B3414" s="18" t="s">
        <v>3151</v>
      </c>
      <c r="C3414" s="19" t="s">
        <v>2164</v>
      </c>
      <c r="D3414" s="22">
        <v>505000</v>
      </c>
      <c r="E3414" s="7">
        <v>4</v>
      </c>
      <c r="F3414" s="7">
        <v>4</v>
      </c>
      <c r="G3414" s="7">
        <v>3.1</v>
      </c>
      <c r="H3414" s="12">
        <v>2777</v>
      </c>
      <c r="I3414" s="8">
        <f t="shared" si="106"/>
        <v>181.850918257112</v>
      </c>
      <c r="J3414" s="3" t="str">
        <f t="shared" si="107"/>
        <v>Low</v>
      </c>
    </row>
    <row r="3415" spans="1:10">
      <c r="A3415" s="4" t="s">
        <v>3499</v>
      </c>
      <c r="B3415" s="16" t="s">
        <v>2193</v>
      </c>
      <c r="C3415" s="17" t="s">
        <v>2164</v>
      </c>
      <c r="D3415" s="21">
        <v>505000</v>
      </c>
      <c r="E3415" s="4">
        <v>114</v>
      </c>
      <c r="F3415" s="4">
        <v>4</v>
      </c>
      <c r="G3415" s="4">
        <v>3.1</v>
      </c>
      <c r="H3415" s="10">
        <v>3089</v>
      </c>
      <c r="I3415" s="5">
        <f t="shared" si="106"/>
        <v>163.48332793784397</v>
      </c>
      <c r="J3415" s="3" t="str">
        <f t="shared" si="107"/>
        <v>Low</v>
      </c>
    </row>
    <row r="3416" spans="1:10">
      <c r="A3416" s="7" t="s">
        <v>3500</v>
      </c>
      <c r="B3416" s="18" t="s">
        <v>2163</v>
      </c>
      <c r="C3416" s="19" t="s">
        <v>2164</v>
      </c>
      <c r="D3416" s="22">
        <v>507500</v>
      </c>
      <c r="E3416" s="7">
        <v>19</v>
      </c>
      <c r="F3416" s="7">
        <v>4</v>
      </c>
      <c r="G3416" s="7">
        <v>2.1</v>
      </c>
      <c r="H3416" s="12">
        <v>2970</v>
      </c>
      <c r="I3416" s="8">
        <f t="shared" si="106"/>
        <v>170.87542087542087</v>
      </c>
      <c r="J3416" s="3" t="str">
        <f t="shared" si="107"/>
        <v>Low</v>
      </c>
    </row>
    <row r="3417" spans="1:10">
      <c r="A3417" s="4" t="s">
        <v>3501</v>
      </c>
      <c r="B3417" s="16" t="s">
        <v>2193</v>
      </c>
      <c r="C3417" s="17" t="s">
        <v>2164</v>
      </c>
      <c r="D3417" s="21">
        <v>510000</v>
      </c>
      <c r="E3417" s="4">
        <v>43</v>
      </c>
      <c r="F3417" s="4">
        <v>4</v>
      </c>
      <c r="G3417" s="4">
        <v>3.1</v>
      </c>
      <c r="H3417" s="10">
        <v>2050</v>
      </c>
      <c r="I3417" s="5">
        <f t="shared" si="106"/>
        <v>248.78048780487805</v>
      </c>
      <c r="J3417" s="3" t="str">
        <f t="shared" si="107"/>
        <v>Medium</v>
      </c>
    </row>
    <row r="3418" spans="1:10">
      <c r="A3418" s="7" t="s">
        <v>3502</v>
      </c>
      <c r="B3418" s="18" t="s">
        <v>2316</v>
      </c>
      <c r="C3418" s="19" t="s">
        <v>2164</v>
      </c>
      <c r="D3418" s="22">
        <v>510000</v>
      </c>
      <c r="E3418" s="7">
        <v>46</v>
      </c>
      <c r="F3418" s="7">
        <v>4</v>
      </c>
      <c r="G3418" s="7">
        <v>2.1</v>
      </c>
      <c r="H3418" s="12">
        <v>2770</v>
      </c>
      <c r="I3418" s="8">
        <f t="shared" si="106"/>
        <v>184.11552346570397</v>
      </c>
      <c r="J3418" s="3" t="str">
        <f t="shared" si="107"/>
        <v>Low</v>
      </c>
    </row>
    <row r="3419" spans="1:10">
      <c r="A3419" s="4" t="s">
        <v>3503</v>
      </c>
      <c r="B3419" s="16" t="s">
        <v>2252</v>
      </c>
      <c r="C3419" s="17" t="s">
        <v>2164</v>
      </c>
      <c r="D3419" s="21">
        <v>512000</v>
      </c>
      <c r="E3419" s="4">
        <v>96</v>
      </c>
      <c r="F3419" s="4">
        <v>4</v>
      </c>
      <c r="G3419" s="4">
        <v>2.1</v>
      </c>
      <c r="H3419" s="10">
        <v>2269</v>
      </c>
      <c r="I3419" s="5">
        <f t="shared" si="106"/>
        <v>225.6500661084178</v>
      </c>
      <c r="J3419" s="3" t="str">
        <f t="shared" si="107"/>
        <v>Medium</v>
      </c>
    </row>
    <row r="3420" spans="1:10">
      <c r="A3420" s="7" t="s">
        <v>3504</v>
      </c>
      <c r="B3420" s="18" t="s">
        <v>2407</v>
      </c>
      <c r="C3420" s="19" t="s">
        <v>2164</v>
      </c>
      <c r="D3420" s="22">
        <v>515000</v>
      </c>
      <c r="E3420" s="7">
        <v>34</v>
      </c>
      <c r="F3420" s="7">
        <v>4</v>
      </c>
      <c r="G3420" s="7">
        <v>2.1</v>
      </c>
      <c r="H3420" s="12">
        <v>3027</v>
      </c>
      <c r="I3420" s="8">
        <f t="shared" si="106"/>
        <v>170.13544763792535</v>
      </c>
      <c r="J3420" s="3" t="str">
        <f t="shared" si="107"/>
        <v>Low</v>
      </c>
    </row>
    <row r="3421" spans="1:10">
      <c r="A3421" s="4" t="s">
        <v>3505</v>
      </c>
      <c r="B3421" s="16" t="s">
        <v>2316</v>
      </c>
      <c r="C3421" s="17" t="s">
        <v>2164</v>
      </c>
      <c r="D3421" s="21">
        <v>515000</v>
      </c>
      <c r="E3421" s="4">
        <v>49</v>
      </c>
      <c r="F3421" s="4">
        <v>3</v>
      </c>
      <c r="G3421" s="4">
        <v>2.1</v>
      </c>
      <c r="H3421" s="10">
        <v>2849</v>
      </c>
      <c r="I3421" s="5">
        <f t="shared" si="106"/>
        <v>180.76518076518076</v>
      </c>
      <c r="J3421" s="3" t="str">
        <f t="shared" si="107"/>
        <v>Low</v>
      </c>
    </row>
    <row r="3422" spans="1:10">
      <c r="A3422" s="7" t="s">
        <v>3506</v>
      </c>
      <c r="B3422" s="18" t="s">
        <v>2181</v>
      </c>
      <c r="C3422" s="19" t="s">
        <v>2164</v>
      </c>
      <c r="D3422" s="22">
        <v>520000</v>
      </c>
      <c r="E3422" s="7">
        <v>38</v>
      </c>
      <c r="F3422" s="7">
        <v>4</v>
      </c>
      <c r="G3422" s="7">
        <v>2.1</v>
      </c>
      <c r="H3422" s="12">
        <v>2700</v>
      </c>
      <c r="I3422" s="8">
        <f t="shared" si="106"/>
        <v>192.59259259259258</v>
      </c>
      <c r="J3422" s="3" t="str">
        <f t="shared" si="107"/>
        <v>Low</v>
      </c>
    </row>
    <row r="3423" spans="1:10">
      <c r="A3423" s="4" t="s">
        <v>3507</v>
      </c>
      <c r="B3423" s="16" t="s">
        <v>2252</v>
      </c>
      <c r="C3423" s="17" t="s">
        <v>2164</v>
      </c>
      <c r="D3423" s="21">
        <v>522500</v>
      </c>
      <c r="E3423" s="4">
        <v>96</v>
      </c>
      <c r="F3423" s="4">
        <v>3</v>
      </c>
      <c r="G3423" s="4">
        <v>2.1</v>
      </c>
      <c r="H3423" s="10">
        <v>2315</v>
      </c>
      <c r="I3423" s="5">
        <f t="shared" si="106"/>
        <v>225.70194384449243</v>
      </c>
      <c r="J3423" s="3" t="str">
        <f t="shared" si="107"/>
        <v>Medium</v>
      </c>
    </row>
    <row r="3424" spans="1:10">
      <c r="A3424" s="7" t="s">
        <v>3508</v>
      </c>
      <c r="B3424" s="18" t="s">
        <v>2523</v>
      </c>
      <c r="C3424" s="19" t="s">
        <v>2164</v>
      </c>
      <c r="D3424" s="22">
        <v>525000</v>
      </c>
      <c r="E3424" s="7">
        <v>39</v>
      </c>
      <c r="F3424" s="7">
        <v>4</v>
      </c>
      <c r="G3424" s="7">
        <v>2.1</v>
      </c>
      <c r="H3424" s="12">
        <v>2500</v>
      </c>
      <c r="I3424" s="8">
        <f t="shared" si="106"/>
        <v>210</v>
      </c>
      <c r="J3424" s="3" t="str">
        <f t="shared" si="107"/>
        <v>Medium</v>
      </c>
    </row>
    <row r="3425" spans="1:10">
      <c r="A3425" s="4" t="s">
        <v>3509</v>
      </c>
      <c r="B3425" s="16" t="s">
        <v>2163</v>
      </c>
      <c r="C3425" s="17" t="s">
        <v>2164</v>
      </c>
      <c r="D3425" s="21">
        <v>525000</v>
      </c>
      <c r="E3425" s="4">
        <v>23</v>
      </c>
      <c r="F3425" s="4">
        <v>4</v>
      </c>
      <c r="G3425" s="4">
        <v>2.1</v>
      </c>
      <c r="H3425" s="10">
        <v>2850</v>
      </c>
      <c r="I3425" s="5">
        <f t="shared" si="106"/>
        <v>184.21052631578948</v>
      </c>
      <c r="J3425" s="3" t="str">
        <f t="shared" si="107"/>
        <v>Low</v>
      </c>
    </row>
    <row r="3426" spans="1:10">
      <c r="A3426" s="7" t="s">
        <v>3510</v>
      </c>
      <c r="B3426" s="18" t="s">
        <v>2181</v>
      </c>
      <c r="C3426" s="19" t="s">
        <v>2164</v>
      </c>
      <c r="D3426" s="22">
        <v>525000</v>
      </c>
      <c r="E3426" s="7">
        <v>58</v>
      </c>
      <c r="F3426" s="7">
        <v>5</v>
      </c>
      <c r="G3426" s="7">
        <v>3</v>
      </c>
      <c r="H3426" s="12">
        <v>3202</v>
      </c>
      <c r="I3426" s="8">
        <f t="shared" si="106"/>
        <v>163.96002498438477</v>
      </c>
      <c r="J3426" s="3" t="str">
        <f t="shared" si="107"/>
        <v>Low</v>
      </c>
    </row>
    <row r="3427" spans="1:10">
      <c r="A3427" s="4" t="s">
        <v>3511</v>
      </c>
      <c r="B3427" s="16" t="s">
        <v>2193</v>
      </c>
      <c r="C3427" s="17" t="s">
        <v>2164</v>
      </c>
      <c r="D3427" s="21">
        <v>529900</v>
      </c>
      <c r="E3427" s="4">
        <v>30</v>
      </c>
      <c r="F3427" s="4">
        <v>4</v>
      </c>
      <c r="G3427" s="4">
        <v>2.1</v>
      </c>
      <c r="H3427" s="10">
        <v>2681</v>
      </c>
      <c r="I3427" s="5">
        <f t="shared" si="106"/>
        <v>197.65013054830288</v>
      </c>
      <c r="J3427" s="3" t="str">
        <f t="shared" si="107"/>
        <v>Low</v>
      </c>
    </row>
    <row r="3428" spans="1:10">
      <c r="A3428" s="7" t="s">
        <v>3512</v>
      </c>
      <c r="B3428" s="18" t="s">
        <v>2193</v>
      </c>
      <c r="C3428" s="19" t="s">
        <v>2164</v>
      </c>
      <c r="D3428" s="22">
        <v>529900</v>
      </c>
      <c r="E3428" s="7">
        <v>30</v>
      </c>
      <c r="F3428" s="7">
        <v>4</v>
      </c>
      <c r="G3428" s="7">
        <v>2.1</v>
      </c>
      <c r="H3428" s="12">
        <v>2681</v>
      </c>
      <c r="I3428" s="8">
        <f t="shared" si="106"/>
        <v>197.65013054830288</v>
      </c>
      <c r="J3428" s="3" t="str">
        <f t="shared" si="107"/>
        <v>Low</v>
      </c>
    </row>
    <row r="3429" spans="1:10">
      <c r="A3429" s="4" t="s">
        <v>3513</v>
      </c>
      <c r="B3429" s="16" t="s">
        <v>2193</v>
      </c>
      <c r="C3429" s="17" t="s">
        <v>2164</v>
      </c>
      <c r="D3429" s="21">
        <v>530000</v>
      </c>
      <c r="E3429" s="4">
        <v>145</v>
      </c>
      <c r="F3429" s="4">
        <v>4</v>
      </c>
      <c r="G3429" s="4">
        <v>2.1</v>
      </c>
      <c r="H3429" s="10">
        <v>2964</v>
      </c>
      <c r="I3429" s="5">
        <f t="shared" si="106"/>
        <v>178.81241565452092</v>
      </c>
      <c r="J3429" s="3" t="str">
        <f t="shared" si="107"/>
        <v>Low</v>
      </c>
    </row>
    <row r="3430" spans="1:10">
      <c r="A3430" s="7" t="s">
        <v>3514</v>
      </c>
      <c r="B3430" s="18" t="s">
        <v>2163</v>
      </c>
      <c r="C3430" s="19" t="s">
        <v>2164</v>
      </c>
      <c r="D3430" s="22">
        <v>535000</v>
      </c>
      <c r="E3430" s="7">
        <v>9</v>
      </c>
      <c r="F3430" s="7">
        <v>0</v>
      </c>
      <c r="G3430" s="7">
        <v>0.1</v>
      </c>
      <c r="H3430" s="12">
        <v>3290</v>
      </c>
      <c r="I3430" s="8">
        <f t="shared" si="106"/>
        <v>162.61398176291794</v>
      </c>
      <c r="J3430" s="3" t="str">
        <f t="shared" si="107"/>
        <v>Low</v>
      </c>
    </row>
    <row r="3431" spans="1:10">
      <c r="A3431" s="4" t="s">
        <v>3514</v>
      </c>
      <c r="B3431" s="16" t="s">
        <v>2163</v>
      </c>
      <c r="C3431" s="17" t="s">
        <v>2164</v>
      </c>
      <c r="D3431" s="21">
        <v>535000</v>
      </c>
      <c r="E3431" s="4">
        <v>169</v>
      </c>
      <c r="F3431" s="4">
        <v>4</v>
      </c>
      <c r="G3431" s="4">
        <v>2.1</v>
      </c>
      <c r="H3431" s="10">
        <v>3290</v>
      </c>
      <c r="I3431" s="5">
        <f t="shared" si="106"/>
        <v>162.61398176291794</v>
      </c>
      <c r="J3431" s="3" t="str">
        <f t="shared" si="107"/>
        <v>Low</v>
      </c>
    </row>
    <row r="3432" spans="1:10">
      <c r="A3432" s="7" t="s">
        <v>3515</v>
      </c>
      <c r="B3432" s="18" t="s">
        <v>2163</v>
      </c>
      <c r="C3432" s="19" t="s">
        <v>2164</v>
      </c>
      <c r="D3432" s="22">
        <v>540000</v>
      </c>
      <c r="E3432" s="7">
        <v>43</v>
      </c>
      <c r="F3432" s="7">
        <v>4</v>
      </c>
      <c r="G3432" s="7">
        <v>2.1</v>
      </c>
      <c r="H3432" s="12">
        <v>3315</v>
      </c>
      <c r="I3432" s="8">
        <f t="shared" si="106"/>
        <v>162.89592760180994</v>
      </c>
      <c r="J3432" s="3" t="str">
        <f t="shared" si="107"/>
        <v>Low</v>
      </c>
    </row>
    <row r="3433" spans="1:10">
      <c r="A3433" s="4" t="s">
        <v>3516</v>
      </c>
      <c r="B3433" s="16" t="s">
        <v>2316</v>
      </c>
      <c r="C3433" s="17" t="s">
        <v>2164</v>
      </c>
      <c r="D3433" s="21">
        <v>540000</v>
      </c>
      <c r="E3433" s="4">
        <v>248</v>
      </c>
      <c r="F3433" s="4">
        <v>3</v>
      </c>
      <c r="G3433" s="4">
        <v>2.1</v>
      </c>
      <c r="H3433" s="10">
        <v>2349</v>
      </c>
      <c r="I3433" s="5">
        <f t="shared" si="106"/>
        <v>229.88505747126436</v>
      </c>
      <c r="J3433" s="3" t="str">
        <f t="shared" si="107"/>
        <v>Medium</v>
      </c>
    </row>
    <row r="3434" spans="1:10">
      <c r="A3434" s="7" t="s">
        <v>3517</v>
      </c>
      <c r="B3434" s="18" t="s">
        <v>2316</v>
      </c>
      <c r="C3434" s="19" t="s">
        <v>2164</v>
      </c>
      <c r="D3434" s="22">
        <v>540000</v>
      </c>
      <c r="E3434" s="7">
        <v>135</v>
      </c>
      <c r="F3434" s="7">
        <v>3</v>
      </c>
      <c r="G3434" s="7">
        <v>2.1</v>
      </c>
      <c r="H3434" s="12">
        <v>2349</v>
      </c>
      <c r="I3434" s="8">
        <f t="shared" si="106"/>
        <v>229.88505747126436</v>
      </c>
      <c r="J3434" s="3" t="str">
        <f t="shared" si="107"/>
        <v>Medium</v>
      </c>
    </row>
    <row r="3435" spans="1:10">
      <c r="A3435" s="4" t="s">
        <v>3518</v>
      </c>
      <c r="B3435" s="16" t="s">
        <v>2163</v>
      </c>
      <c r="C3435" s="17" t="s">
        <v>2164</v>
      </c>
      <c r="D3435" s="21">
        <v>541470</v>
      </c>
      <c r="E3435" s="4">
        <v>2</v>
      </c>
      <c r="F3435" s="4">
        <v>4</v>
      </c>
      <c r="G3435" s="4">
        <v>3</v>
      </c>
      <c r="H3435" s="10">
        <v>2655</v>
      </c>
      <c r="I3435" s="5">
        <f t="shared" si="106"/>
        <v>203.94350282485877</v>
      </c>
      <c r="J3435" s="3" t="str">
        <f t="shared" si="107"/>
        <v>Medium</v>
      </c>
    </row>
    <row r="3436" spans="1:10">
      <c r="A3436" s="7" t="s">
        <v>3519</v>
      </c>
      <c r="B3436" s="18" t="s">
        <v>2163</v>
      </c>
      <c r="C3436" s="19" t="s">
        <v>2164</v>
      </c>
      <c r="D3436" s="22">
        <v>543632</v>
      </c>
      <c r="E3436" s="7">
        <v>258</v>
      </c>
      <c r="F3436" s="7">
        <v>3</v>
      </c>
      <c r="G3436" s="7">
        <v>2.1</v>
      </c>
      <c r="H3436" s="12">
        <v>1886</v>
      </c>
      <c r="I3436" s="8">
        <f t="shared" si="106"/>
        <v>288.2460233297985</v>
      </c>
      <c r="J3436" s="3" t="str">
        <f t="shared" si="107"/>
        <v>Medium</v>
      </c>
    </row>
    <row r="3437" spans="1:10">
      <c r="A3437" s="4" t="s">
        <v>3520</v>
      </c>
      <c r="B3437" s="16" t="s">
        <v>2193</v>
      </c>
      <c r="C3437" s="17" t="s">
        <v>2164</v>
      </c>
      <c r="D3437" s="21">
        <v>546000</v>
      </c>
      <c r="E3437" s="4">
        <v>78</v>
      </c>
      <c r="F3437" s="4">
        <v>3</v>
      </c>
      <c r="G3437" s="4">
        <v>2.1</v>
      </c>
      <c r="H3437" s="10">
        <v>2900</v>
      </c>
      <c r="I3437" s="5">
        <f t="shared" si="106"/>
        <v>188.27586206896552</v>
      </c>
      <c r="J3437" s="3" t="str">
        <f t="shared" si="107"/>
        <v>Low</v>
      </c>
    </row>
    <row r="3438" spans="1:10">
      <c r="A3438" s="7" t="s">
        <v>3521</v>
      </c>
      <c r="B3438" s="18" t="s">
        <v>2163</v>
      </c>
      <c r="C3438" s="19" t="s">
        <v>2164</v>
      </c>
      <c r="D3438" s="22">
        <v>546500</v>
      </c>
      <c r="E3438" s="7">
        <v>2</v>
      </c>
      <c r="F3438" s="7">
        <v>4</v>
      </c>
      <c r="G3438" s="7">
        <v>2.1</v>
      </c>
      <c r="H3438" s="12">
        <v>2900</v>
      </c>
      <c r="I3438" s="8">
        <f t="shared" si="106"/>
        <v>188.44827586206895</v>
      </c>
      <c r="J3438" s="3" t="str">
        <f t="shared" si="107"/>
        <v>Low</v>
      </c>
    </row>
    <row r="3439" spans="1:10">
      <c r="A3439" s="4" t="s">
        <v>3522</v>
      </c>
      <c r="B3439" s="16" t="s">
        <v>2163</v>
      </c>
      <c r="C3439" s="17" t="s">
        <v>2164</v>
      </c>
      <c r="D3439" s="21">
        <v>549900</v>
      </c>
      <c r="E3439" s="4">
        <v>133</v>
      </c>
      <c r="F3439" s="4">
        <v>4</v>
      </c>
      <c r="G3439" s="4">
        <v>2.1</v>
      </c>
      <c r="H3439" s="10">
        <v>2688</v>
      </c>
      <c r="I3439" s="5">
        <f t="shared" si="106"/>
        <v>204.57589285714286</v>
      </c>
      <c r="J3439" s="3" t="str">
        <f t="shared" si="107"/>
        <v>Medium</v>
      </c>
    </row>
    <row r="3440" spans="1:10">
      <c r="A3440" s="7" t="s">
        <v>3523</v>
      </c>
      <c r="B3440" s="18" t="s">
        <v>2563</v>
      </c>
      <c r="C3440" s="19" t="s">
        <v>2164</v>
      </c>
      <c r="D3440" s="22">
        <v>550000</v>
      </c>
      <c r="E3440" s="7">
        <v>118</v>
      </c>
      <c r="F3440" s="7">
        <v>3</v>
      </c>
      <c r="G3440" s="7">
        <v>3</v>
      </c>
      <c r="H3440" s="12">
        <v>3350</v>
      </c>
      <c r="I3440" s="8">
        <f t="shared" si="106"/>
        <v>164.17910447761193</v>
      </c>
      <c r="J3440" s="3" t="str">
        <f t="shared" si="107"/>
        <v>Low</v>
      </c>
    </row>
    <row r="3441" spans="1:10">
      <c r="A3441" s="4" t="s">
        <v>3524</v>
      </c>
      <c r="B3441" s="16" t="s">
        <v>2163</v>
      </c>
      <c r="C3441" s="17" t="s">
        <v>2164</v>
      </c>
      <c r="D3441" s="21">
        <v>550000</v>
      </c>
      <c r="E3441" s="4">
        <v>254</v>
      </c>
      <c r="F3441" s="4">
        <v>4</v>
      </c>
      <c r="G3441" s="4">
        <v>2.1</v>
      </c>
      <c r="H3441" s="10">
        <v>2800</v>
      </c>
      <c r="I3441" s="5">
        <f t="shared" si="106"/>
        <v>196.42857142857142</v>
      </c>
      <c r="J3441" s="3" t="str">
        <f t="shared" si="107"/>
        <v>Low</v>
      </c>
    </row>
    <row r="3442" spans="1:10">
      <c r="A3442" s="7" t="s">
        <v>3525</v>
      </c>
      <c r="B3442" s="18" t="s">
        <v>2316</v>
      </c>
      <c r="C3442" s="19" t="s">
        <v>2164</v>
      </c>
      <c r="D3442" s="22">
        <v>551950</v>
      </c>
      <c r="E3442" s="7">
        <v>28</v>
      </c>
      <c r="F3442" s="7">
        <v>3</v>
      </c>
      <c r="G3442" s="7">
        <v>2.1</v>
      </c>
      <c r="H3442" s="12">
        <v>2349</v>
      </c>
      <c r="I3442" s="8">
        <f t="shared" si="106"/>
        <v>234.97232865048957</v>
      </c>
      <c r="J3442" s="3" t="str">
        <f t="shared" si="107"/>
        <v>Medium</v>
      </c>
    </row>
    <row r="3443" spans="1:10">
      <c r="A3443" s="4" t="s">
        <v>3526</v>
      </c>
      <c r="B3443" s="16" t="s">
        <v>2163</v>
      </c>
      <c r="C3443" s="17" t="s">
        <v>2164</v>
      </c>
      <c r="D3443" s="21">
        <v>554000</v>
      </c>
      <c r="E3443" s="4">
        <v>148</v>
      </c>
      <c r="F3443" s="4">
        <v>3</v>
      </c>
      <c r="G3443" s="4">
        <v>2.1</v>
      </c>
      <c r="H3443" s="10">
        <v>2281</v>
      </c>
      <c r="I3443" s="5">
        <f t="shared" si="106"/>
        <v>242.87593160894343</v>
      </c>
      <c r="J3443" s="3" t="str">
        <f t="shared" si="107"/>
        <v>Medium</v>
      </c>
    </row>
    <row r="3444" spans="1:10">
      <c r="A3444" s="7" t="s">
        <v>3527</v>
      </c>
      <c r="B3444" s="18" t="s">
        <v>2563</v>
      </c>
      <c r="C3444" s="19" t="s">
        <v>2164</v>
      </c>
      <c r="D3444" s="22">
        <v>557500</v>
      </c>
      <c r="E3444" s="7">
        <v>70</v>
      </c>
      <c r="F3444" s="7">
        <v>3</v>
      </c>
      <c r="G3444" s="7">
        <v>2.1</v>
      </c>
      <c r="H3444" s="12">
        <v>2387</v>
      </c>
      <c r="I3444" s="8">
        <f t="shared" si="106"/>
        <v>233.55676581483033</v>
      </c>
      <c r="J3444" s="3" t="str">
        <f t="shared" si="107"/>
        <v>Medium</v>
      </c>
    </row>
    <row r="3445" spans="1:10">
      <c r="A3445" s="4" t="s">
        <v>3528</v>
      </c>
      <c r="B3445" s="16" t="s">
        <v>2193</v>
      </c>
      <c r="C3445" s="17" t="s">
        <v>2164</v>
      </c>
      <c r="D3445" s="21">
        <v>559877</v>
      </c>
      <c r="E3445" s="4">
        <v>160</v>
      </c>
      <c r="F3445" s="4">
        <v>4</v>
      </c>
      <c r="G3445" s="4">
        <v>2.1</v>
      </c>
      <c r="H3445" s="10">
        <v>2690</v>
      </c>
      <c r="I3445" s="5">
        <f t="shared" si="106"/>
        <v>208.13271375464683</v>
      </c>
      <c r="J3445" s="3" t="str">
        <f t="shared" si="107"/>
        <v>Medium</v>
      </c>
    </row>
    <row r="3446" spans="1:10">
      <c r="A3446" s="7" t="s">
        <v>3529</v>
      </c>
      <c r="B3446" s="18" t="s">
        <v>2163</v>
      </c>
      <c r="C3446" s="19" t="s">
        <v>2164</v>
      </c>
      <c r="D3446" s="22">
        <v>560000</v>
      </c>
      <c r="E3446" s="7">
        <v>8</v>
      </c>
      <c r="F3446" s="7">
        <v>4</v>
      </c>
      <c r="G3446" s="7">
        <v>2.2000000000000002</v>
      </c>
      <c r="H3446" s="12">
        <v>2718</v>
      </c>
      <c r="I3446" s="8">
        <f t="shared" si="106"/>
        <v>206.03384841795437</v>
      </c>
      <c r="J3446" s="3" t="str">
        <f t="shared" si="107"/>
        <v>Medium</v>
      </c>
    </row>
    <row r="3447" spans="1:10">
      <c r="A3447" s="4" t="s">
        <v>3530</v>
      </c>
      <c r="B3447" s="16" t="s">
        <v>2193</v>
      </c>
      <c r="C3447" s="17" t="s">
        <v>2164</v>
      </c>
      <c r="D3447" s="21">
        <v>560000</v>
      </c>
      <c r="E3447" s="4">
        <v>6</v>
      </c>
      <c r="F3447" s="4">
        <v>4</v>
      </c>
      <c r="G3447" s="4">
        <v>3.1</v>
      </c>
      <c r="H3447" s="10">
        <v>2735</v>
      </c>
      <c r="I3447" s="5">
        <f t="shared" si="106"/>
        <v>204.75319926873857</v>
      </c>
      <c r="J3447" s="3" t="str">
        <f t="shared" si="107"/>
        <v>Medium</v>
      </c>
    </row>
    <row r="3448" spans="1:10">
      <c r="A3448" s="7" t="s">
        <v>3531</v>
      </c>
      <c r="B3448" s="18" t="s">
        <v>2163</v>
      </c>
      <c r="C3448" s="19" t="s">
        <v>2164</v>
      </c>
      <c r="D3448" s="22">
        <v>560000</v>
      </c>
      <c r="E3448" s="7">
        <v>9</v>
      </c>
      <c r="F3448" s="7">
        <v>4</v>
      </c>
      <c r="G3448" s="7">
        <v>2.1</v>
      </c>
      <c r="H3448" s="12">
        <v>2737</v>
      </c>
      <c r="I3448" s="8">
        <f t="shared" si="106"/>
        <v>204.60358056265986</v>
      </c>
      <c r="J3448" s="3" t="str">
        <f t="shared" si="107"/>
        <v>Medium</v>
      </c>
    </row>
    <row r="3449" spans="1:10">
      <c r="A3449" s="4" t="s">
        <v>3532</v>
      </c>
      <c r="B3449" s="16" t="s">
        <v>2316</v>
      </c>
      <c r="C3449" s="17" t="s">
        <v>2164</v>
      </c>
      <c r="D3449" s="21">
        <v>560000</v>
      </c>
      <c r="E3449" s="4">
        <v>16</v>
      </c>
      <c r="F3449" s="4">
        <v>4</v>
      </c>
      <c r="G3449" s="4">
        <v>4.0999999999999996</v>
      </c>
      <c r="H3449" s="10">
        <v>3177</v>
      </c>
      <c r="I3449" s="5">
        <f t="shared" si="106"/>
        <v>176.26691847655022</v>
      </c>
      <c r="J3449" s="3" t="str">
        <f t="shared" si="107"/>
        <v>Low</v>
      </c>
    </row>
    <row r="3450" spans="1:10">
      <c r="A3450" s="7" t="s">
        <v>3533</v>
      </c>
      <c r="B3450" s="18" t="s">
        <v>2938</v>
      </c>
      <c r="C3450" s="19" t="s">
        <v>2164</v>
      </c>
      <c r="D3450" s="22">
        <v>560000</v>
      </c>
      <c r="E3450" s="7">
        <v>86</v>
      </c>
      <c r="F3450" s="7">
        <v>3</v>
      </c>
      <c r="G3450" s="7">
        <v>3</v>
      </c>
      <c r="H3450" s="12">
        <v>2412</v>
      </c>
      <c r="I3450" s="8">
        <f t="shared" si="106"/>
        <v>232.17247097844114</v>
      </c>
      <c r="J3450" s="3" t="str">
        <f t="shared" si="107"/>
        <v>Medium</v>
      </c>
    </row>
    <row r="3451" spans="1:10">
      <c r="A3451" s="4" t="s">
        <v>3534</v>
      </c>
      <c r="B3451" s="16" t="s">
        <v>2193</v>
      </c>
      <c r="C3451" s="17" t="s">
        <v>2164</v>
      </c>
      <c r="D3451" s="21">
        <v>560000</v>
      </c>
      <c r="E3451" s="4">
        <v>95</v>
      </c>
      <c r="F3451" s="4">
        <v>4</v>
      </c>
      <c r="G3451" s="4">
        <v>2.2000000000000002</v>
      </c>
      <c r="H3451" s="10">
        <v>2658</v>
      </c>
      <c r="I3451" s="5">
        <f t="shared" si="106"/>
        <v>210.68472535741159</v>
      </c>
      <c r="J3451" s="3" t="str">
        <f t="shared" si="107"/>
        <v>Medium</v>
      </c>
    </row>
    <row r="3452" spans="1:10">
      <c r="A3452" s="7" t="s">
        <v>3535</v>
      </c>
      <c r="B3452" s="18" t="s">
        <v>2181</v>
      </c>
      <c r="C3452" s="19" t="s">
        <v>2164</v>
      </c>
      <c r="D3452" s="22">
        <v>562500</v>
      </c>
      <c r="E3452" s="7">
        <v>45</v>
      </c>
      <c r="F3452" s="7">
        <v>4</v>
      </c>
      <c r="G3452" s="7">
        <v>3.1</v>
      </c>
      <c r="H3452" s="12">
        <v>3105</v>
      </c>
      <c r="I3452" s="8">
        <f t="shared" si="106"/>
        <v>181.15942028985506</v>
      </c>
      <c r="J3452" s="3" t="str">
        <f t="shared" si="107"/>
        <v>Low</v>
      </c>
    </row>
    <row r="3453" spans="1:10">
      <c r="A3453" s="4" t="s">
        <v>3536</v>
      </c>
      <c r="B3453" s="16" t="s">
        <v>2407</v>
      </c>
      <c r="C3453" s="17" t="s">
        <v>2164</v>
      </c>
      <c r="D3453" s="21">
        <v>565000</v>
      </c>
      <c r="E3453" s="4">
        <v>7</v>
      </c>
      <c r="F3453" s="4">
        <v>4</v>
      </c>
      <c r="G3453" s="4">
        <v>2.1</v>
      </c>
      <c r="H3453" s="10">
        <v>2958</v>
      </c>
      <c r="I3453" s="5">
        <f t="shared" si="106"/>
        <v>191.00743745774173</v>
      </c>
      <c r="J3453" s="3" t="str">
        <f t="shared" si="107"/>
        <v>Low</v>
      </c>
    </row>
    <row r="3454" spans="1:10">
      <c r="A3454" s="7" t="s">
        <v>3537</v>
      </c>
      <c r="B3454" s="18" t="s">
        <v>2563</v>
      </c>
      <c r="C3454" s="19" t="s">
        <v>2164</v>
      </c>
      <c r="D3454" s="22">
        <v>565000</v>
      </c>
      <c r="E3454" s="7">
        <v>9</v>
      </c>
      <c r="F3454" s="7">
        <v>4</v>
      </c>
      <c r="G3454" s="7">
        <v>3.1</v>
      </c>
      <c r="H3454" s="12">
        <v>2142</v>
      </c>
      <c r="I3454" s="8">
        <f t="shared" si="106"/>
        <v>263.77217553688143</v>
      </c>
      <c r="J3454" s="3" t="str">
        <f t="shared" si="107"/>
        <v>Medium</v>
      </c>
    </row>
    <row r="3455" spans="1:10">
      <c r="A3455" s="4" t="s">
        <v>3538</v>
      </c>
      <c r="B3455" s="16" t="s">
        <v>2163</v>
      </c>
      <c r="C3455" s="17" t="s">
        <v>2164</v>
      </c>
      <c r="D3455" s="21">
        <v>566000</v>
      </c>
      <c r="E3455" s="4">
        <v>10</v>
      </c>
      <c r="F3455" s="4">
        <v>4</v>
      </c>
      <c r="G3455" s="4">
        <v>2.1</v>
      </c>
      <c r="H3455" s="10">
        <v>3242</v>
      </c>
      <c r="I3455" s="5">
        <f t="shared" si="106"/>
        <v>174.58359037631092</v>
      </c>
      <c r="J3455" s="3" t="str">
        <f t="shared" si="107"/>
        <v>Low</v>
      </c>
    </row>
    <row r="3456" spans="1:10">
      <c r="A3456" s="7" t="s">
        <v>3539</v>
      </c>
      <c r="B3456" s="18" t="s">
        <v>2163</v>
      </c>
      <c r="C3456" s="19" t="s">
        <v>2164</v>
      </c>
      <c r="D3456" s="22">
        <v>566000</v>
      </c>
      <c r="E3456" s="7">
        <v>10</v>
      </c>
      <c r="F3456" s="7">
        <v>4</v>
      </c>
      <c r="G3456" s="7">
        <v>2.1</v>
      </c>
      <c r="H3456" s="12">
        <v>3242</v>
      </c>
      <c r="I3456" s="8">
        <f t="shared" si="106"/>
        <v>174.58359037631092</v>
      </c>
      <c r="J3456" s="3" t="str">
        <f t="shared" si="107"/>
        <v>Low</v>
      </c>
    </row>
    <row r="3457" spans="1:10">
      <c r="A3457" s="4" t="s">
        <v>3540</v>
      </c>
      <c r="B3457" s="16" t="s">
        <v>2163</v>
      </c>
      <c r="C3457" s="17" t="s">
        <v>2164</v>
      </c>
      <c r="D3457" s="21">
        <v>566990</v>
      </c>
      <c r="E3457" s="4">
        <v>190</v>
      </c>
      <c r="F3457" s="4">
        <v>5</v>
      </c>
      <c r="G3457" s="4">
        <v>3.1</v>
      </c>
      <c r="H3457" s="10">
        <v>3080</v>
      </c>
      <c r="I3457" s="5">
        <f t="shared" si="106"/>
        <v>184.08766233766235</v>
      </c>
      <c r="J3457" s="3" t="str">
        <f t="shared" si="107"/>
        <v>Low</v>
      </c>
    </row>
    <row r="3458" spans="1:10">
      <c r="A3458" s="7" t="s">
        <v>3541</v>
      </c>
      <c r="B3458" s="18" t="s">
        <v>2316</v>
      </c>
      <c r="C3458" s="19" t="s">
        <v>2164</v>
      </c>
      <c r="D3458" s="22">
        <v>567760</v>
      </c>
      <c r="E3458" s="7">
        <v>1</v>
      </c>
      <c r="F3458" s="7">
        <v>4</v>
      </c>
      <c r="G3458" s="7">
        <v>3</v>
      </c>
      <c r="H3458" s="12">
        <v>2768</v>
      </c>
      <c r="I3458" s="8">
        <f t="shared" ref="I3458:I3521" si="108">D3458/H3458</f>
        <v>205.11560693641619</v>
      </c>
      <c r="J3458" s="3" t="str">
        <f t="shared" ref="J3458:J3521" si="109">IF(I3458 &gt; 300, "High", IF(AND(I3458 &lt;= 300, I3458 &gt; 200), "Medium", "Low"))</f>
        <v>Medium</v>
      </c>
    </row>
    <row r="3459" spans="1:10">
      <c r="A3459" s="4" t="s">
        <v>3542</v>
      </c>
      <c r="B3459" s="16" t="s">
        <v>2407</v>
      </c>
      <c r="C3459" s="17" t="s">
        <v>2164</v>
      </c>
      <c r="D3459" s="21">
        <v>569600</v>
      </c>
      <c r="E3459" s="4">
        <v>11</v>
      </c>
      <c r="F3459" s="4">
        <v>3</v>
      </c>
      <c r="G3459" s="4">
        <v>2</v>
      </c>
      <c r="H3459" s="10">
        <v>2000</v>
      </c>
      <c r="I3459" s="5">
        <f t="shared" si="108"/>
        <v>284.8</v>
      </c>
      <c r="J3459" s="3" t="str">
        <f t="shared" si="109"/>
        <v>Medium</v>
      </c>
    </row>
    <row r="3460" spans="1:10">
      <c r="A3460" s="7" t="s">
        <v>3543</v>
      </c>
      <c r="B3460" s="18" t="s">
        <v>3151</v>
      </c>
      <c r="C3460" s="19" t="s">
        <v>2164</v>
      </c>
      <c r="D3460" s="22">
        <v>575000</v>
      </c>
      <c r="E3460" s="7">
        <v>80</v>
      </c>
      <c r="F3460" s="7">
        <v>2</v>
      </c>
      <c r="G3460" s="7">
        <v>2</v>
      </c>
      <c r="H3460" s="12">
        <v>1720</v>
      </c>
      <c r="I3460" s="8">
        <f t="shared" si="108"/>
        <v>334.30232558139534</v>
      </c>
      <c r="J3460" s="3" t="str">
        <f t="shared" si="109"/>
        <v>High</v>
      </c>
    </row>
    <row r="3461" spans="1:10">
      <c r="A3461" s="4" t="s">
        <v>3544</v>
      </c>
      <c r="B3461" s="16" t="s">
        <v>2193</v>
      </c>
      <c r="C3461" s="17" t="s">
        <v>2164</v>
      </c>
      <c r="D3461" s="21">
        <v>575000</v>
      </c>
      <c r="E3461" s="4">
        <v>56</v>
      </c>
      <c r="F3461" s="4">
        <v>5</v>
      </c>
      <c r="G3461" s="4">
        <v>3</v>
      </c>
      <c r="H3461" s="10">
        <v>2730</v>
      </c>
      <c r="I3461" s="5">
        <f t="shared" si="108"/>
        <v>210.62271062271063</v>
      </c>
      <c r="J3461" s="3" t="str">
        <f t="shared" si="109"/>
        <v>Medium</v>
      </c>
    </row>
    <row r="3462" spans="1:10">
      <c r="A3462" s="7" t="s">
        <v>3545</v>
      </c>
      <c r="B3462" s="18" t="s">
        <v>2252</v>
      </c>
      <c r="C3462" s="19" t="s">
        <v>2164</v>
      </c>
      <c r="D3462" s="22">
        <v>575000</v>
      </c>
      <c r="E3462" s="7">
        <v>33</v>
      </c>
      <c r="F3462" s="7">
        <v>4</v>
      </c>
      <c r="G3462" s="7">
        <v>3.1</v>
      </c>
      <c r="H3462" s="12">
        <v>2618</v>
      </c>
      <c r="I3462" s="8">
        <f t="shared" si="108"/>
        <v>219.63330786860197</v>
      </c>
      <c r="J3462" s="3" t="str">
        <f t="shared" si="109"/>
        <v>Medium</v>
      </c>
    </row>
    <row r="3463" spans="1:10">
      <c r="A3463" s="4" t="s">
        <v>3546</v>
      </c>
      <c r="B3463" s="16" t="s">
        <v>2938</v>
      </c>
      <c r="C3463" s="17" t="s">
        <v>2164</v>
      </c>
      <c r="D3463" s="21">
        <v>575000</v>
      </c>
      <c r="E3463" s="4">
        <v>463</v>
      </c>
      <c r="F3463" s="4">
        <v>4</v>
      </c>
      <c r="G3463" s="4">
        <v>2.1</v>
      </c>
      <c r="H3463" s="10">
        <v>2944</v>
      </c>
      <c r="I3463" s="5">
        <f t="shared" si="108"/>
        <v>195.3125</v>
      </c>
      <c r="J3463" s="3" t="str">
        <f t="shared" si="109"/>
        <v>Low</v>
      </c>
    </row>
    <row r="3464" spans="1:10">
      <c r="A3464" s="7" t="s">
        <v>3547</v>
      </c>
      <c r="B3464" s="18" t="s">
        <v>2563</v>
      </c>
      <c r="C3464" s="19" t="s">
        <v>2164</v>
      </c>
      <c r="D3464" s="22">
        <v>578000</v>
      </c>
      <c r="E3464" s="7">
        <v>84</v>
      </c>
      <c r="F3464" s="7">
        <v>4</v>
      </c>
      <c r="G3464" s="7">
        <v>2.1</v>
      </c>
      <c r="H3464" s="12">
        <v>2758</v>
      </c>
      <c r="I3464" s="8">
        <f t="shared" si="108"/>
        <v>209.57215373459027</v>
      </c>
      <c r="J3464" s="3" t="str">
        <f t="shared" si="109"/>
        <v>Medium</v>
      </c>
    </row>
    <row r="3465" spans="1:10">
      <c r="A3465" s="4" t="s">
        <v>3548</v>
      </c>
      <c r="B3465" s="16" t="s">
        <v>2163</v>
      </c>
      <c r="C3465" s="17" t="s">
        <v>2164</v>
      </c>
      <c r="D3465" s="21">
        <v>580000</v>
      </c>
      <c r="E3465" s="4">
        <v>9</v>
      </c>
      <c r="F3465" s="4">
        <v>3</v>
      </c>
      <c r="G3465" s="4">
        <v>3.1</v>
      </c>
      <c r="H3465" s="10">
        <v>2236</v>
      </c>
      <c r="I3465" s="5">
        <f t="shared" si="108"/>
        <v>259.391771019678</v>
      </c>
      <c r="J3465" s="3" t="str">
        <f t="shared" si="109"/>
        <v>Medium</v>
      </c>
    </row>
    <row r="3466" spans="1:10">
      <c r="A3466" s="7" t="s">
        <v>3549</v>
      </c>
      <c r="B3466" s="18" t="s">
        <v>2163</v>
      </c>
      <c r="C3466" s="19" t="s">
        <v>2164</v>
      </c>
      <c r="D3466" s="22">
        <v>580000</v>
      </c>
      <c r="E3466" s="7">
        <v>101</v>
      </c>
      <c r="F3466" s="7">
        <v>4</v>
      </c>
      <c r="G3466" s="7">
        <v>2.1</v>
      </c>
      <c r="H3466" s="12">
        <v>2800</v>
      </c>
      <c r="I3466" s="8">
        <f t="shared" si="108"/>
        <v>207.14285714285714</v>
      </c>
      <c r="J3466" s="3" t="str">
        <f t="shared" si="109"/>
        <v>Medium</v>
      </c>
    </row>
    <row r="3467" spans="1:10">
      <c r="A3467" s="4" t="s">
        <v>3550</v>
      </c>
      <c r="B3467" s="16" t="s">
        <v>2163</v>
      </c>
      <c r="C3467" s="17" t="s">
        <v>2164</v>
      </c>
      <c r="D3467" s="21">
        <v>580000</v>
      </c>
      <c r="E3467" s="4">
        <v>153</v>
      </c>
      <c r="F3467" s="4">
        <v>4</v>
      </c>
      <c r="G3467" s="4">
        <v>3.1</v>
      </c>
      <c r="H3467" s="10">
        <v>3170</v>
      </c>
      <c r="I3467" s="5">
        <f t="shared" si="108"/>
        <v>182.9652996845426</v>
      </c>
      <c r="J3467" s="3" t="str">
        <f t="shared" si="109"/>
        <v>Low</v>
      </c>
    </row>
    <row r="3468" spans="1:10">
      <c r="A3468" s="7" t="s">
        <v>3551</v>
      </c>
      <c r="B3468" s="18" t="s">
        <v>2163</v>
      </c>
      <c r="C3468" s="19" t="s">
        <v>2164</v>
      </c>
      <c r="D3468" s="22">
        <v>585000</v>
      </c>
      <c r="E3468" s="7">
        <v>3</v>
      </c>
      <c r="F3468" s="7">
        <v>3</v>
      </c>
      <c r="G3468" s="7">
        <v>2.1</v>
      </c>
      <c r="H3468" s="12">
        <v>2312</v>
      </c>
      <c r="I3468" s="8">
        <f t="shared" si="108"/>
        <v>253.02768166089965</v>
      </c>
      <c r="J3468" s="3" t="str">
        <f t="shared" si="109"/>
        <v>Medium</v>
      </c>
    </row>
    <row r="3469" spans="1:10">
      <c r="A3469" s="4" t="s">
        <v>3552</v>
      </c>
      <c r="B3469" s="16" t="s">
        <v>2163</v>
      </c>
      <c r="C3469" s="17" t="s">
        <v>2164</v>
      </c>
      <c r="D3469" s="21">
        <v>589900</v>
      </c>
      <c r="E3469" s="4">
        <v>146</v>
      </c>
      <c r="F3469" s="4">
        <v>4</v>
      </c>
      <c r="G3469" s="4">
        <v>2.1</v>
      </c>
      <c r="H3469" s="10">
        <v>2828</v>
      </c>
      <c r="I3469" s="5">
        <f t="shared" si="108"/>
        <v>208.5926449787836</v>
      </c>
      <c r="J3469" s="3" t="str">
        <f t="shared" si="109"/>
        <v>Medium</v>
      </c>
    </row>
    <row r="3470" spans="1:10">
      <c r="A3470" s="7" t="s">
        <v>3553</v>
      </c>
      <c r="B3470" s="18" t="s">
        <v>2193</v>
      </c>
      <c r="C3470" s="19" t="s">
        <v>2164</v>
      </c>
      <c r="D3470" s="22">
        <v>590000</v>
      </c>
      <c r="E3470" s="7">
        <v>0</v>
      </c>
      <c r="F3470" s="7">
        <v>4</v>
      </c>
      <c r="G3470" s="7">
        <v>2.1</v>
      </c>
      <c r="H3470" s="12">
        <v>3223</v>
      </c>
      <c r="I3470" s="8">
        <f t="shared" si="108"/>
        <v>183.05926155755506</v>
      </c>
      <c r="J3470" s="3" t="str">
        <f t="shared" si="109"/>
        <v>Low</v>
      </c>
    </row>
    <row r="3471" spans="1:10">
      <c r="A3471" s="4" t="s">
        <v>3554</v>
      </c>
      <c r="B3471" s="16" t="s">
        <v>2163</v>
      </c>
      <c r="C3471" s="17" t="s">
        <v>2164</v>
      </c>
      <c r="D3471" s="21">
        <v>594900</v>
      </c>
      <c r="E3471" s="4">
        <v>301</v>
      </c>
      <c r="F3471" s="4">
        <v>4</v>
      </c>
      <c r="G3471" s="4">
        <v>2.1</v>
      </c>
      <c r="H3471" s="10">
        <v>3020</v>
      </c>
      <c r="I3471" s="5">
        <f t="shared" si="108"/>
        <v>196.98675496688742</v>
      </c>
      <c r="J3471" s="3" t="str">
        <f t="shared" si="109"/>
        <v>Low</v>
      </c>
    </row>
    <row r="3472" spans="1:10">
      <c r="A3472" s="7" t="s">
        <v>3555</v>
      </c>
      <c r="B3472" s="18" t="s">
        <v>2316</v>
      </c>
      <c r="C3472" s="19" t="s">
        <v>2164</v>
      </c>
      <c r="D3472" s="22">
        <v>595000</v>
      </c>
      <c r="E3472" s="7">
        <v>63</v>
      </c>
      <c r="F3472" s="7">
        <v>4</v>
      </c>
      <c r="G3472" s="7">
        <v>4</v>
      </c>
      <c r="H3472" s="12">
        <v>3339</v>
      </c>
      <c r="I3472" s="8">
        <f t="shared" si="108"/>
        <v>178.19706498951783</v>
      </c>
      <c r="J3472" s="3" t="str">
        <f t="shared" si="109"/>
        <v>Low</v>
      </c>
    </row>
    <row r="3473" spans="1:10">
      <c r="A3473" s="4" t="s">
        <v>3556</v>
      </c>
      <c r="B3473" s="16" t="s">
        <v>2193</v>
      </c>
      <c r="C3473" s="17" t="s">
        <v>2164</v>
      </c>
      <c r="D3473" s="21">
        <v>595000</v>
      </c>
      <c r="E3473" s="4">
        <v>64</v>
      </c>
      <c r="F3473" s="4">
        <v>4</v>
      </c>
      <c r="G3473" s="4">
        <v>2.1</v>
      </c>
      <c r="H3473" s="10">
        <v>2700</v>
      </c>
      <c r="I3473" s="5">
        <f t="shared" si="108"/>
        <v>220.37037037037038</v>
      </c>
      <c r="J3473" s="3" t="str">
        <f t="shared" si="109"/>
        <v>Medium</v>
      </c>
    </row>
    <row r="3474" spans="1:10">
      <c r="A3474" s="7" t="s">
        <v>3557</v>
      </c>
      <c r="B3474" s="18" t="s">
        <v>2938</v>
      </c>
      <c r="C3474" s="19" t="s">
        <v>2164</v>
      </c>
      <c r="D3474" s="22">
        <v>595900</v>
      </c>
      <c r="E3474" s="7">
        <v>76</v>
      </c>
      <c r="F3474" s="7">
        <v>4</v>
      </c>
      <c r="G3474" s="7">
        <v>3.1</v>
      </c>
      <c r="H3474" s="12">
        <v>2410</v>
      </c>
      <c r="I3474" s="8">
        <f t="shared" si="108"/>
        <v>247.26141078838174</v>
      </c>
      <c r="J3474" s="3" t="str">
        <f t="shared" si="109"/>
        <v>Medium</v>
      </c>
    </row>
    <row r="3475" spans="1:10">
      <c r="A3475" s="4" t="s">
        <v>3558</v>
      </c>
      <c r="B3475" s="16" t="s">
        <v>2938</v>
      </c>
      <c r="C3475" s="17" t="s">
        <v>2164</v>
      </c>
      <c r="D3475" s="21">
        <v>595900</v>
      </c>
      <c r="E3475" s="4">
        <v>76</v>
      </c>
      <c r="F3475" s="4">
        <v>4</v>
      </c>
      <c r="G3475" s="4">
        <v>3.1</v>
      </c>
      <c r="H3475" s="10">
        <v>2397</v>
      </c>
      <c r="I3475" s="5">
        <f t="shared" si="108"/>
        <v>248.60241969128077</v>
      </c>
      <c r="J3475" s="3" t="str">
        <f t="shared" si="109"/>
        <v>Medium</v>
      </c>
    </row>
    <row r="3476" spans="1:10">
      <c r="A3476" s="7" t="s">
        <v>3559</v>
      </c>
      <c r="B3476" s="18" t="s">
        <v>2563</v>
      </c>
      <c r="C3476" s="19" t="s">
        <v>2164</v>
      </c>
      <c r="D3476" s="22">
        <v>597000</v>
      </c>
      <c r="E3476" s="7">
        <v>6</v>
      </c>
      <c r="F3476" s="7">
        <v>5</v>
      </c>
      <c r="G3476" s="7">
        <v>3.1</v>
      </c>
      <c r="H3476" s="12">
        <v>3200</v>
      </c>
      <c r="I3476" s="8">
        <f t="shared" si="108"/>
        <v>186.5625</v>
      </c>
      <c r="J3476" s="3" t="str">
        <f t="shared" si="109"/>
        <v>Low</v>
      </c>
    </row>
    <row r="3477" spans="1:10">
      <c r="A3477" s="4" t="s">
        <v>3560</v>
      </c>
      <c r="B3477" s="16" t="s">
        <v>2395</v>
      </c>
      <c r="C3477" s="17" t="s">
        <v>2164</v>
      </c>
      <c r="D3477" s="21">
        <v>597662</v>
      </c>
      <c r="E3477" s="4">
        <v>302</v>
      </c>
      <c r="F3477" s="4">
        <v>4</v>
      </c>
      <c r="G3477" s="4">
        <v>2</v>
      </c>
      <c r="H3477" s="10">
        <v>1897</v>
      </c>
      <c r="I3477" s="5">
        <f t="shared" si="108"/>
        <v>315.05640484976277</v>
      </c>
      <c r="J3477" s="3" t="str">
        <f t="shared" si="109"/>
        <v>High</v>
      </c>
    </row>
    <row r="3478" spans="1:10">
      <c r="A3478" s="7" t="s">
        <v>3561</v>
      </c>
      <c r="B3478" s="18" t="s">
        <v>2163</v>
      </c>
      <c r="C3478" s="19" t="s">
        <v>2164</v>
      </c>
      <c r="D3478" s="22">
        <v>599400</v>
      </c>
      <c r="E3478" s="7">
        <v>15</v>
      </c>
      <c r="F3478" s="7">
        <v>4</v>
      </c>
      <c r="G3478" s="7">
        <v>2.1</v>
      </c>
      <c r="H3478" s="12">
        <v>3125</v>
      </c>
      <c r="I3478" s="8">
        <f t="shared" si="108"/>
        <v>191.80799999999999</v>
      </c>
      <c r="J3478" s="3" t="str">
        <f t="shared" si="109"/>
        <v>Low</v>
      </c>
    </row>
    <row r="3479" spans="1:10">
      <c r="A3479" s="4" t="s">
        <v>3562</v>
      </c>
      <c r="B3479" s="16" t="s">
        <v>2163</v>
      </c>
      <c r="C3479" s="17" t="s">
        <v>2164</v>
      </c>
      <c r="D3479" s="21">
        <v>599400</v>
      </c>
      <c r="E3479" s="4">
        <v>15</v>
      </c>
      <c r="F3479" s="4">
        <v>4</v>
      </c>
      <c r="G3479" s="4">
        <v>2.1</v>
      </c>
      <c r="H3479" s="10">
        <v>3125</v>
      </c>
      <c r="I3479" s="5">
        <f t="shared" si="108"/>
        <v>191.80799999999999</v>
      </c>
      <c r="J3479" s="3" t="str">
        <f t="shared" si="109"/>
        <v>Low</v>
      </c>
    </row>
    <row r="3480" spans="1:10">
      <c r="A3480" s="7" t="s">
        <v>3563</v>
      </c>
      <c r="B3480" s="18" t="s">
        <v>2163</v>
      </c>
      <c r="C3480" s="19" t="s">
        <v>2164</v>
      </c>
      <c r="D3480" s="22">
        <v>600000</v>
      </c>
      <c r="E3480" s="7">
        <v>49</v>
      </c>
      <c r="F3480" s="7">
        <v>3</v>
      </c>
      <c r="G3480" s="7">
        <v>3.1</v>
      </c>
      <c r="H3480" s="12">
        <v>2521</v>
      </c>
      <c r="I3480" s="8">
        <f t="shared" si="108"/>
        <v>238.00079333597779</v>
      </c>
      <c r="J3480" s="3" t="str">
        <f t="shared" si="109"/>
        <v>Medium</v>
      </c>
    </row>
    <row r="3481" spans="1:10">
      <c r="A3481" s="4" t="s">
        <v>3564</v>
      </c>
      <c r="B3481" s="16" t="s">
        <v>2316</v>
      </c>
      <c r="C3481" s="17" t="s">
        <v>2164</v>
      </c>
      <c r="D3481" s="21">
        <v>600000</v>
      </c>
      <c r="E3481" s="4">
        <v>56</v>
      </c>
      <c r="F3481" s="4">
        <v>3</v>
      </c>
      <c r="G3481" s="4">
        <v>2.1</v>
      </c>
      <c r="H3481" s="10">
        <v>2400</v>
      </c>
      <c r="I3481" s="5">
        <f t="shared" si="108"/>
        <v>250</v>
      </c>
      <c r="J3481" s="3" t="str">
        <f t="shared" si="109"/>
        <v>Medium</v>
      </c>
    </row>
    <row r="3482" spans="1:10">
      <c r="A3482" s="7" t="s">
        <v>3565</v>
      </c>
      <c r="B3482" s="18" t="s">
        <v>2163</v>
      </c>
      <c r="C3482" s="19" t="s">
        <v>2164</v>
      </c>
      <c r="D3482" s="22">
        <v>605000</v>
      </c>
      <c r="E3482" s="7">
        <v>132</v>
      </c>
      <c r="F3482" s="7">
        <v>4</v>
      </c>
      <c r="G3482" s="7">
        <v>2.1</v>
      </c>
      <c r="H3482" s="12">
        <v>3236</v>
      </c>
      <c r="I3482" s="8">
        <f t="shared" si="108"/>
        <v>186.95920889987639</v>
      </c>
      <c r="J3482" s="3" t="str">
        <f t="shared" si="109"/>
        <v>Low</v>
      </c>
    </row>
    <row r="3483" spans="1:10">
      <c r="A3483" s="4" t="s">
        <v>3566</v>
      </c>
      <c r="B3483" s="16" t="s">
        <v>2163</v>
      </c>
      <c r="C3483" s="17" t="s">
        <v>2164</v>
      </c>
      <c r="D3483" s="21">
        <v>605000</v>
      </c>
      <c r="E3483" s="4">
        <v>15</v>
      </c>
      <c r="F3483" s="4">
        <v>4</v>
      </c>
      <c r="G3483" s="4">
        <v>2.1</v>
      </c>
      <c r="H3483" s="10">
        <v>3251</v>
      </c>
      <c r="I3483" s="5">
        <f t="shared" si="108"/>
        <v>186.09658566594894</v>
      </c>
      <c r="J3483" s="3" t="str">
        <f t="shared" si="109"/>
        <v>Low</v>
      </c>
    </row>
    <row r="3484" spans="1:10">
      <c r="A3484" s="7" t="s">
        <v>3567</v>
      </c>
      <c r="B3484" s="18" t="s">
        <v>2163</v>
      </c>
      <c r="C3484" s="19" t="s">
        <v>2164</v>
      </c>
      <c r="D3484" s="22">
        <v>605000</v>
      </c>
      <c r="E3484" s="7">
        <v>205</v>
      </c>
      <c r="F3484" s="7">
        <v>4</v>
      </c>
      <c r="G3484" s="7">
        <v>2.1</v>
      </c>
      <c r="H3484" s="12">
        <v>2950</v>
      </c>
      <c r="I3484" s="8">
        <f t="shared" si="108"/>
        <v>205.08474576271186</v>
      </c>
      <c r="J3484" s="3" t="str">
        <f t="shared" si="109"/>
        <v>Medium</v>
      </c>
    </row>
    <row r="3485" spans="1:10">
      <c r="A3485" s="4" t="s">
        <v>3568</v>
      </c>
      <c r="B3485" s="16" t="s">
        <v>3151</v>
      </c>
      <c r="C3485" s="17" t="s">
        <v>2164</v>
      </c>
      <c r="D3485" s="21">
        <v>605206</v>
      </c>
      <c r="E3485" s="4">
        <v>385</v>
      </c>
      <c r="F3485" s="4">
        <v>4</v>
      </c>
      <c r="G3485" s="4">
        <v>2.1</v>
      </c>
      <c r="H3485" s="10">
        <v>2756</v>
      </c>
      <c r="I3485" s="5">
        <f t="shared" si="108"/>
        <v>219.59579100145137</v>
      </c>
      <c r="J3485" s="3" t="str">
        <f t="shared" si="109"/>
        <v>Medium</v>
      </c>
    </row>
    <row r="3486" spans="1:10">
      <c r="A3486" s="7" t="s">
        <v>3569</v>
      </c>
      <c r="B3486" s="18" t="s">
        <v>2163</v>
      </c>
      <c r="C3486" s="19" t="s">
        <v>2164</v>
      </c>
      <c r="D3486" s="22">
        <v>609900</v>
      </c>
      <c r="E3486" s="7">
        <v>6</v>
      </c>
      <c r="F3486" s="7">
        <v>4</v>
      </c>
      <c r="G3486" s="7">
        <v>2.1</v>
      </c>
      <c r="H3486" s="12">
        <v>3100</v>
      </c>
      <c r="I3486" s="8">
        <f t="shared" si="108"/>
        <v>196.74193548387098</v>
      </c>
      <c r="J3486" s="3" t="str">
        <f t="shared" si="109"/>
        <v>Low</v>
      </c>
    </row>
    <row r="3487" spans="1:10">
      <c r="A3487" s="4" t="s">
        <v>3570</v>
      </c>
      <c r="B3487" s="16" t="s">
        <v>2316</v>
      </c>
      <c r="C3487" s="17" t="s">
        <v>2164</v>
      </c>
      <c r="D3487" s="21">
        <v>610000</v>
      </c>
      <c r="E3487" s="4">
        <v>1</v>
      </c>
      <c r="F3487" s="4">
        <v>4</v>
      </c>
      <c r="G3487" s="4">
        <v>3.1</v>
      </c>
      <c r="H3487" s="10">
        <v>3493</v>
      </c>
      <c r="I3487" s="5">
        <f t="shared" si="108"/>
        <v>174.63498425422273</v>
      </c>
      <c r="J3487" s="3" t="str">
        <f t="shared" si="109"/>
        <v>Low</v>
      </c>
    </row>
    <row r="3488" spans="1:10">
      <c r="A3488" s="7" t="s">
        <v>3571</v>
      </c>
      <c r="B3488" s="18" t="s">
        <v>2563</v>
      </c>
      <c r="C3488" s="19" t="s">
        <v>2164</v>
      </c>
      <c r="D3488" s="22">
        <v>610000</v>
      </c>
      <c r="E3488" s="7">
        <v>92</v>
      </c>
      <c r="F3488" s="7">
        <v>4</v>
      </c>
      <c r="G3488" s="7">
        <v>2.1</v>
      </c>
      <c r="H3488" s="12">
        <v>2980</v>
      </c>
      <c r="I3488" s="8">
        <f t="shared" si="108"/>
        <v>204.69798657718121</v>
      </c>
      <c r="J3488" s="3" t="str">
        <f t="shared" si="109"/>
        <v>Medium</v>
      </c>
    </row>
    <row r="3489" spans="1:10">
      <c r="A3489" s="4" t="s">
        <v>3572</v>
      </c>
      <c r="B3489" s="16" t="s">
        <v>2407</v>
      </c>
      <c r="C3489" s="17" t="s">
        <v>2164</v>
      </c>
      <c r="D3489" s="21">
        <v>612000</v>
      </c>
      <c r="E3489" s="4">
        <v>15</v>
      </c>
      <c r="F3489" s="4">
        <v>4</v>
      </c>
      <c r="G3489" s="4">
        <v>2.1</v>
      </c>
      <c r="H3489" s="10">
        <v>4024</v>
      </c>
      <c r="I3489" s="5">
        <f t="shared" si="108"/>
        <v>152.08747514910536</v>
      </c>
      <c r="J3489" s="3" t="str">
        <f t="shared" si="109"/>
        <v>Low</v>
      </c>
    </row>
    <row r="3490" spans="1:10">
      <c r="A3490" s="7" t="s">
        <v>3573</v>
      </c>
      <c r="B3490" s="18" t="s">
        <v>2193</v>
      </c>
      <c r="C3490" s="19" t="s">
        <v>2164</v>
      </c>
      <c r="D3490" s="22">
        <v>622000</v>
      </c>
      <c r="E3490" s="7">
        <v>82</v>
      </c>
      <c r="F3490" s="7">
        <v>4</v>
      </c>
      <c r="G3490" s="7">
        <v>3.1</v>
      </c>
      <c r="H3490" s="12">
        <v>3350</v>
      </c>
      <c r="I3490" s="8">
        <f t="shared" si="108"/>
        <v>185.67164179104478</v>
      </c>
      <c r="J3490" s="3" t="str">
        <f t="shared" si="109"/>
        <v>Low</v>
      </c>
    </row>
    <row r="3491" spans="1:10">
      <c r="A3491" s="4" t="s">
        <v>3574</v>
      </c>
      <c r="B3491" s="16" t="s">
        <v>2210</v>
      </c>
      <c r="C3491" s="17" t="s">
        <v>2164</v>
      </c>
      <c r="D3491" s="21">
        <v>625000</v>
      </c>
      <c r="E3491" s="4">
        <v>72</v>
      </c>
      <c r="F3491" s="4">
        <v>4</v>
      </c>
      <c r="G3491" s="4">
        <v>2.1</v>
      </c>
      <c r="H3491" s="10">
        <v>2000</v>
      </c>
      <c r="I3491" s="5">
        <f t="shared" si="108"/>
        <v>312.5</v>
      </c>
      <c r="J3491" s="3" t="str">
        <f t="shared" si="109"/>
        <v>High</v>
      </c>
    </row>
    <row r="3492" spans="1:10">
      <c r="A3492" s="7" t="s">
        <v>3575</v>
      </c>
      <c r="B3492" s="18" t="s">
        <v>2163</v>
      </c>
      <c r="C3492" s="19" t="s">
        <v>2164</v>
      </c>
      <c r="D3492" s="22">
        <v>629000</v>
      </c>
      <c r="E3492" s="7">
        <v>416</v>
      </c>
      <c r="F3492" s="7">
        <v>4</v>
      </c>
      <c r="G3492" s="7">
        <v>3.1</v>
      </c>
      <c r="H3492" s="12">
        <v>3000</v>
      </c>
      <c r="I3492" s="8">
        <f t="shared" si="108"/>
        <v>209.66666666666666</v>
      </c>
      <c r="J3492" s="3" t="str">
        <f t="shared" si="109"/>
        <v>Medium</v>
      </c>
    </row>
    <row r="3493" spans="1:10">
      <c r="A3493" s="4" t="s">
        <v>3576</v>
      </c>
      <c r="B3493" s="16" t="s">
        <v>2163</v>
      </c>
      <c r="C3493" s="17" t="s">
        <v>2164</v>
      </c>
      <c r="D3493" s="21">
        <v>629900</v>
      </c>
      <c r="E3493" s="4">
        <v>0</v>
      </c>
      <c r="F3493" s="4">
        <v>4</v>
      </c>
      <c r="G3493" s="4">
        <v>3.1</v>
      </c>
      <c r="H3493" s="10">
        <v>3400</v>
      </c>
      <c r="I3493" s="5">
        <f t="shared" si="108"/>
        <v>185.26470588235293</v>
      </c>
      <c r="J3493" s="3" t="str">
        <f t="shared" si="109"/>
        <v>Low</v>
      </c>
    </row>
    <row r="3494" spans="1:10">
      <c r="A3494" s="7" t="s">
        <v>3577</v>
      </c>
      <c r="B3494" s="18" t="s">
        <v>2163</v>
      </c>
      <c r="C3494" s="19" t="s">
        <v>2164</v>
      </c>
      <c r="D3494" s="22">
        <v>629900</v>
      </c>
      <c r="E3494" s="7">
        <v>5</v>
      </c>
      <c r="F3494" s="7">
        <v>4</v>
      </c>
      <c r="G3494" s="7">
        <v>3.1</v>
      </c>
      <c r="H3494" s="12">
        <v>3400</v>
      </c>
      <c r="I3494" s="8">
        <f t="shared" si="108"/>
        <v>185.26470588235293</v>
      </c>
      <c r="J3494" s="3" t="str">
        <f t="shared" si="109"/>
        <v>Low</v>
      </c>
    </row>
    <row r="3495" spans="1:10">
      <c r="A3495" s="4" t="s">
        <v>3578</v>
      </c>
      <c r="B3495" s="16" t="s">
        <v>2563</v>
      </c>
      <c r="C3495" s="17" t="s">
        <v>2164</v>
      </c>
      <c r="D3495" s="21">
        <v>630000</v>
      </c>
      <c r="E3495" s="4">
        <v>77</v>
      </c>
      <c r="F3495" s="4">
        <v>3</v>
      </c>
      <c r="G3495" s="4">
        <v>3.1</v>
      </c>
      <c r="H3495" s="10">
        <v>2506</v>
      </c>
      <c r="I3495" s="5">
        <f t="shared" si="108"/>
        <v>251.39664804469274</v>
      </c>
      <c r="J3495" s="3" t="str">
        <f t="shared" si="109"/>
        <v>Medium</v>
      </c>
    </row>
    <row r="3496" spans="1:10">
      <c r="A3496" s="7" t="s">
        <v>3579</v>
      </c>
      <c r="B3496" s="18" t="s">
        <v>2163</v>
      </c>
      <c r="C3496" s="19" t="s">
        <v>2164</v>
      </c>
      <c r="D3496" s="22">
        <v>634900</v>
      </c>
      <c r="E3496" s="7">
        <v>16</v>
      </c>
      <c r="F3496" s="7">
        <v>4</v>
      </c>
      <c r="G3496" s="7">
        <v>3.1</v>
      </c>
      <c r="H3496" s="12">
        <v>3650</v>
      </c>
      <c r="I3496" s="8">
        <f t="shared" si="108"/>
        <v>173.94520547945206</v>
      </c>
      <c r="J3496" s="3" t="str">
        <f t="shared" si="109"/>
        <v>Low</v>
      </c>
    </row>
    <row r="3497" spans="1:10">
      <c r="A3497" s="4" t="s">
        <v>3580</v>
      </c>
      <c r="B3497" s="16" t="s">
        <v>2163</v>
      </c>
      <c r="C3497" s="17" t="s">
        <v>2164</v>
      </c>
      <c r="D3497" s="21">
        <v>635000</v>
      </c>
      <c r="E3497" s="4">
        <v>17</v>
      </c>
      <c r="F3497" s="4">
        <v>4</v>
      </c>
      <c r="G3497" s="4">
        <v>3.1</v>
      </c>
      <c r="H3497" s="10">
        <v>3100</v>
      </c>
      <c r="I3497" s="5">
        <f t="shared" si="108"/>
        <v>204.83870967741936</v>
      </c>
      <c r="J3497" s="3" t="str">
        <f t="shared" si="109"/>
        <v>Medium</v>
      </c>
    </row>
    <row r="3498" spans="1:10">
      <c r="A3498" s="7" t="s">
        <v>3581</v>
      </c>
      <c r="B3498" s="18" t="s">
        <v>2163</v>
      </c>
      <c r="C3498" s="19" t="s">
        <v>2164</v>
      </c>
      <c r="D3498" s="22">
        <v>635000</v>
      </c>
      <c r="E3498" s="7">
        <v>204</v>
      </c>
      <c r="F3498" s="7">
        <v>4</v>
      </c>
      <c r="G3498" s="7">
        <v>2.1</v>
      </c>
      <c r="H3498" s="12">
        <v>2834</v>
      </c>
      <c r="I3498" s="8">
        <f t="shared" si="108"/>
        <v>224.06492589978828</v>
      </c>
      <c r="J3498" s="3" t="str">
        <f t="shared" si="109"/>
        <v>Medium</v>
      </c>
    </row>
    <row r="3499" spans="1:10">
      <c r="A3499" s="4" t="s">
        <v>3582</v>
      </c>
      <c r="B3499" s="16" t="s">
        <v>2193</v>
      </c>
      <c r="C3499" s="17" t="s">
        <v>2164</v>
      </c>
      <c r="D3499" s="21">
        <v>635005</v>
      </c>
      <c r="E3499" s="4">
        <v>36</v>
      </c>
      <c r="F3499" s="4">
        <v>4</v>
      </c>
      <c r="G3499" s="4">
        <v>2.1</v>
      </c>
      <c r="H3499" s="10">
        <v>2700</v>
      </c>
      <c r="I3499" s="5">
        <f t="shared" si="108"/>
        <v>235.18703703703704</v>
      </c>
      <c r="J3499" s="3" t="str">
        <f t="shared" si="109"/>
        <v>Medium</v>
      </c>
    </row>
    <row r="3500" spans="1:10">
      <c r="A3500" s="7" t="s">
        <v>3583</v>
      </c>
      <c r="B3500" s="18" t="s">
        <v>2316</v>
      </c>
      <c r="C3500" s="19" t="s">
        <v>2164</v>
      </c>
      <c r="D3500" s="22">
        <v>637000</v>
      </c>
      <c r="E3500" s="7">
        <v>6</v>
      </c>
      <c r="F3500" s="7">
        <v>4</v>
      </c>
      <c r="G3500" s="7">
        <v>4</v>
      </c>
      <c r="H3500" s="12">
        <v>3241</v>
      </c>
      <c r="I3500" s="8">
        <f t="shared" si="108"/>
        <v>196.54427645788337</v>
      </c>
      <c r="J3500" s="3" t="str">
        <f t="shared" si="109"/>
        <v>Low</v>
      </c>
    </row>
    <row r="3501" spans="1:10">
      <c r="A3501" s="4" t="s">
        <v>3584</v>
      </c>
      <c r="B3501" s="16" t="s">
        <v>2193</v>
      </c>
      <c r="C3501" s="17" t="s">
        <v>2164</v>
      </c>
      <c r="D3501" s="21">
        <v>640000</v>
      </c>
      <c r="E3501" s="4">
        <v>8</v>
      </c>
      <c r="F3501" s="4">
        <v>4</v>
      </c>
      <c r="G3501" s="4">
        <v>3.1</v>
      </c>
      <c r="H3501" s="10">
        <v>3400</v>
      </c>
      <c r="I3501" s="5">
        <f t="shared" si="108"/>
        <v>188.23529411764707</v>
      </c>
      <c r="J3501" s="3" t="str">
        <f t="shared" si="109"/>
        <v>Low</v>
      </c>
    </row>
    <row r="3502" spans="1:10">
      <c r="A3502" s="7" t="s">
        <v>3585</v>
      </c>
      <c r="B3502" s="18" t="s">
        <v>2316</v>
      </c>
      <c r="C3502" s="19" t="s">
        <v>2164</v>
      </c>
      <c r="D3502" s="22">
        <v>649800</v>
      </c>
      <c r="E3502" s="7">
        <v>183</v>
      </c>
      <c r="F3502" s="7">
        <v>3</v>
      </c>
      <c r="G3502" s="7">
        <v>2.1</v>
      </c>
      <c r="H3502" s="12">
        <v>2300</v>
      </c>
      <c r="I3502" s="8">
        <f t="shared" si="108"/>
        <v>282.52173913043481</v>
      </c>
      <c r="J3502" s="3" t="str">
        <f t="shared" si="109"/>
        <v>Medium</v>
      </c>
    </row>
    <row r="3503" spans="1:10">
      <c r="A3503" s="4" t="s">
        <v>3586</v>
      </c>
      <c r="B3503" s="16" t="s">
        <v>2316</v>
      </c>
      <c r="C3503" s="17" t="s">
        <v>2164</v>
      </c>
      <c r="D3503" s="21">
        <v>652225</v>
      </c>
      <c r="E3503" s="4">
        <v>355</v>
      </c>
      <c r="F3503" s="4">
        <v>3</v>
      </c>
      <c r="G3503" s="4">
        <v>2.1</v>
      </c>
      <c r="H3503" s="10">
        <v>2355</v>
      </c>
      <c r="I3503" s="5">
        <f t="shared" si="108"/>
        <v>276.95329087048833</v>
      </c>
      <c r="J3503" s="3" t="str">
        <f t="shared" si="109"/>
        <v>Medium</v>
      </c>
    </row>
    <row r="3504" spans="1:10">
      <c r="A3504" s="7" t="s">
        <v>3587</v>
      </c>
      <c r="B3504" s="18" t="s">
        <v>2163</v>
      </c>
      <c r="C3504" s="19" t="s">
        <v>2164</v>
      </c>
      <c r="D3504" s="22">
        <v>660000</v>
      </c>
      <c r="E3504" s="7">
        <v>87</v>
      </c>
      <c r="F3504" s="7">
        <v>4</v>
      </c>
      <c r="G3504" s="7">
        <v>2.1</v>
      </c>
      <c r="H3504" s="12">
        <v>3300</v>
      </c>
      <c r="I3504" s="8">
        <f t="shared" si="108"/>
        <v>200</v>
      </c>
      <c r="J3504" s="3" t="str">
        <f t="shared" si="109"/>
        <v>Low</v>
      </c>
    </row>
    <row r="3505" spans="1:10">
      <c r="A3505" s="4" t="s">
        <v>3588</v>
      </c>
      <c r="B3505" s="16" t="s">
        <v>2407</v>
      </c>
      <c r="C3505" s="17" t="s">
        <v>2164</v>
      </c>
      <c r="D3505" s="21">
        <v>660000</v>
      </c>
      <c r="E3505" s="4">
        <v>126</v>
      </c>
      <c r="F3505" s="4">
        <v>3</v>
      </c>
      <c r="G3505" s="4">
        <v>1.1000000000000001</v>
      </c>
      <c r="H3505" s="10">
        <v>1650</v>
      </c>
      <c r="I3505" s="5">
        <f t="shared" si="108"/>
        <v>400</v>
      </c>
      <c r="J3505" s="3" t="str">
        <f t="shared" si="109"/>
        <v>High</v>
      </c>
    </row>
    <row r="3506" spans="1:10">
      <c r="A3506" s="7" t="s">
        <v>3589</v>
      </c>
      <c r="B3506" s="18" t="s">
        <v>2316</v>
      </c>
      <c r="C3506" s="19" t="s">
        <v>2164</v>
      </c>
      <c r="D3506" s="22">
        <v>660000</v>
      </c>
      <c r="E3506" s="7">
        <v>89</v>
      </c>
      <c r="F3506" s="7">
        <v>4</v>
      </c>
      <c r="G3506" s="7">
        <v>4.0999999999999996</v>
      </c>
      <c r="H3506" s="12">
        <v>3802</v>
      </c>
      <c r="I3506" s="8">
        <f t="shared" si="108"/>
        <v>173.59284587059443</v>
      </c>
      <c r="J3506" s="3" t="str">
        <f t="shared" si="109"/>
        <v>Low</v>
      </c>
    </row>
    <row r="3507" spans="1:10">
      <c r="A3507" s="4" t="s">
        <v>3590</v>
      </c>
      <c r="B3507" s="16" t="s">
        <v>2163</v>
      </c>
      <c r="C3507" s="17" t="s">
        <v>2164</v>
      </c>
      <c r="D3507" s="21">
        <v>664990</v>
      </c>
      <c r="E3507" s="4">
        <v>4</v>
      </c>
      <c r="F3507" s="4">
        <v>5</v>
      </c>
      <c r="G3507" s="4">
        <v>4.0999999999999996</v>
      </c>
      <c r="H3507" s="10">
        <v>3240</v>
      </c>
      <c r="I3507" s="5">
        <f t="shared" si="108"/>
        <v>205.24382716049382</v>
      </c>
      <c r="J3507" s="3" t="str">
        <f t="shared" si="109"/>
        <v>Medium</v>
      </c>
    </row>
    <row r="3508" spans="1:10">
      <c r="A3508" s="7" t="s">
        <v>3591</v>
      </c>
      <c r="B3508" s="18" t="s">
        <v>2316</v>
      </c>
      <c r="C3508" s="19" t="s">
        <v>2164</v>
      </c>
      <c r="D3508" s="22">
        <v>665000</v>
      </c>
      <c r="E3508" s="7">
        <v>8</v>
      </c>
      <c r="F3508" s="7">
        <v>5</v>
      </c>
      <c r="G3508" s="7">
        <v>3.2</v>
      </c>
      <c r="H3508" s="12">
        <v>3842</v>
      </c>
      <c r="I3508" s="8">
        <f t="shared" si="108"/>
        <v>173.08693388859967</v>
      </c>
      <c r="J3508" s="3" t="str">
        <f t="shared" si="109"/>
        <v>Low</v>
      </c>
    </row>
    <row r="3509" spans="1:10">
      <c r="A3509" s="4" t="s">
        <v>3592</v>
      </c>
      <c r="B3509" s="16" t="s">
        <v>2316</v>
      </c>
      <c r="C3509" s="17" t="s">
        <v>2164</v>
      </c>
      <c r="D3509" s="21">
        <v>670000</v>
      </c>
      <c r="E3509" s="4">
        <v>12</v>
      </c>
      <c r="F3509" s="4">
        <v>4</v>
      </c>
      <c r="G3509" s="4">
        <v>2.2000000000000002</v>
      </c>
      <c r="H3509" s="10">
        <v>3435</v>
      </c>
      <c r="I3509" s="5">
        <f t="shared" si="108"/>
        <v>195.0509461426492</v>
      </c>
      <c r="J3509" s="3" t="str">
        <f t="shared" si="109"/>
        <v>Low</v>
      </c>
    </row>
    <row r="3510" spans="1:10">
      <c r="A3510" s="7" t="s">
        <v>3593</v>
      </c>
      <c r="B3510" s="18" t="s">
        <v>2193</v>
      </c>
      <c r="C3510" s="19" t="s">
        <v>2164</v>
      </c>
      <c r="D3510" s="22">
        <v>673592</v>
      </c>
      <c r="E3510" s="7">
        <v>58</v>
      </c>
      <c r="F3510" s="7">
        <v>4</v>
      </c>
      <c r="G3510" s="7">
        <v>2.1</v>
      </c>
      <c r="H3510" s="12">
        <v>2700</v>
      </c>
      <c r="I3510" s="8">
        <f t="shared" si="108"/>
        <v>249.47851851851851</v>
      </c>
      <c r="J3510" s="3" t="str">
        <f t="shared" si="109"/>
        <v>Medium</v>
      </c>
    </row>
    <row r="3511" spans="1:10">
      <c r="A3511" s="4" t="s">
        <v>3594</v>
      </c>
      <c r="B3511" s="16" t="s">
        <v>2163</v>
      </c>
      <c r="C3511" s="17" t="s">
        <v>2164</v>
      </c>
      <c r="D3511" s="21">
        <v>675000</v>
      </c>
      <c r="E3511" s="4">
        <v>197</v>
      </c>
      <c r="F3511" s="4">
        <v>4</v>
      </c>
      <c r="G3511" s="4">
        <v>2.1</v>
      </c>
      <c r="H3511" s="10">
        <v>2834</v>
      </c>
      <c r="I3511" s="5">
        <f t="shared" si="108"/>
        <v>238.17925194071984</v>
      </c>
      <c r="J3511" s="3" t="str">
        <f t="shared" si="109"/>
        <v>Medium</v>
      </c>
    </row>
    <row r="3512" spans="1:10">
      <c r="A3512" s="7" t="s">
        <v>3595</v>
      </c>
      <c r="B3512" s="18" t="s">
        <v>2316</v>
      </c>
      <c r="C3512" s="19" t="s">
        <v>2164</v>
      </c>
      <c r="D3512" s="22">
        <v>675000</v>
      </c>
      <c r="E3512" s="7">
        <v>96</v>
      </c>
      <c r="F3512" s="7">
        <v>3</v>
      </c>
      <c r="G3512" s="7">
        <v>4</v>
      </c>
      <c r="H3512" s="12">
        <v>3515</v>
      </c>
      <c r="I3512" s="8">
        <f t="shared" si="108"/>
        <v>192.03413940256044</v>
      </c>
      <c r="J3512" s="3" t="str">
        <f t="shared" si="109"/>
        <v>Low</v>
      </c>
    </row>
    <row r="3513" spans="1:10">
      <c r="A3513" s="4" t="s">
        <v>3596</v>
      </c>
      <c r="B3513" s="16" t="s">
        <v>2316</v>
      </c>
      <c r="C3513" s="17" t="s">
        <v>2164</v>
      </c>
      <c r="D3513" s="21">
        <v>675000</v>
      </c>
      <c r="E3513" s="4">
        <v>102</v>
      </c>
      <c r="F3513" s="4">
        <v>3</v>
      </c>
      <c r="G3513" s="4">
        <v>2.1</v>
      </c>
      <c r="H3513" s="10">
        <v>2430</v>
      </c>
      <c r="I3513" s="5">
        <f t="shared" si="108"/>
        <v>277.77777777777777</v>
      </c>
      <c r="J3513" s="3" t="str">
        <f t="shared" si="109"/>
        <v>Medium</v>
      </c>
    </row>
    <row r="3514" spans="1:10">
      <c r="A3514" s="7" t="s">
        <v>3597</v>
      </c>
      <c r="B3514" s="18" t="s">
        <v>2316</v>
      </c>
      <c r="C3514" s="19" t="s">
        <v>2164</v>
      </c>
      <c r="D3514" s="22">
        <v>675000</v>
      </c>
      <c r="E3514" s="7">
        <v>102</v>
      </c>
      <c r="F3514" s="7">
        <v>3</v>
      </c>
      <c r="G3514" s="7">
        <v>2.1</v>
      </c>
      <c r="H3514" s="12">
        <v>2430</v>
      </c>
      <c r="I3514" s="8">
        <f t="shared" si="108"/>
        <v>277.77777777777777</v>
      </c>
      <c r="J3514" s="3" t="str">
        <f t="shared" si="109"/>
        <v>Medium</v>
      </c>
    </row>
    <row r="3515" spans="1:10">
      <c r="A3515" s="4" t="s">
        <v>3598</v>
      </c>
      <c r="B3515" s="16" t="s">
        <v>2163</v>
      </c>
      <c r="C3515" s="17" t="s">
        <v>2164</v>
      </c>
      <c r="D3515" s="21">
        <v>680000</v>
      </c>
      <c r="E3515" s="4">
        <v>151</v>
      </c>
      <c r="F3515" s="4">
        <v>4</v>
      </c>
      <c r="G3515" s="4">
        <v>2.1</v>
      </c>
      <c r="H3515" s="10">
        <v>3000</v>
      </c>
      <c r="I3515" s="5">
        <f t="shared" si="108"/>
        <v>226.66666666666666</v>
      </c>
      <c r="J3515" s="3" t="str">
        <f t="shared" si="109"/>
        <v>Medium</v>
      </c>
    </row>
    <row r="3516" spans="1:10">
      <c r="A3516" s="7" t="s">
        <v>3599</v>
      </c>
      <c r="B3516" s="18" t="s">
        <v>2163</v>
      </c>
      <c r="C3516" s="19" t="s">
        <v>2164</v>
      </c>
      <c r="D3516" s="22">
        <v>690000</v>
      </c>
      <c r="E3516" s="7">
        <v>343</v>
      </c>
      <c r="F3516" s="7">
        <v>4</v>
      </c>
      <c r="G3516" s="7">
        <v>2.1</v>
      </c>
      <c r="H3516" s="12">
        <v>3005</v>
      </c>
      <c r="I3516" s="8">
        <f t="shared" si="108"/>
        <v>229.61730449251249</v>
      </c>
      <c r="J3516" s="3" t="str">
        <f t="shared" si="109"/>
        <v>Medium</v>
      </c>
    </row>
    <row r="3517" spans="1:10">
      <c r="A3517" s="4" t="s">
        <v>3600</v>
      </c>
      <c r="B3517" s="16" t="s">
        <v>2316</v>
      </c>
      <c r="C3517" s="17" t="s">
        <v>2164</v>
      </c>
      <c r="D3517" s="21">
        <v>700000</v>
      </c>
      <c r="E3517" s="4">
        <v>74</v>
      </c>
      <c r="F3517" s="4">
        <v>4</v>
      </c>
      <c r="G3517" s="4">
        <v>3.1</v>
      </c>
      <c r="H3517" s="10">
        <v>2476</v>
      </c>
      <c r="I3517" s="5">
        <f t="shared" si="108"/>
        <v>282.71405492730207</v>
      </c>
      <c r="J3517" s="3" t="str">
        <f t="shared" si="109"/>
        <v>Medium</v>
      </c>
    </row>
    <row r="3518" spans="1:10">
      <c r="A3518" s="7" t="s">
        <v>3601</v>
      </c>
      <c r="B3518" s="18" t="s">
        <v>2316</v>
      </c>
      <c r="C3518" s="19" t="s">
        <v>2164</v>
      </c>
      <c r="D3518" s="22">
        <v>700000</v>
      </c>
      <c r="E3518" s="7">
        <v>83</v>
      </c>
      <c r="F3518" s="7">
        <v>4</v>
      </c>
      <c r="G3518" s="7">
        <v>3.1</v>
      </c>
      <c r="H3518" s="12">
        <v>2476</v>
      </c>
      <c r="I3518" s="8">
        <f t="shared" si="108"/>
        <v>282.71405492730207</v>
      </c>
      <c r="J3518" s="3" t="str">
        <f t="shared" si="109"/>
        <v>Medium</v>
      </c>
    </row>
    <row r="3519" spans="1:10">
      <c r="A3519" s="4" t="s">
        <v>3602</v>
      </c>
      <c r="B3519" s="16" t="s">
        <v>2193</v>
      </c>
      <c r="C3519" s="17" t="s">
        <v>2164</v>
      </c>
      <c r="D3519" s="21">
        <v>706000</v>
      </c>
      <c r="E3519" s="4">
        <v>28</v>
      </c>
      <c r="F3519" s="4">
        <v>3</v>
      </c>
      <c r="G3519" s="4">
        <v>2.1</v>
      </c>
      <c r="H3519" s="10">
        <v>2602</v>
      </c>
      <c r="I3519" s="5">
        <f t="shared" si="108"/>
        <v>271.32974634896232</v>
      </c>
      <c r="J3519" s="3" t="str">
        <f t="shared" si="109"/>
        <v>Medium</v>
      </c>
    </row>
    <row r="3520" spans="1:10">
      <c r="A3520" s="7" t="s">
        <v>3603</v>
      </c>
      <c r="B3520" s="18" t="s">
        <v>2563</v>
      </c>
      <c r="C3520" s="19" t="s">
        <v>2164</v>
      </c>
      <c r="D3520" s="22">
        <v>725000</v>
      </c>
      <c r="E3520" s="7">
        <v>94</v>
      </c>
      <c r="F3520" s="7">
        <v>4</v>
      </c>
      <c r="G3520" s="7">
        <v>3.1</v>
      </c>
      <c r="H3520" s="12">
        <v>3800</v>
      </c>
      <c r="I3520" s="8">
        <f t="shared" si="108"/>
        <v>190.78947368421052</v>
      </c>
      <c r="J3520" s="3" t="str">
        <f t="shared" si="109"/>
        <v>Low</v>
      </c>
    </row>
    <row r="3521" spans="1:10">
      <c r="A3521" s="4" t="s">
        <v>3604</v>
      </c>
      <c r="B3521" s="16" t="s">
        <v>2316</v>
      </c>
      <c r="C3521" s="17" t="s">
        <v>2164</v>
      </c>
      <c r="D3521" s="21">
        <v>749900</v>
      </c>
      <c r="E3521" s="4">
        <v>90</v>
      </c>
      <c r="F3521" s="4">
        <v>4</v>
      </c>
      <c r="G3521" s="4">
        <v>3.1</v>
      </c>
      <c r="H3521" s="10">
        <v>3616</v>
      </c>
      <c r="I3521" s="5">
        <f t="shared" si="108"/>
        <v>207.38384955752213</v>
      </c>
      <c r="J3521" s="3" t="str">
        <f t="shared" si="109"/>
        <v>Medium</v>
      </c>
    </row>
    <row r="3522" spans="1:10">
      <c r="A3522" s="7" t="s">
        <v>3605</v>
      </c>
      <c r="B3522" s="18" t="s">
        <v>2181</v>
      </c>
      <c r="C3522" s="19" t="s">
        <v>2164</v>
      </c>
      <c r="D3522" s="22">
        <v>770000</v>
      </c>
      <c r="E3522" s="7">
        <v>6</v>
      </c>
      <c r="F3522" s="7">
        <v>4</v>
      </c>
      <c r="G3522" s="7">
        <v>4.0999999999999996</v>
      </c>
      <c r="H3522" s="12">
        <v>3777</v>
      </c>
      <c r="I3522" s="8">
        <f t="shared" ref="I3522:I3546" si="110">D3522/H3522</f>
        <v>203.86550172094255</v>
      </c>
      <c r="J3522" s="3" t="str">
        <f t="shared" ref="J3522:J3546" si="111">IF(I3522 &gt; 300, "High", IF(AND(I3522 &lt;= 300, I3522 &gt; 200), "Medium", "Low"))</f>
        <v>Medium</v>
      </c>
    </row>
    <row r="3523" spans="1:10">
      <c r="A3523" s="4" t="s">
        <v>3606</v>
      </c>
      <c r="B3523" s="16" t="s">
        <v>2316</v>
      </c>
      <c r="C3523" s="17" t="s">
        <v>2164</v>
      </c>
      <c r="D3523" s="21">
        <v>775000</v>
      </c>
      <c r="E3523" s="4">
        <v>56</v>
      </c>
      <c r="F3523" s="4">
        <v>4</v>
      </c>
      <c r="G3523" s="4">
        <v>3.1</v>
      </c>
      <c r="H3523" s="10">
        <v>3032</v>
      </c>
      <c r="I3523" s="5">
        <f t="shared" si="110"/>
        <v>255.60686015831135</v>
      </c>
      <c r="J3523" s="3" t="str">
        <f t="shared" si="111"/>
        <v>Medium</v>
      </c>
    </row>
    <row r="3524" spans="1:10">
      <c r="A3524" s="7" t="s">
        <v>3607</v>
      </c>
      <c r="B3524" s="18" t="s">
        <v>2316</v>
      </c>
      <c r="C3524" s="19" t="s">
        <v>2164</v>
      </c>
      <c r="D3524" s="22">
        <v>775000</v>
      </c>
      <c r="E3524" s="7">
        <v>105</v>
      </c>
      <c r="F3524" s="7">
        <v>4</v>
      </c>
      <c r="G3524" s="7">
        <v>3.1</v>
      </c>
      <c r="H3524" s="12">
        <v>3255</v>
      </c>
      <c r="I3524" s="8">
        <f t="shared" si="110"/>
        <v>238.0952380952381</v>
      </c>
      <c r="J3524" s="3" t="str">
        <f t="shared" si="111"/>
        <v>Medium</v>
      </c>
    </row>
    <row r="3525" spans="1:10">
      <c r="A3525" s="4" t="s">
        <v>3608</v>
      </c>
      <c r="B3525" s="16" t="s">
        <v>2316</v>
      </c>
      <c r="C3525" s="17" t="s">
        <v>2164</v>
      </c>
      <c r="D3525" s="21">
        <v>780000</v>
      </c>
      <c r="E3525" s="4">
        <v>74</v>
      </c>
      <c r="F3525" s="4">
        <v>4</v>
      </c>
      <c r="G3525" s="4">
        <v>4.0999999999999996</v>
      </c>
      <c r="H3525" s="10">
        <v>4215</v>
      </c>
      <c r="I3525" s="5">
        <f t="shared" si="110"/>
        <v>185.05338078291814</v>
      </c>
      <c r="J3525" s="3" t="str">
        <f t="shared" si="111"/>
        <v>Low</v>
      </c>
    </row>
    <row r="3526" spans="1:10">
      <c r="A3526" s="7" t="s">
        <v>3609</v>
      </c>
      <c r="B3526" s="18" t="s">
        <v>2316</v>
      </c>
      <c r="C3526" s="19" t="s">
        <v>2164</v>
      </c>
      <c r="D3526" s="22">
        <v>786761</v>
      </c>
      <c r="E3526" s="7">
        <v>176</v>
      </c>
      <c r="F3526" s="7">
        <v>4</v>
      </c>
      <c r="G3526" s="7">
        <v>2.1</v>
      </c>
      <c r="H3526" s="12">
        <v>3000</v>
      </c>
      <c r="I3526" s="8">
        <f t="shared" si="110"/>
        <v>262.25366666666667</v>
      </c>
      <c r="J3526" s="3" t="str">
        <f t="shared" si="111"/>
        <v>Medium</v>
      </c>
    </row>
    <row r="3527" spans="1:10">
      <c r="A3527" s="4" t="s">
        <v>3610</v>
      </c>
      <c r="B3527" s="16" t="s">
        <v>2316</v>
      </c>
      <c r="C3527" s="17" t="s">
        <v>2164</v>
      </c>
      <c r="D3527" s="21">
        <v>837000</v>
      </c>
      <c r="E3527" s="4">
        <v>13</v>
      </c>
      <c r="F3527" s="4">
        <v>6</v>
      </c>
      <c r="G3527" s="4">
        <v>4.0999999999999996</v>
      </c>
      <c r="H3527" s="10">
        <v>3522</v>
      </c>
      <c r="I3527" s="5">
        <f t="shared" si="110"/>
        <v>237.64906303236796</v>
      </c>
      <c r="J3527" s="3" t="str">
        <f t="shared" si="111"/>
        <v>Medium</v>
      </c>
    </row>
    <row r="3528" spans="1:10">
      <c r="A3528" s="7" t="s">
        <v>3611</v>
      </c>
      <c r="B3528" s="18" t="s">
        <v>2563</v>
      </c>
      <c r="C3528" s="19" t="s">
        <v>2164</v>
      </c>
      <c r="D3528" s="22">
        <v>850000</v>
      </c>
      <c r="E3528" s="7">
        <v>207</v>
      </c>
      <c r="F3528" s="7">
        <v>4</v>
      </c>
      <c r="G3528" s="7">
        <v>3.2</v>
      </c>
      <c r="H3528" s="12">
        <v>4200</v>
      </c>
      <c r="I3528" s="8">
        <f t="shared" si="110"/>
        <v>202.38095238095238</v>
      </c>
      <c r="J3528" s="3" t="str">
        <f t="shared" si="111"/>
        <v>Medium</v>
      </c>
    </row>
    <row r="3529" spans="1:10">
      <c r="A3529" s="4" t="s">
        <v>3612</v>
      </c>
      <c r="B3529" s="16" t="s">
        <v>2316</v>
      </c>
      <c r="C3529" s="17" t="s">
        <v>2164</v>
      </c>
      <c r="D3529" s="21">
        <v>867851</v>
      </c>
      <c r="E3529" s="4">
        <v>0</v>
      </c>
      <c r="F3529" s="4">
        <v>4</v>
      </c>
      <c r="G3529" s="4">
        <v>3.1</v>
      </c>
      <c r="H3529" s="10">
        <v>3410</v>
      </c>
      <c r="I3529" s="5">
        <f t="shared" si="110"/>
        <v>254.50175953079179</v>
      </c>
      <c r="J3529" s="3" t="str">
        <f t="shared" si="111"/>
        <v>Medium</v>
      </c>
    </row>
    <row r="3530" spans="1:10">
      <c r="A3530" s="7" t="s">
        <v>3613</v>
      </c>
      <c r="B3530" s="18" t="s">
        <v>2407</v>
      </c>
      <c r="C3530" s="19" t="s">
        <v>2164</v>
      </c>
      <c r="D3530" s="22">
        <v>880000</v>
      </c>
      <c r="E3530" s="7">
        <v>12</v>
      </c>
      <c r="F3530" s="7">
        <v>4</v>
      </c>
      <c r="G3530" s="7">
        <v>4.0999999999999996</v>
      </c>
      <c r="H3530" s="12">
        <v>4772</v>
      </c>
      <c r="I3530" s="8">
        <f t="shared" si="110"/>
        <v>184.40905280804694</v>
      </c>
      <c r="J3530" s="3" t="str">
        <f t="shared" si="111"/>
        <v>Low</v>
      </c>
    </row>
    <row r="3531" spans="1:10">
      <c r="A3531" s="4" t="s">
        <v>3614</v>
      </c>
      <c r="B3531" s="16" t="s">
        <v>2578</v>
      </c>
      <c r="C3531" s="17" t="s">
        <v>2164</v>
      </c>
      <c r="D3531" s="21">
        <v>900000</v>
      </c>
      <c r="E3531" s="4">
        <v>3</v>
      </c>
      <c r="F3531" s="4">
        <v>4</v>
      </c>
      <c r="G3531" s="4">
        <v>3.1</v>
      </c>
      <c r="H3531" s="10">
        <v>3868</v>
      </c>
      <c r="I3531" s="5">
        <f t="shared" si="110"/>
        <v>232.6783867631851</v>
      </c>
      <c r="J3531" s="3" t="str">
        <f t="shared" si="111"/>
        <v>Medium</v>
      </c>
    </row>
    <row r="3532" spans="1:10">
      <c r="A3532" s="7" t="s">
        <v>3615</v>
      </c>
      <c r="B3532" s="18" t="s">
        <v>3151</v>
      </c>
      <c r="C3532" s="19" t="s">
        <v>2164</v>
      </c>
      <c r="D3532" s="22">
        <v>900000</v>
      </c>
      <c r="E3532" s="7">
        <v>112</v>
      </c>
      <c r="F3532" s="7">
        <v>3</v>
      </c>
      <c r="G3532" s="7">
        <v>3.1</v>
      </c>
      <c r="H3532" s="12">
        <v>4926</v>
      </c>
      <c r="I3532" s="8">
        <f t="shared" si="110"/>
        <v>182.70401948842874</v>
      </c>
      <c r="J3532" s="3" t="str">
        <f t="shared" si="111"/>
        <v>Low</v>
      </c>
    </row>
    <row r="3533" spans="1:10">
      <c r="A3533" s="4" t="s">
        <v>3616</v>
      </c>
      <c r="B3533" s="16" t="s">
        <v>2563</v>
      </c>
      <c r="C3533" s="17" t="s">
        <v>2164</v>
      </c>
      <c r="D3533" s="21">
        <v>915000</v>
      </c>
      <c r="E3533" s="4">
        <v>70</v>
      </c>
      <c r="F3533" s="4">
        <v>4</v>
      </c>
      <c r="G3533" s="4">
        <v>3.2</v>
      </c>
      <c r="H3533" s="10">
        <v>3715</v>
      </c>
      <c r="I3533" s="5">
        <f t="shared" si="110"/>
        <v>246.29878869448183</v>
      </c>
      <c r="J3533" s="3" t="str">
        <f t="shared" si="111"/>
        <v>Medium</v>
      </c>
    </row>
    <row r="3534" spans="1:10">
      <c r="A3534" s="7" t="s">
        <v>3617</v>
      </c>
      <c r="B3534" s="18" t="s">
        <v>3151</v>
      </c>
      <c r="C3534" s="19" t="s">
        <v>2164</v>
      </c>
      <c r="D3534" s="22">
        <v>915000</v>
      </c>
      <c r="E3534" s="7">
        <v>256</v>
      </c>
      <c r="F3534" s="7">
        <v>6</v>
      </c>
      <c r="G3534" s="7">
        <v>5.0999999999999996</v>
      </c>
      <c r="H3534" s="12">
        <v>5359</v>
      </c>
      <c r="I3534" s="8">
        <f t="shared" si="110"/>
        <v>170.74080985258445</v>
      </c>
      <c r="J3534" s="3" t="str">
        <f t="shared" si="111"/>
        <v>Low</v>
      </c>
    </row>
    <row r="3535" spans="1:10">
      <c r="A3535" s="4" t="s">
        <v>3618</v>
      </c>
      <c r="B3535" s="16" t="s">
        <v>2316</v>
      </c>
      <c r="C3535" s="17" t="s">
        <v>2164</v>
      </c>
      <c r="D3535" s="21">
        <v>942709</v>
      </c>
      <c r="E3535" s="4">
        <v>194</v>
      </c>
      <c r="F3535" s="4">
        <v>4</v>
      </c>
      <c r="G3535" s="4">
        <v>3.2</v>
      </c>
      <c r="H3535" s="10">
        <v>3668</v>
      </c>
      <c r="I3535" s="5">
        <f t="shared" si="110"/>
        <v>257.00899672846236</v>
      </c>
      <c r="J3535" s="3" t="str">
        <f t="shared" si="111"/>
        <v>Medium</v>
      </c>
    </row>
    <row r="3536" spans="1:10">
      <c r="A3536" s="7" t="s">
        <v>3619</v>
      </c>
      <c r="B3536" s="18" t="s">
        <v>2252</v>
      </c>
      <c r="C3536" s="19" t="s">
        <v>2164</v>
      </c>
      <c r="D3536" s="22">
        <v>950000</v>
      </c>
      <c r="E3536" s="7">
        <v>480</v>
      </c>
      <c r="F3536" s="7">
        <v>5</v>
      </c>
      <c r="G3536" s="7">
        <v>3.1</v>
      </c>
      <c r="H3536" s="12">
        <v>6024</v>
      </c>
      <c r="I3536" s="8">
        <f t="shared" si="110"/>
        <v>157.70252324037185</v>
      </c>
      <c r="J3536" s="3" t="str">
        <f t="shared" si="111"/>
        <v>Low</v>
      </c>
    </row>
    <row r="3537" spans="1:10">
      <c r="A3537" s="4" t="s">
        <v>3620</v>
      </c>
      <c r="B3537" s="16" t="s">
        <v>2563</v>
      </c>
      <c r="C3537" s="17" t="s">
        <v>2164</v>
      </c>
      <c r="D3537" s="21">
        <v>1200000</v>
      </c>
      <c r="E3537" s="4">
        <v>32</v>
      </c>
      <c r="F3537" s="4">
        <v>4</v>
      </c>
      <c r="G3537" s="4">
        <v>4</v>
      </c>
      <c r="H3537" s="10">
        <v>3706</v>
      </c>
      <c r="I3537" s="5">
        <f t="shared" si="110"/>
        <v>323.79924446842955</v>
      </c>
      <c r="J3537" s="3" t="str">
        <f t="shared" si="111"/>
        <v>High</v>
      </c>
    </row>
    <row r="3538" spans="1:10">
      <c r="A3538" s="7" t="s">
        <v>3621</v>
      </c>
      <c r="B3538" s="18" t="s">
        <v>2316</v>
      </c>
      <c r="C3538" s="19" t="s">
        <v>2164</v>
      </c>
      <c r="D3538" s="22">
        <v>1231649</v>
      </c>
      <c r="E3538" s="7">
        <v>643</v>
      </c>
      <c r="F3538" s="7">
        <v>4</v>
      </c>
      <c r="G3538" s="7">
        <v>3.1</v>
      </c>
      <c r="H3538" s="12">
        <v>3555</v>
      </c>
      <c r="I3538" s="8">
        <f t="shared" si="110"/>
        <v>346.45541490857948</v>
      </c>
      <c r="J3538" s="3" t="str">
        <f t="shared" si="111"/>
        <v>High</v>
      </c>
    </row>
    <row r="3539" spans="1:10">
      <c r="A3539" s="4" t="s">
        <v>3622</v>
      </c>
      <c r="B3539" s="16" t="s">
        <v>2181</v>
      </c>
      <c r="C3539" s="17" t="s">
        <v>2164</v>
      </c>
      <c r="D3539" s="21">
        <v>1250000</v>
      </c>
      <c r="E3539" s="4">
        <v>225</v>
      </c>
      <c r="F3539" s="4">
        <v>5</v>
      </c>
      <c r="G3539" s="4">
        <v>4.3</v>
      </c>
      <c r="H3539" s="10">
        <v>5623</v>
      </c>
      <c r="I3539" s="5">
        <f t="shared" si="110"/>
        <v>222.30126267117197</v>
      </c>
      <c r="J3539" s="3" t="str">
        <f t="shared" si="111"/>
        <v>Medium</v>
      </c>
    </row>
    <row r="3540" spans="1:10">
      <c r="A3540" s="7" t="s">
        <v>3623</v>
      </c>
      <c r="B3540" s="18" t="s">
        <v>2563</v>
      </c>
      <c r="C3540" s="19" t="s">
        <v>2164</v>
      </c>
      <c r="D3540" s="22">
        <v>1275000</v>
      </c>
      <c r="E3540" s="7">
        <v>24</v>
      </c>
      <c r="F3540" s="7">
        <v>4</v>
      </c>
      <c r="G3540" s="7">
        <v>5.0999999999999996</v>
      </c>
      <c r="H3540" s="12">
        <v>4992</v>
      </c>
      <c r="I3540" s="8">
        <f t="shared" si="110"/>
        <v>255.40865384615384</v>
      </c>
      <c r="J3540" s="3" t="str">
        <f t="shared" si="111"/>
        <v>Medium</v>
      </c>
    </row>
    <row r="3541" spans="1:10">
      <c r="A3541" s="4" t="s">
        <v>3624</v>
      </c>
      <c r="B3541" s="16" t="s">
        <v>3151</v>
      </c>
      <c r="C3541" s="17" t="s">
        <v>2164</v>
      </c>
      <c r="D3541" s="21">
        <v>1341000</v>
      </c>
      <c r="E3541" s="4">
        <v>406</v>
      </c>
      <c r="F3541" s="4">
        <v>5</v>
      </c>
      <c r="G3541" s="4">
        <v>3.1</v>
      </c>
      <c r="H3541" s="10">
        <v>3475</v>
      </c>
      <c r="I3541" s="5">
        <f t="shared" si="110"/>
        <v>385.89928057553959</v>
      </c>
      <c r="J3541" s="3" t="str">
        <f t="shared" si="111"/>
        <v>High</v>
      </c>
    </row>
    <row r="3542" spans="1:10">
      <c r="A3542" s="7" t="s">
        <v>3625</v>
      </c>
      <c r="B3542" s="18" t="s">
        <v>2316</v>
      </c>
      <c r="C3542" s="19" t="s">
        <v>2164</v>
      </c>
      <c r="D3542" s="22">
        <v>1409253</v>
      </c>
      <c r="E3542" s="7">
        <v>0</v>
      </c>
      <c r="F3542" s="7">
        <v>4</v>
      </c>
      <c r="G3542" s="7">
        <v>3.1</v>
      </c>
      <c r="H3542" s="12">
        <v>4487</v>
      </c>
      <c r="I3542" s="8">
        <f t="shared" si="110"/>
        <v>314.07466012926233</v>
      </c>
      <c r="J3542" s="3" t="str">
        <f t="shared" si="111"/>
        <v>High</v>
      </c>
    </row>
    <row r="3543" spans="1:10">
      <c r="A3543" s="4" t="s">
        <v>3626</v>
      </c>
      <c r="B3543" s="16" t="s">
        <v>2563</v>
      </c>
      <c r="C3543" s="17" t="s">
        <v>2164</v>
      </c>
      <c r="D3543" s="21">
        <v>1450000</v>
      </c>
      <c r="E3543" s="4">
        <v>114</v>
      </c>
      <c r="F3543" s="4">
        <v>4</v>
      </c>
      <c r="G3543" s="4">
        <v>3.2</v>
      </c>
      <c r="H3543" s="10">
        <v>4100</v>
      </c>
      <c r="I3543" s="5">
        <f t="shared" si="110"/>
        <v>353.65853658536588</v>
      </c>
      <c r="J3543" s="3" t="str">
        <f t="shared" si="111"/>
        <v>High</v>
      </c>
    </row>
    <row r="3544" spans="1:10">
      <c r="A3544" s="7" t="s">
        <v>3627</v>
      </c>
      <c r="B3544" s="18" t="s">
        <v>2252</v>
      </c>
      <c r="C3544" s="19" t="s">
        <v>2164</v>
      </c>
      <c r="D3544" s="22">
        <v>1583700</v>
      </c>
      <c r="E3544" s="7">
        <v>197</v>
      </c>
      <c r="F3544" s="7">
        <v>5</v>
      </c>
      <c r="G3544" s="7">
        <v>4.2</v>
      </c>
      <c r="H3544" s="12">
        <v>4009</v>
      </c>
      <c r="I3544" s="8">
        <f t="shared" si="110"/>
        <v>395.03616862060363</v>
      </c>
      <c r="J3544" s="3" t="str">
        <f t="shared" si="111"/>
        <v>High</v>
      </c>
    </row>
    <row r="3545" spans="1:10">
      <c r="A3545" s="4" t="s">
        <v>3628</v>
      </c>
      <c r="B3545" s="16" t="s">
        <v>3151</v>
      </c>
      <c r="C3545" s="17" t="s">
        <v>2164</v>
      </c>
      <c r="D3545" s="21">
        <v>1737500</v>
      </c>
      <c r="E3545" s="4">
        <v>129</v>
      </c>
      <c r="F3545" s="4">
        <v>4</v>
      </c>
      <c r="G3545" s="4">
        <v>4.2</v>
      </c>
      <c r="H3545" s="10">
        <v>5598</v>
      </c>
      <c r="I3545" s="5">
        <f t="shared" si="110"/>
        <v>310.37870668095746</v>
      </c>
      <c r="J3545" s="3" t="str">
        <f t="shared" si="111"/>
        <v>High</v>
      </c>
    </row>
    <row r="3546" spans="1:10">
      <c r="A3546" s="7" t="s">
        <v>3629</v>
      </c>
      <c r="B3546" s="18" t="s">
        <v>2563</v>
      </c>
      <c r="C3546" s="19" t="s">
        <v>2164</v>
      </c>
      <c r="D3546" s="22">
        <v>2125000</v>
      </c>
      <c r="E3546" s="7">
        <v>14</v>
      </c>
      <c r="F3546" s="7">
        <v>4</v>
      </c>
      <c r="G3546" s="7">
        <v>3.2</v>
      </c>
      <c r="H3546" s="12">
        <v>4382</v>
      </c>
      <c r="I3546" s="8">
        <f t="shared" si="110"/>
        <v>484.93838429940666</v>
      </c>
      <c r="J3546" s="3" t="str">
        <f t="shared" si="111"/>
        <v>High</v>
      </c>
    </row>
  </sheetData>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A355C-088C-44ED-8B13-D979BC037A9E}">
  <dimension ref="A1:O88"/>
  <sheetViews>
    <sheetView workbookViewId="0">
      <selection activeCell="O14" sqref="O14"/>
    </sheetView>
  </sheetViews>
  <sheetFormatPr defaultRowHeight="15.75"/>
  <cols>
    <col min="1" max="1" width="18" bestFit="1" customWidth="1"/>
    <col min="2" max="2" width="12.625" bestFit="1" customWidth="1"/>
    <col min="3" max="3" width="13" bestFit="1" customWidth="1"/>
    <col min="4" max="4" width="16.375" bestFit="1" customWidth="1"/>
    <col min="5" max="5" width="24.875" bestFit="1" customWidth="1"/>
    <col min="6" max="6" width="24.125" bestFit="1" customWidth="1"/>
    <col min="7" max="7" width="8.375" customWidth="1"/>
  </cols>
  <sheetData>
    <row r="1" spans="1:15">
      <c r="A1" s="54" t="s">
        <v>1</v>
      </c>
      <c r="B1" s="54" t="s">
        <v>3630</v>
      </c>
      <c r="C1" s="54" t="s">
        <v>3631</v>
      </c>
      <c r="D1" s="54" t="s">
        <v>3632</v>
      </c>
      <c r="E1" s="54" t="s">
        <v>3633</v>
      </c>
      <c r="F1" s="55" t="s">
        <v>3634</v>
      </c>
    </row>
    <row r="2" spans="1:15">
      <c r="A2" s="30" t="s">
        <v>1425</v>
      </c>
      <c r="B2" s="34">
        <v>435000</v>
      </c>
      <c r="C2" s="34">
        <v>1525000</v>
      </c>
      <c r="D2" s="34">
        <v>740600</v>
      </c>
      <c r="E2" s="35">
        <v>83</v>
      </c>
      <c r="F2" s="33">
        <v>238.55846757052458</v>
      </c>
      <c r="J2" s="59" t="s">
        <v>3635</v>
      </c>
      <c r="K2" s="59"/>
      <c r="L2" s="59"/>
      <c r="M2" s="59"/>
      <c r="N2" s="59"/>
      <c r="O2" s="59"/>
    </row>
    <row r="3" spans="1:15">
      <c r="A3" s="30" t="s">
        <v>2261</v>
      </c>
      <c r="B3" s="34">
        <v>100000</v>
      </c>
      <c r="C3" s="34">
        <v>500000</v>
      </c>
      <c r="D3" s="34">
        <v>302250</v>
      </c>
      <c r="E3" s="35">
        <v>86.5</v>
      </c>
      <c r="F3" s="33">
        <v>170.89580594491943</v>
      </c>
      <c r="G3" s="33"/>
      <c r="J3" s="59"/>
      <c r="K3" s="59"/>
      <c r="L3" s="59"/>
      <c r="M3" s="59"/>
      <c r="N3" s="59"/>
      <c r="O3" s="59"/>
    </row>
    <row r="4" spans="1:15">
      <c r="A4" s="30" t="s">
        <v>2685</v>
      </c>
      <c r="B4" s="34">
        <v>210000</v>
      </c>
      <c r="C4" s="34">
        <v>238000</v>
      </c>
      <c r="D4" s="34">
        <v>222666.66666666666</v>
      </c>
      <c r="E4" s="35">
        <v>27.333333333333332</v>
      </c>
      <c r="F4" s="33">
        <v>193.22051936994467</v>
      </c>
      <c r="G4" s="33"/>
      <c r="J4" s="59"/>
      <c r="K4" s="59"/>
      <c r="L4" s="59"/>
      <c r="M4" s="59"/>
      <c r="N4" s="59"/>
      <c r="O4" s="59"/>
    </row>
    <row r="5" spans="1:15">
      <c r="A5" s="30" t="s">
        <v>25</v>
      </c>
      <c r="B5" s="34">
        <v>45000</v>
      </c>
      <c r="C5" s="34">
        <v>515000</v>
      </c>
      <c r="D5" s="34">
        <v>267721.15000000002</v>
      </c>
      <c r="E5" s="35">
        <v>31.25</v>
      </c>
      <c r="F5" s="33">
        <v>173.7955159739243</v>
      </c>
      <c r="G5" s="33"/>
      <c r="J5" s="59"/>
      <c r="K5" s="59"/>
      <c r="L5" s="59"/>
      <c r="M5" s="59"/>
      <c r="N5" s="59"/>
      <c r="O5" s="59"/>
    </row>
    <row r="6" spans="1:15">
      <c r="A6" s="30" t="s">
        <v>282</v>
      </c>
      <c r="B6" s="34">
        <v>175000</v>
      </c>
      <c r="C6" s="34">
        <v>665000</v>
      </c>
      <c r="D6" s="34">
        <v>346754.19512195123</v>
      </c>
      <c r="E6" s="35">
        <v>40.073170731707314</v>
      </c>
      <c r="F6" s="33">
        <v>271.39022390996774</v>
      </c>
      <c r="G6" s="33"/>
      <c r="J6" s="59"/>
      <c r="K6" s="59"/>
      <c r="L6" s="59"/>
      <c r="M6" s="59"/>
      <c r="N6" s="59"/>
      <c r="O6" s="59"/>
    </row>
    <row r="7" spans="1:15">
      <c r="A7" s="30" t="s">
        <v>1953</v>
      </c>
      <c r="B7" s="34">
        <v>737000</v>
      </c>
      <c r="C7" s="34">
        <v>737000</v>
      </c>
      <c r="D7" s="34">
        <v>737000</v>
      </c>
      <c r="E7" s="35">
        <v>4</v>
      </c>
      <c r="F7" s="33">
        <v>256.08061153578876</v>
      </c>
      <c r="G7" s="33"/>
      <c r="J7" s="59"/>
      <c r="K7" s="59"/>
      <c r="L7" s="59"/>
      <c r="M7" s="59"/>
      <c r="N7" s="59"/>
      <c r="O7" s="59"/>
    </row>
    <row r="8" spans="1:15">
      <c r="A8" s="30" t="s">
        <v>728</v>
      </c>
      <c r="B8" s="34">
        <v>269000</v>
      </c>
      <c r="C8" s="34">
        <v>999000</v>
      </c>
      <c r="D8" s="34">
        <v>508082.14285714284</v>
      </c>
      <c r="E8" s="35">
        <v>52.821428571428569</v>
      </c>
      <c r="F8" s="33">
        <v>254.9248258464257</v>
      </c>
      <c r="G8" s="33"/>
    </row>
    <row r="9" spans="1:15">
      <c r="A9" s="30" t="s">
        <v>679</v>
      </c>
      <c r="B9" s="34">
        <v>259000</v>
      </c>
      <c r="C9" s="34">
        <v>3250000</v>
      </c>
      <c r="D9" s="34">
        <v>1010921.5384615385</v>
      </c>
      <c r="E9" s="35">
        <v>44.092307692307692</v>
      </c>
      <c r="F9" s="33">
        <v>400.88420837365481</v>
      </c>
      <c r="G9" s="33"/>
    </row>
    <row r="10" spans="1:15">
      <c r="A10" s="30" t="s">
        <v>1366</v>
      </c>
      <c r="B10" s="34">
        <v>420000</v>
      </c>
      <c r="C10" s="34">
        <v>4500000</v>
      </c>
      <c r="D10" s="34">
        <v>1638100</v>
      </c>
      <c r="E10" s="35">
        <v>49.666666666666664</v>
      </c>
      <c r="F10" s="33">
        <v>303.02475899052774</v>
      </c>
      <c r="G10" s="33"/>
    </row>
    <row r="11" spans="1:15">
      <c r="A11" s="30" t="s">
        <v>960</v>
      </c>
      <c r="B11" s="34">
        <v>315000</v>
      </c>
      <c r="C11" s="34">
        <v>2950000</v>
      </c>
      <c r="D11" s="34">
        <v>904421.91428571427</v>
      </c>
      <c r="E11" s="35">
        <v>44.671428571428571</v>
      </c>
      <c r="F11" s="33">
        <v>281.28341056257392</v>
      </c>
      <c r="G11" s="33"/>
    </row>
    <row r="12" spans="1:15">
      <c r="A12" s="30" t="s">
        <v>155</v>
      </c>
      <c r="B12" s="34">
        <v>135000</v>
      </c>
      <c r="C12" s="34">
        <v>456000</v>
      </c>
      <c r="D12" s="34">
        <v>325700</v>
      </c>
      <c r="E12" s="35">
        <v>56.526315789473685</v>
      </c>
      <c r="F12" s="33">
        <v>182.62532600266709</v>
      </c>
      <c r="G12" s="33"/>
    </row>
    <row r="13" spans="1:15">
      <c r="A13" s="30" t="s">
        <v>3151</v>
      </c>
      <c r="B13" s="34">
        <v>307000</v>
      </c>
      <c r="C13" s="34">
        <v>1737500</v>
      </c>
      <c r="D13" s="34">
        <v>633951.23529411759</v>
      </c>
      <c r="E13" s="35">
        <v>101.82352941176471</v>
      </c>
      <c r="F13" s="33">
        <v>227.41703221149382</v>
      </c>
      <c r="G13" s="33"/>
    </row>
    <row r="14" spans="1:15">
      <c r="A14" s="30" t="s">
        <v>2227</v>
      </c>
      <c r="B14" s="34">
        <v>85000</v>
      </c>
      <c r="C14" s="34">
        <v>255000</v>
      </c>
      <c r="D14" s="34">
        <v>181375</v>
      </c>
      <c r="E14" s="35">
        <v>43.125</v>
      </c>
      <c r="F14" s="33">
        <v>157.33695270144017</v>
      </c>
      <c r="G14" s="33"/>
    </row>
    <row r="15" spans="1:15">
      <c r="A15" s="30" t="s">
        <v>2252</v>
      </c>
      <c r="B15" s="34">
        <v>97000</v>
      </c>
      <c r="C15" s="34">
        <v>1583700</v>
      </c>
      <c r="D15" s="34">
        <v>379124.34328358207</v>
      </c>
      <c r="E15" s="35">
        <v>63.477611940298509</v>
      </c>
      <c r="F15" s="33">
        <v>191.07506987349555</v>
      </c>
      <c r="G15" s="33"/>
    </row>
    <row r="16" spans="1:15">
      <c r="A16" s="30" t="s">
        <v>2781</v>
      </c>
      <c r="B16" s="34">
        <v>225000</v>
      </c>
      <c r="C16" s="34">
        <v>295000</v>
      </c>
      <c r="D16" s="34">
        <v>260000</v>
      </c>
      <c r="E16" s="35">
        <v>15</v>
      </c>
      <c r="F16" s="33">
        <v>210.51938527186053</v>
      </c>
      <c r="G16" s="33"/>
    </row>
    <row r="17" spans="1:7">
      <c r="A17" s="30" t="s">
        <v>363</v>
      </c>
      <c r="B17" s="34">
        <v>195000</v>
      </c>
      <c r="C17" s="34">
        <v>617387</v>
      </c>
      <c r="D17" s="34">
        <v>314252.06666666665</v>
      </c>
      <c r="E17" s="35">
        <v>26.566666666666666</v>
      </c>
      <c r="F17" s="33">
        <v>254.63360616475498</v>
      </c>
      <c r="G17" s="33"/>
    </row>
    <row r="18" spans="1:7">
      <c r="A18" s="30" t="s">
        <v>2181</v>
      </c>
      <c r="B18" s="34">
        <v>55000</v>
      </c>
      <c r="C18" s="34">
        <v>1250000</v>
      </c>
      <c r="D18" s="34">
        <v>284961.26126126124</v>
      </c>
      <c r="E18" s="35">
        <v>37.522522522522522</v>
      </c>
      <c r="F18" s="33">
        <v>171.02016537882005</v>
      </c>
      <c r="G18" s="33"/>
    </row>
    <row r="19" spans="1:7">
      <c r="A19" s="30" t="s">
        <v>80</v>
      </c>
      <c r="B19" s="34">
        <v>95500</v>
      </c>
      <c r="C19" s="34">
        <v>1100000</v>
      </c>
      <c r="D19" s="34">
        <v>463885.02</v>
      </c>
      <c r="E19" s="35">
        <v>52.96</v>
      </c>
      <c r="F19" s="33">
        <v>227.66823480457489</v>
      </c>
      <c r="G19" s="33"/>
    </row>
    <row r="20" spans="1:7">
      <c r="A20" s="30" t="s">
        <v>2173</v>
      </c>
      <c r="B20" s="34">
        <v>41500</v>
      </c>
      <c r="C20" s="34">
        <v>280000</v>
      </c>
      <c r="D20" s="34">
        <v>153211.62626262626</v>
      </c>
      <c r="E20" s="35">
        <v>35.555555555555557</v>
      </c>
      <c r="F20" s="33">
        <v>134.530158189367</v>
      </c>
      <c r="G20" s="33"/>
    </row>
    <row r="21" spans="1:7">
      <c r="A21" s="30" t="s">
        <v>553</v>
      </c>
      <c r="B21" s="34">
        <v>235000</v>
      </c>
      <c r="C21" s="34">
        <v>658790</v>
      </c>
      <c r="D21" s="34">
        <v>386520</v>
      </c>
      <c r="E21" s="35">
        <v>38</v>
      </c>
      <c r="F21" s="33">
        <v>242.12441530952046</v>
      </c>
      <c r="G21" s="33"/>
    </row>
    <row r="22" spans="1:7">
      <c r="A22" s="30" t="s">
        <v>70</v>
      </c>
      <c r="B22" s="34">
        <v>93000</v>
      </c>
      <c r="C22" s="34">
        <v>675000</v>
      </c>
      <c r="D22" s="34">
        <v>380526.35416666669</v>
      </c>
      <c r="E22" s="35">
        <v>26.385416666666668</v>
      </c>
      <c r="F22" s="33">
        <v>190.64794466921265</v>
      </c>
      <c r="G22" s="33"/>
    </row>
    <row r="23" spans="1:7">
      <c r="A23" s="30" t="s">
        <v>29</v>
      </c>
      <c r="B23" s="34">
        <v>54000</v>
      </c>
      <c r="C23" s="34">
        <v>568000</v>
      </c>
      <c r="D23" s="34">
        <v>253785.59322033898</v>
      </c>
      <c r="E23" s="35">
        <v>37.355932203389834</v>
      </c>
      <c r="F23" s="33">
        <v>225.65484828475502</v>
      </c>
      <c r="G23" s="33"/>
    </row>
    <row r="24" spans="1:7">
      <c r="A24" s="30" t="s">
        <v>1344</v>
      </c>
      <c r="B24" s="34">
        <v>412000</v>
      </c>
      <c r="C24" s="34">
        <v>705000</v>
      </c>
      <c r="D24" s="34">
        <v>563833.33333333337</v>
      </c>
      <c r="E24" s="35">
        <v>32</v>
      </c>
      <c r="F24" s="33">
        <v>239.01361848144089</v>
      </c>
      <c r="G24" s="33"/>
    </row>
    <row r="25" spans="1:7">
      <c r="A25" s="30" t="s">
        <v>2523</v>
      </c>
      <c r="B25" s="34">
        <v>175000</v>
      </c>
      <c r="C25" s="34">
        <v>525000</v>
      </c>
      <c r="D25" s="34">
        <v>278892</v>
      </c>
      <c r="E25" s="35">
        <v>39.08</v>
      </c>
      <c r="F25" s="33">
        <v>177.29859570609716</v>
      </c>
      <c r="G25" s="33"/>
    </row>
    <row r="26" spans="1:7">
      <c r="A26" s="30" t="s">
        <v>298</v>
      </c>
      <c r="B26" s="34">
        <v>178000</v>
      </c>
      <c r="C26" s="34">
        <v>850000</v>
      </c>
      <c r="D26" s="34">
        <v>435733.33333333331</v>
      </c>
      <c r="E26" s="35">
        <v>57.75</v>
      </c>
      <c r="F26" s="33">
        <v>196.24774678715099</v>
      </c>
      <c r="G26" s="33"/>
    </row>
    <row r="27" spans="1:7">
      <c r="A27" s="30" t="s">
        <v>2407</v>
      </c>
      <c r="B27" s="34">
        <v>150000</v>
      </c>
      <c r="C27" s="34">
        <v>880000</v>
      </c>
      <c r="D27" s="34">
        <v>340948.57142857142</v>
      </c>
      <c r="E27" s="35">
        <v>45.971428571428568</v>
      </c>
      <c r="F27" s="33">
        <v>192.15361485723972</v>
      </c>
      <c r="G27" s="33"/>
    </row>
    <row r="28" spans="1:7">
      <c r="A28" s="30" t="s">
        <v>36</v>
      </c>
      <c r="B28" s="34">
        <v>60000</v>
      </c>
      <c r="C28" s="34">
        <v>360000</v>
      </c>
      <c r="D28" s="34">
        <v>167808.77192982455</v>
      </c>
      <c r="E28" s="35">
        <v>34.438596491228068</v>
      </c>
      <c r="F28" s="33">
        <v>159.76431466887115</v>
      </c>
      <c r="G28" s="33"/>
    </row>
    <row r="29" spans="1:7">
      <c r="A29" s="30" t="s">
        <v>117</v>
      </c>
      <c r="B29" s="34">
        <v>120000</v>
      </c>
      <c r="C29" s="34">
        <v>730000</v>
      </c>
      <c r="D29" s="34">
        <v>352371.66666666669</v>
      </c>
      <c r="E29" s="35">
        <v>49.033333333333331</v>
      </c>
      <c r="F29" s="33">
        <v>210.68645973737119</v>
      </c>
      <c r="G29" s="33"/>
    </row>
    <row r="30" spans="1:7">
      <c r="A30" s="30" t="s">
        <v>54</v>
      </c>
      <c r="B30" s="34">
        <v>80000</v>
      </c>
      <c r="C30" s="34">
        <v>630000</v>
      </c>
      <c r="D30" s="34">
        <v>322512.5</v>
      </c>
      <c r="E30" s="35">
        <v>69.458333333333329</v>
      </c>
      <c r="F30" s="33">
        <v>149.62438195989554</v>
      </c>
      <c r="G30" s="33"/>
    </row>
    <row r="31" spans="1:7">
      <c r="A31" s="30" t="s">
        <v>229</v>
      </c>
      <c r="B31" s="34">
        <v>160000</v>
      </c>
      <c r="C31" s="34">
        <v>338000</v>
      </c>
      <c r="D31" s="34">
        <v>215000</v>
      </c>
      <c r="E31" s="35">
        <v>16.7</v>
      </c>
      <c r="F31" s="33">
        <v>174.50585674966948</v>
      </c>
      <c r="G31" s="33"/>
    </row>
    <row r="32" spans="1:7">
      <c r="A32" s="30" t="s">
        <v>1139</v>
      </c>
      <c r="B32" s="34">
        <v>352500</v>
      </c>
      <c r="C32" s="34">
        <v>1259000</v>
      </c>
      <c r="D32" s="34">
        <v>524493.75</v>
      </c>
      <c r="E32" s="35">
        <v>23</v>
      </c>
      <c r="F32" s="33">
        <v>276.70486291377932</v>
      </c>
      <c r="G32" s="33"/>
    </row>
    <row r="33" spans="1:7">
      <c r="A33" s="30" t="s">
        <v>331</v>
      </c>
      <c r="B33" s="34">
        <v>187500</v>
      </c>
      <c r="C33" s="34">
        <v>1010000</v>
      </c>
      <c r="D33" s="34">
        <v>441395.5</v>
      </c>
      <c r="E33" s="35">
        <v>53.35</v>
      </c>
      <c r="F33" s="33">
        <v>204.43700869704253</v>
      </c>
      <c r="G33" s="33"/>
    </row>
    <row r="34" spans="1:7">
      <c r="A34" s="30" t="s">
        <v>191</v>
      </c>
      <c r="B34" s="34">
        <v>148250</v>
      </c>
      <c r="C34" s="34">
        <v>257500</v>
      </c>
      <c r="D34" s="34">
        <v>218598</v>
      </c>
      <c r="E34" s="35">
        <v>28</v>
      </c>
      <c r="F34" s="33">
        <v>208.31356145661343</v>
      </c>
      <c r="G34" s="33"/>
    </row>
    <row r="35" spans="1:7">
      <c r="A35" s="30" t="s">
        <v>1818</v>
      </c>
      <c r="B35" s="34">
        <v>623000</v>
      </c>
      <c r="C35" s="34">
        <v>623000</v>
      </c>
      <c r="D35" s="34">
        <v>623000</v>
      </c>
      <c r="E35" s="35">
        <v>99</v>
      </c>
      <c r="F35" s="33">
        <v>200.32154340836013</v>
      </c>
      <c r="G35" s="33"/>
    </row>
    <row r="36" spans="1:7">
      <c r="A36" s="30" t="s">
        <v>474</v>
      </c>
      <c r="B36" s="34">
        <v>219900</v>
      </c>
      <c r="C36" s="34">
        <v>970000</v>
      </c>
      <c r="D36" s="34">
        <v>526581.81818181823</v>
      </c>
      <c r="E36" s="35">
        <v>22.90909090909091</v>
      </c>
      <c r="F36" s="33">
        <v>385.79810335363459</v>
      </c>
      <c r="G36" s="33"/>
    </row>
    <row r="37" spans="1:7">
      <c r="A37" s="30" t="s">
        <v>867</v>
      </c>
      <c r="B37" s="34">
        <v>299655</v>
      </c>
      <c r="C37" s="34">
        <v>350000</v>
      </c>
      <c r="D37" s="34">
        <v>333931</v>
      </c>
      <c r="E37" s="35">
        <v>35.200000000000003</v>
      </c>
      <c r="F37" s="33">
        <v>169.74236279776116</v>
      </c>
      <c r="G37" s="33"/>
    </row>
    <row r="38" spans="1:7">
      <c r="A38" s="30" t="s">
        <v>2183</v>
      </c>
      <c r="B38" s="34">
        <v>55000</v>
      </c>
      <c r="C38" s="34">
        <v>440000</v>
      </c>
      <c r="D38" s="34">
        <v>197584.2</v>
      </c>
      <c r="E38" s="35">
        <v>35.799999999999997</v>
      </c>
      <c r="F38" s="33">
        <v>141.53977898140752</v>
      </c>
      <c r="G38" s="33"/>
    </row>
    <row r="39" spans="1:7">
      <c r="A39" s="30" t="s">
        <v>544</v>
      </c>
      <c r="B39" s="34">
        <v>234900</v>
      </c>
      <c r="C39" s="34">
        <v>1177000</v>
      </c>
      <c r="D39" s="34">
        <v>620377.6857142857</v>
      </c>
      <c r="E39" s="35">
        <v>42.74285714285714</v>
      </c>
      <c r="F39" s="33">
        <v>237.28744262504546</v>
      </c>
      <c r="G39" s="33"/>
    </row>
    <row r="40" spans="1:7">
      <c r="A40" s="30" t="s">
        <v>2163</v>
      </c>
      <c r="B40" s="34">
        <v>17000</v>
      </c>
      <c r="C40" s="34">
        <v>690000</v>
      </c>
      <c r="D40" s="34">
        <v>439995.10619469028</v>
      </c>
      <c r="E40" s="35">
        <v>58.203539823008846</v>
      </c>
      <c r="F40" s="33">
        <v>191.38511338787075</v>
      </c>
      <c r="G40" s="33"/>
    </row>
    <row r="41" spans="1:7">
      <c r="A41" s="30" t="s">
        <v>42</v>
      </c>
      <c r="B41" s="34">
        <v>70000</v>
      </c>
      <c r="C41" s="34">
        <v>405000</v>
      </c>
      <c r="D41" s="34">
        <v>218511.89285714287</v>
      </c>
      <c r="E41" s="35">
        <v>25.916666666666668</v>
      </c>
      <c r="F41" s="33">
        <v>195.2140368835299</v>
      </c>
      <c r="G41" s="33"/>
    </row>
    <row r="42" spans="1:7">
      <c r="A42" s="30" t="s">
        <v>2335</v>
      </c>
      <c r="B42" s="34">
        <v>127500</v>
      </c>
      <c r="C42" s="34">
        <v>297000</v>
      </c>
      <c r="D42" s="34">
        <v>212250</v>
      </c>
      <c r="E42" s="35">
        <v>77</v>
      </c>
      <c r="F42" s="33">
        <v>151.99522305724338</v>
      </c>
      <c r="G42" s="33"/>
    </row>
    <row r="43" spans="1:7">
      <c r="A43" s="30" t="s">
        <v>1051</v>
      </c>
      <c r="B43" s="34">
        <v>335000</v>
      </c>
      <c r="C43" s="34">
        <v>760000</v>
      </c>
      <c r="D43" s="34">
        <v>529553.4615384615</v>
      </c>
      <c r="E43" s="35">
        <v>67.307692307692307</v>
      </c>
      <c r="F43" s="33">
        <v>237.41575303833537</v>
      </c>
      <c r="G43" s="33"/>
    </row>
    <row r="44" spans="1:7">
      <c r="A44" s="30" t="s">
        <v>645</v>
      </c>
      <c r="B44" s="34">
        <v>252000</v>
      </c>
      <c r="C44" s="34">
        <v>860000</v>
      </c>
      <c r="D44" s="34">
        <v>525840</v>
      </c>
      <c r="E44" s="35">
        <v>72.900000000000006</v>
      </c>
      <c r="F44" s="33">
        <v>253.58366892331551</v>
      </c>
      <c r="G44" s="33"/>
    </row>
    <row r="45" spans="1:7">
      <c r="A45" s="30" t="s">
        <v>2171</v>
      </c>
      <c r="B45" s="34">
        <v>40000</v>
      </c>
      <c r="C45" s="34">
        <v>347000</v>
      </c>
      <c r="D45" s="34">
        <v>176685.71428571429</v>
      </c>
      <c r="E45" s="35">
        <v>31.333333333333332</v>
      </c>
      <c r="F45" s="33">
        <v>134.08501161510017</v>
      </c>
      <c r="G45" s="33"/>
    </row>
    <row r="46" spans="1:7">
      <c r="A46" s="30" t="s">
        <v>2938</v>
      </c>
      <c r="B46" s="34">
        <v>250000</v>
      </c>
      <c r="C46" s="34">
        <v>595900</v>
      </c>
      <c r="D46" s="34">
        <v>400706.25</v>
      </c>
      <c r="E46" s="35">
        <v>72</v>
      </c>
      <c r="F46" s="33">
        <v>196.19712223949622</v>
      </c>
      <c r="G46" s="33"/>
    </row>
    <row r="47" spans="1:7">
      <c r="A47" s="30" t="s">
        <v>2273</v>
      </c>
      <c r="B47" s="34">
        <v>105000</v>
      </c>
      <c r="C47" s="34">
        <v>380000</v>
      </c>
      <c r="D47" s="34">
        <v>253100</v>
      </c>
      <c r="E47" s="35">
        <v>25.7</v>
      </c>
      <c r="F47" s="33">
        <v>146.68003282528082</v>
      </c>
      <c r="G47" s="33"/>
    </row>
    <row r="48" spans="1:7">
      <c r="A48" s="30" t="s">
        <v>1305</v>
      </c>
      <c r="B48" s="34">
        <v>400000</v>
      </c>
      <c r="C48" s="34">
        <v>575000</v>
      </c>
      <c r="D48" s="34">
        <v>465000</v>
      </c>
      <c r="E48" s="35">
        <v>20.833333333333332</v>
      </c>
      <c r="F48" s="33">
        <v>238.81519513706385</v>
      </c>
      <c r="G48" s="33"/>
    </row>
    <row r="49" spans="1:7">
      <c r="A49" s="30" t="s">
        <v>16</v>
      </c>
      <c r="B49" s="34">
        <v>12000</v>
      </c>
      <c r="C49" s="34">
        <v>5000000</v>
      </c>
      <c r="D49" s="34">
        <v>741577.46938775515</v>
      </c>
      <c r="E49" s="35">
        <v>32.489795918367349</v>
      </c>
      <c r="F49" s="33">
        <v>242.98347544226789</v>
      </c>
      <c r="G49" s="33"/>
    </row>
    <row r="50" spans="1:7">
      <c r="A50" s="30" t="s">
        <v>83</v>
      </c>
      <c r="B50" s="34">
        <v>97500</v>
      </c>
      <c r="C50" s="34">
        <v>305000</v>
      </c>
      <c r="D50" s="34">
        <v>207263.51470588235</v>
      </c>
      <c r="E50" s="35">
        <v>34.764705882352942</v>
      </c>
      <c r="F50" s="33">
        <v>172.90556781151977</v>
      </c>
      <c r="G50" s="33"/>
    </row>
    <row r="51" spans="1:7">
      <c r="A51" s="30" t="s">
        <v>400</v>
      </c>
      <c r="B51" s="34">
        <v>200000</v>
      </c>
      <c r="C51" s="34">
        <v>1993472</v>
      </c>
      <c r="D51" s="34">
        <v>720450.17647058819</v>
      </c>
      <c r="E51" s="35">
        <v>59.117647058823529</v>
      </c>
      <c r="F51" s="33">
        <v>237.40459919586149</v>
      </c>
      <c r="G51" s="33"/>
    </row>
    <row r="52" spans="1:7">
      <c r="A52" s="30" t="s">
        <v>1802</v>
      </c>
      <c r="B52" s="34">
        <v>610000</v>
      </c>
      <c r="C52" s="34">
        <v>691500</v>
      </c>
      <c r="D52" s="34">
        <v>650750</v>
      </c>
      <c r="E52" s="35">
        <v>16.5</v>
      </c>
      <c r="F52" s="33">
        <v>256.56190428499582</v>
      </c>
      <c r="G52" s="33"/>
    </row>
    <row r="53" spans="1:7">
      <c r="A53" s="30" t="s">
        <v>77</v>
      </c>
      <c r="B53" s="34">
        <v>95000</v>
      </c>
      <c r="C53" s="34">
        <v>950000</v>
      </c>
      <c r="D53" s="34">
        <v>394735.55555555556</v>
      </c>
      <c r="E53" s="35">
        <v>28.288888888888888</v>
      </c>
      <c r="F53" s="33">
        <v>195.98547709449952</v>
      </c>
      <c r="G53" s="33"/>
    </row>
    <row r="54" spans="1:7">
      <c r="A54" s="30" t="s">
        <v>1164</v>
      </c>
      <c r="B54" s="34">
        <v>360000</v>
      </c>
      <c r="C54" s="34">
        <v>377025</v>
      </c>
      <c r="D54" s="34">
        <v>368512.5</v>
      </c>
      <c r="E54" s="35">
        <v>6</v>
      </c>
      <c r="F54" s="33">
        <v>210.72470125770752</v>
      </c>
      <c r="G54" s="33"/>
    </row>
    <row r="55" spans="1:7">
      <c r="A55" s="30" t="s">
        <v>823</v>
      </c>
      <c r="B55" s="34">
        <v>289900</v>
      </c>
      <c r="C55" s="34">
        <v>992000</v>
      </c>
      <c r="D55" s="34">
        <v>509289.81578947371</v>
      </c>
      <c r="E55" s="35">
        <v>69.60526315789474</v>
      </c>
      <c r="F55" s="33">
        <v>215.36402451886298</v>
      </c>
      <c r="G55" s="33"/>
    </row>
    <row r="56" spans="1:7">
      <c r="A56" s="30" t="s">
        <v>381</v>
      </c>
      <c r="B56" s="34">
        <v>197000</v>
      </c>
      <c r="C56" s="34">
        <v>718000</v>
      </c>
      <c r="D56" s="34">
        <v>329162.5</v>
      </c>
      <c r="E56" s="35">
        <v>74.125</v>
      </c>
      <c r="F56" s="33">
        <v>160.18990219528706</v>
      </c>
      <c r="G56" s="33"/>
    </row>
    <row r="57" spans="1:7">
      <c r="A57" s="30" t="s">
        <v>817</v>
      </c>
      <c r="B57" s="34">
        <v>287450</v>
      </c>
      <c r="C57" s="34">
        <v>1075000</v>
      </c>
      <c r="D57" s="34">
        <v>659056.25</v>
      </c>
      <c r="E57" s="35">
        <v>51.5</v>
      </c>
      <c r="F57" s="33">
        <v>289.05305283733719</v>
      </c>
      <c r="G57" s="33"/>
    </row>
    <row r="58" spans="1:7">
      <c r="A58" s="30" t="s">
        <v>14</v>
      </c>
      <c r="B58" s="34">
        <v>10000</v>
      </c>
      <c r="C58" s="34">
        <v>650500</v>
      </c>
      <c r="D58" s="34">
        <v>138830.21495327103</v>
      </c>
      <c r="E58" s="35">
        <v>44.214953271028037</v>
      </c>
      <c r="F58" s="33">
        <v>111.41414767806938</v>
      </c>
      <c r="G58" s="33"/>
    </row>
    <row r="59" spans="1:7">
      <c r="A59" s="30" t="s">
        <v>2578</v>
      </c>
      <c r="B59" s="34">
        <v>185000</v>
      </c>
      <c r="C59" s="34">
        <v>900000</v>
      </c>
      <c r="D59" s="34">
        <v>403360</v>
      </c>
      <c r="E59" s="35">
        <v>104</v>
      </c>
      <c r="F59" s="33">
        <v>179.27062184590559</v>
      </c>
      <c r="G59" s="33"/>
    </row>
    <row r="60" spans="1:7">
      <c r="A60" s="30" t="s">
        <v>2395</v>
      </c>
      <c r="B60" s="34">
        <v>145000</v>
      </c>
      <c r="C60" s="34">
        <v>597662</v>
      </c>
      <c r="D60" s="34">
        <v>314944.625</v>
      </c>
      <c r="E60" s="35">
        <v>210.125</v>
      </c>
      <c r="F60" s="33">
        <v>210.85290486592777</v>
      </c>
      <c r="G60" s="33"/>
    </row>
    <row r="61" spans="1:7">
      <c r="A61" s="30" t="s">
        <v>3037</v>
      </c>
      <c r="B61" s="34">
        <v>270000</v>
      </c>
      <c r="C61" s="34">
        <v>475000</v>
      </c>
      <c r="D61" s="34">
        <v>348333.33333333331</v>
      </c>
      <c r="E61" s="35">
        <v>68</v>
      </c>
      <c r="F61" s="33">
        <v>191.67637420833034</v>
      </c>
      <c r="G61" s="33"/>
    </row>
    <row r="62" spans="1:7">
      <c r="A62" s="30" t="s">
        <v>888</v>
      </c>
      <c r="B62" s="34">
        <v>300000</v>
      </c>
      <c r="C62" s="34">
        <v>770000</v>
      </c>
      <c r="D62" s="34">
        <v>529107.69230769225</v>
      </c>
      <c r="E62" s="35">
        <v>26.153846153846153</v>
      </c>
      <c r="F62" s="33">
        <v>276.25897975961811</v>
      </c>
      <c r="G62" s="33"/>
    </row>
    <row r="63" spans="1:7">
      <c r="A63" s="30" t="s">
        <v>18</v>
      </c>
      <c r="B63" s="34">
        <v>21000</v>
      </c>
      <c r="C63" s="34">
        <v>1660000</v>
      </c>
      <c r="D63" s="34">
        <v>492385.85148514854</v>
      </c>
      <c r="E63" s="35">
        <v>44.465346534653463</v>
      </c>
      <c r="F63" s="33">
        <v>218.54814326638657</v>
      </c>
      <c r="G63" s="33"/>
    </row>
    <row r="64" spans="1:7">
      <c r="A64" s="30" t="s">
        <v>2596</v>
      </c>
      <c r="B64" s="34">
        <v>190000</v>
      </c>
      <c r="C64" s="34">
        <v>463000</v>
      </c>
      <c r="D64" s="34">
        <v>297283.33333333331</v>
      </c>
      <c r="E64" s="35">
        <v>43.166666666666664</v>
      </c>
      <c r="F64" s="33">
        <v>212.77678020139879</v>
      </c>
      <c r="G64" s="33"/>
    </row>
    <row r="65" spans="1:7">
      <c r="A65" s="30" t="s">
        <v>878</v>
      </c>
      <c r="B65" s="34">
        <v>300000</v>
      </c>
      <c r="C65" s="34">
        <v>490000</v>
      </c>
      <c r="D65" s="34">
        <v>376785.35714285716</v>
      </c>
      <c r="E65" s="35">
        <v>48.142857142857146</v>
      </c>
      <c r="F65" s="33">
        <v>205.96578682906554</v>
      </c>
      <c r="G65" s="33"/>
    </row>
    <row r="66" spans="1:7">
      <c r="A66" s="30" t="s">
        <v>2166</v>
      </c>
      <c r="B66" s="34">
        <v>20000</v>
      </c>
      <c r="C66" s="34">
        <v>260000</v>
      </c>
      <c r="D66" s="34">
        <v>168905.77777777778</v>
      </c>
      <c r="E66" s="35">
        <v>21.735042735042736</v>
      </c>
      <c r="F66" s="33">
        <v>153.90700546353304</v>
      </c>
      <c r="G66" s="33"/>
    </row>
    <row r="67" spans="1:7">
      <c r="A67" s="30" t="s">
        <v>131</v>
      </c>
      <c r="B67" s="34">
        <v>127500</v>
      </c>
      <c r="C67" s="34">
        <v>1175000</v>
      </c>
      <c r="D67" s="34">
        <v>426999.77987421385</v>
      </c>
      <c r="E67" s="35">
        <v>39.937106918238996</v>
      </c>
      <c r="F67" s="33">
        <v>277.54403190604387</v>
      </c>
      <c r="G67" s="33"/>
    </row>
    <row r="68" spans="1:7">
      <c r="A68" s="30" t="s">
        <v>153</v>
      </c>
      <c r="B68" s="34">
        <v>135000</v>
      </c>
      <c r="C68" s="34">
        <v>195000</v>
      </c>
      <c r="D68" s="34">
        <v>170500</v>
      </c>
      <c r="E68" s="35">
        <v>96.75</v>
      </c>
      <c r="F68" s="33">
        <v>145.84943841436814</v>
      </c>
      <c r="G68" s="33"/>
    </row>
    <row r="69" spans="1:7">
      <c r="A69" s="30" t="s">
        <v>2316</v>
      </c>
      <c r="B69" s="34">
        <v>122000</v>
      </c>
      <c r="C69" s="34">
        <v>1409253</v>
      </c>
      <c r="D69" s="34">
        <v>450963.08737864078</v>
      </c>
      <c r="E69" s="35">
        <v>52.019417475728154</v>
      </c>
      <c r="F69" s="33">
        <v>208.40733732130877</v>
      </c>
      <c r="G69" s="33"/>
    </row>
    <row r="70" spans="1:7">
      <c r="A70" s="30" t="s">
        <v>93</v>
      </c>
      <c r="B70" s="34">
        <v>105000</v>
      </c>
      <c r="C70" s="34">
        <v>799900</v>
      </c>
      <c r="D70" s="34">
        <v>422890.90909090912</v>
      </c>
      <c r="E70" s="35">
        <v>33.5</v>
      </c>
      <c r="F70" s="33">
        <v>214.42779852723143</v>
      </c>
      <c r="G70" s="33"/>
    </row>
    <row r="71" spans="1:7">
      <c r="A71" s="30" t="s">
        <v>73</v>
      </c>
      <c r="B71" s="34">
        <v>94000</v>
      </c>
      <c r="C71" s="34">
        <v>425000</v>
      </c>
      <c r="D71" s="34">
        <v>251438.44871794872</v>
      </c>
      <c r="E71" s="35">
        <v>31.474358974358974</v>
      </c>
      <c r="F71" s="33">
        <v>158.38325534719525</v>
      </c>
      <c r="G71" s="33"/>
    </row>
    <row r="72" spans="1:7">
      <c r="A72" s="30" t="s">
        <v>318</v>
      </c>
      <c r="B72" s="34">
        <v>185000</v>
      </c>
      <c r="C72" s="34">
        <v>1650000</v>
      </c>
      <c r="D72" s="34">
        <v>498547.8125</v>
      </c>
      <c r="E72" s="35">
        <v>77.6875</v>
      </c>
      <c r="F72" s="33">
        <v>222.33841561018818</v>
      </c>
      <c r="G72" s="33"/>
    </row>
    <row r="73" spans="1:7">
      <c r="A73" s="30" t="s">
        <v>2210</v>
      </c>
      <c r="B73" s="34">
        <v>75000</v>
      </c>
      <c r="C73" s="34">
        <v>625000</v>
      </c>
      <c r="D73" s="34">
        <v>225967.41666666666</v>
      </c>
      <c r="E73" s="35">
        <v>26.59090909090909</v>
      </c>
      <c r="F73" s="33">
        <v>185.70408223500795</v>
      </c>
      <c r="G73" s="33"/>
    </row>
    <row r="74" spans="1:7">
      <c r="A74" s="30" t="s">
        <v>2193</v>
      </c>
      <c r="B74" s="34">
        <v>65000</v>
      </c>
      <c r="C74" s="34">
        <v>706000</v>
      </c>
      <c r="D74" s="34">
        <v>334680.31219512195</v>
      </c>
      <c r="E74" s="35">
        <v>28.590243902439024</v>
      </c>
      <c r="F74" s="33">
        <v>200.16353220751921</v>
      </c>
      <c r="G74" s="33"/>
    </row>
    <row r="75" spans="1:7">
      <c r="A75" s="30" t="s">
        <v>398</v>
      </c>
      <c r="B75" s="34">
        <v>200000</v>
      </c>
      <c r="C75" s="34">
        <v>278500</v>
      </c>
      <c r="D75" s="34">
        <v>254323.8</v>
      </c>
      <c r="E75" s="35">
        <v>51.6</v>
      </c>
      <c r="F75" s="33">
        <v>191.61735147014221</v>
      </c>
      <c r="G75" s="33"/>
    </row>
    <row r="76" spans="1:7">
      <c r="A76" s="30" t="s">
        <v>212</v>
      </c>
      <c r="B76" s="34">
        <v>155000</v>
      </c>
      <c r="C76" s="34">
        <v>1400000</v>
      </c>
      <c r="D76" s="34">
        <v>494114.75238095236</v>
      </c>
      <c r="E76" s="35">
        <v>34.580952380952382</v>
      </c>
      <c r="F76" s="33">
        <v>227.64728917995041</v>
      </c>
      <c r="G76" s="33"/>
    </row>
    <row r="77" spans="1:7">
      <c r="A77" s="30" t="s">
        <v>2542</v>
      </c>
      <c r="B77" s="34">
        <v>177500</v>
      </c>
      <c r="C77" s="34">
        <v>495000</v>
      </c>
      <c r="D77" s="34">
        <v>296233.33333333331</v>
      </c>
      <c r="E77" s="35">
        <v>38</v>
      </c>
      <c r="F77" s="33">
        <v>197.581166763444</v>
      </c>
      <c r="G77" s="33"/>
    </row>
    <row r="78" spans="1:7">
      <c r="A78" s="30" t="s">
        <v>21</v>
      </c>
      <c r="B78" s="34">
        <v>38000</v>
      </c>
      <c r="C78" s="34">
        <v>925000</v>
      </c>
      <c r="D78" s="34">
        <v>452166.66666666669</v>
      </c>
      <c r="E78" s="35">
        <v>100</v>
      </c>
      <c r="F78" s="33">
        <v>178.85021276392627</v>
      </c>
      <c r="G78" s="33"/>
    </row>
    <row r="79" spans="1:7">
      <c r="A79" s="30" t="s">
        <v>388</v>
      </c>
      <c r="B79" s="34">
        <v>199000</v>
      </c>
      <c r="C79" s="34">
        <v>374000</v>
      </c>
      <c r="D79" s="34">
        <v>280263.71428571426</v>
      </c>
      <c r="E79" s="35">
        <v>24.714285714285715</v>
      </c>
      <c r="F79" s="33">
        <v>197.14857464234589</v>
      </c>
      <c r="G79" s="33"/>
    </row>
    <row r="80" spans="1:7">
      <c r="A80" s="30" t="s">
        <v>2168</v>
      </c>
      <c r="B80" s="34">
        <v>20000</v>
      </c>
      <c r="C80" s="34">
        <v>370000</v>
      </c>
      <c r="D80" s="34">
        <v>178560.99298245614</v>
      </c>
      <c r="E80" s="35">
        <v>31.245614035087719</v>
      </c>
      <c r="F80" s="33">
        <v>154.14902466236464</v>
      </c>
      <c r="G80" s="33"/>
    </row>
    <row r="81" spans="1:7">
      <c r="A81" s="30" t="s">
        <v>2563</v>
      </c>
      <c r="B81" s="34">
        <v>180000</v>
      </c>
      <c r="C81" s="34">
        <v>2125000</v>
      </c>
      <c r="D81" s="34">
        <v>612533.27586206899</v>
      </c>
      <c r="E81" s="35">
        <v>53.551724137931032</v>
      </c>
      <c r="F81" s="33">
        <v>223.75568364207064</v>
      </c>
      <c r="G81" s="33"/>
    </row>
    <row r="82" spans="1:7">
      <c r="A82" s="30" t="s">
        <v>11</v>
      </c>
      <c r="B82" s="34">
        <v>90000</v>
      </c>
      <c r="C82" s="34">
        <v>990000</v>
      </c>
      <c r="D82" s="34">
        <v>280127.74509803922</v>
      </c>
      <c r="E82" s="35">
        <v>36.96078431372549</v>
      </c>
      <c r="F82" s="33">
        <v>192.76716725454247</v>
      </c>
      <c r="G82" s="33"/>
    </row>
    <row r="83" spans="1:7">
      <c r="A83" s="30" t="s">
        <v>268</v>
      </c>
      <c r="B83" s="34">
        <v>172000</v>
      </c>
      <c r="C83" s="34">
        <v>3700000</v>
      </c>
      <c r="D83" s="34">
        <v>587944.02409638558</v>
      </c>
      <c r="E83" s="35">
        <v>50.24096385542169</v>
      </c>
      <c r="F83" s="33">
        <v>210.78622440538595</v>
      </c>
      <c r="G83" s="33"/>
    </row>
    <row r="84" spans="1:7">
      <c r="A84" s="30" t="s">
        <v>56</v>
      </c>
      <c r="B84" s="34">
        <v>80500</v>
      </c>
      <c r="C84" s="34">
        <v>915000</v>
      </c>
      <c r="D84" s="34">
        <v>394508.80769230769</v>
      </c>
      <c r="E84" s="35">
        <v>41.5</v>
      </c>
      <c r="F84" s="33">
        <v>223.24044702600258</v>
      </c>
      <c r="G84" s="33"/>
    </row>
    <row r="85" spans="1:7">
      <c r="A85" s="30" t="s">
        <v>948</v>
      </c>
      <c r="B85" s="34">
        <v>313000</v>
      </c>
      <c r="C85" s="34">
        <v>661000</v>
      </c>
      <c r="D85" s="34">
        <v>485688.9</v>
      </c>
      <c r="E85" s="35">
        <v>92.5</v>
      </c>
      <c r="F85" s="33">
        <v>220.16650623544155</v>
      </c>
      <c r="G85" s="33"/>
    </row>
    <row r="86" spans="1:7">
      <c r="A86" s="30" t="s">
        <v>384</v>
      </c>
      <c r="B86" s="34">
        <v>198000</v>
      </c>
      <c r="C86" s="34">
        <v>499900</v>
      </c>
      <c r="D86" s="34">
        <v>326880</v>
      </c>
      <c r="E86" s="35">
        <v>17</v>
      </c>
      <c r="F86" s="33">
        <v>227.50342178726504</v>
      </c>
      <c r="G86" s="33"/>
    </row>
    <row r="87" spans="1:7">
      <c r="A87" s="30" t="s">
        <v>3636</v>
      </c>
      <c r="B87" s="34">
        <v>177000</v>
      </c>
      <c r="C87" s="34">
        <v>177000</v>
      </c>
      <c r="D87" s="34">
        <v>177000</v>
      </c>
      <c r="E87" s="35">
        <v>49</v>
      </c>
      <c r="F87" s="33">
        <v>161.34913400182316</v>
      </c>
      <c r="G87" s="33"/>
    </row>
    <row r="88" spans="1:7">
      <c r="A88" s="44" t="s">
        <v>3637</v>
      </c>
      <c r="B88" s="45">
        <v>10000</v>
      </c>
      <c r="C88" s="45">
        <v>5000000</v>
      </c>
      <c r="D88" s="45">
        <v>373521.69196050777</v>
      </c>
      <c r="E88" s="46">
        <v>40.840620592383637</v>
      </c>
      <c r="F88" s="47">
        <v>201.9994763453021</v>
      </c>
      <c r="G88" s="33"/>
    </row>
  </sheetData>
  <mergeCells count="1">
    <mergeCell ref="J2:O7"/>
  </mergeCells>
  <conditionalFormatting sqref="B2:B87">
    <cfRule type="top10" dxfId="15" priority="2" percent="1" bottom="1" rank="10"/>
  </conditionalFormatting>
  <conditionalFormatting sqref="C2:C87">
    <cfRule type="top10" dxfId="14" priority="3" percent="1" rank="10"/>
  </conditionalFormatting>
  <conditionalFormatting sqref="D1:D88">
    <cfRule type="colorScale" priority="5">
      <colorScale>
        <cfvo type="min"/>
        <cfvo type="percentile" val="50"/>
        <cfvo type="max"/>
        <color rgb="FF63BE7B"/>
        <color rgb="FFFFEB84"/>
        <color rgb="FFF8696B"/>
      </colorScale>
    </cfRule>
    <cfRule type="colorScale" priority="6">
      <colorScale>
        <cfvo type="min"/>
        <cfvo type="percentile" val="50"/>
        <cfvo type="max"/>
        <color rgb="FFF8696B"/>
        <color rgb="FFFFEB84"/>
        <color rgb="FF63BE7B"/>
      </colorScale>
    </cfRule>
    <cfRule type="colorScale" priority="8">
      <colorScale>
        <cfvo type="min"/>
        <cfvo type="percentile" val="50"/>
        <cfvo type="max"/>
        <color rgb="FF63BE7B"/>
        <color rgb="FFFFEB84"/>
        <color rgb="FFF8696B"/>
      </colorScale>
    </cfRule>
    <cfRule type="colorScale" priority="9">
      <colorScale>
        <cfvo type="min"/>
        <cfvo type="percentile" val="50"/>
        <cfvo type="max"/>
        <color rgb="FFF8696B"/>
        <color rgb="FFFCFCFF"/>
        <color rgb="FF5A8AC6"/>
      </colorScale>
    </cfRule>
    <cfRule type="colorScale" priority="10">
      <colorScale>
        <cfvo type="min"/>
        <cfvo type="percentile" val="50"/>
        <cfvo type="max"/>
        <color rgb="FF63BE7B"/>
        <color rgb="FFFFEB84"/>
        <color rgb="FFF8696B"/>
      </colorScale>
    </cfRule>
    <cfRule type="colorScale" priority="11">
      <colorScale>
        <cfvo type="min"/>
        <cfvo type="percentile" val="50"/>
        <cfvo type="max"/>
        <color rgb="FFF8696B"/>
        <color rgb="FFFFEB84"/>
        <color rgb="FF63BE7B"/>
      </colorScale>
    </cfRule>
  </conditionalFormatting>
  <conditionalFormatting sqref="E1:E88">
    <cfRule type="colorScale" priority="4">
      <colorScale>
        <cfvo type="min"/>
        <cfvo type="percentile" val="50"/>
        <cfvo type="max"/>
        <color rgb="FF63BE7B"/>
        <color rgb="FFFFEB84"/>
        <color rgb="FFF8696B"/>
      </colorScale>
    </cfRule>
    <cfRule type="colorScale" priority="7">
      <colorScale>
        <cfvo type="min"/>
        <cfvo type="percentile" val="50"/>
        <cfvo type="max"/>
        <color rgb="FF5A8AC6"/>
        <color rgb="FFFCFCFF"/>
        <color rgb="FFF8696B"/>
      </colorScale>
    </cfRule>
  </conditionalFormatting>
  <conditionalFormatting sqref="E89">
    <cfRule type="colorScale" priority="16">
      <colorScale>
        <cfvo type="min"/>
        <cfvo type="percentile" val="50"/>
        <cfvo type="max"/>
        <color rgb="FF63BE7B"/>
        <color rgb="FFFFEB84"/>
        <color rgb="FFF8696B"/>
      </colorScale>
    </cfRule>
    <cfRule type="colorScale" priority="17">
      <colorScale>
        <cfvo type="min"/>
        <cfvo type="percentile" val="50"/>
        <cfvo type="max"/>
        <color rgb="FFF8696B"/>
        <color rgb="FFFFEB84"/>
        <color rgb="FF63BE7B"/>
      </colorScale>
    </cfRule>
    <cfRule type="colorScale" priority="19">
      <colorScale>
        <cfvo type="min"/>
        <cfvo type="percentile" val="50"/>
        <cfvo type="max"/>
        <color rgb="FF63BE7B"/>
        <color rgb="FFFFEB84"/>
        <color rgb="FFF8696B"/>
      </colorScale>
    </cfRule>
    <cfRule type="colorScale" priority="20">
      <colorScale>
        <cfvo type="min"/>
        <cfvo type="percentile" val="50"/>
        <cfvo type="max"/>
        <color rgb="FFF8696B"/>
        <color rgb="FFFCFCFF"/>
        <color rgb="FF5A8AC6"/>
      </colorScale>
    </cfRule>
    <cfRule type="colorScale" priority="21">
      <colorScale>
        <cfvo type="min"/>
        <cfvo type="percentile" val="50"/>
        <cfvo type="max"/>
        <color rgb="FF63BE7B"/>
        <color rgb="FFFFEB84"/>
        <color rgb="FFF8696B"/>
      </colorScale>
    </cfRule>
    <cfRule type="colorScale" priority="22">
      <colorScale>
        <cfvo type="min"/>
        <cfvo type="percentile" val="50"/>
        <cfvo type="max"/>
        <color rgb="FFF8696B"/>
        <color rgb="FFFFEB84"/>
        <color rgb="FF63BE7B"/>
      </colorScale>
    </cfRule>
  </conditionalFormatting>
  <conditionalFormatting sqref="F2:F87">
    <cfRule type="top10" dxfId="13" priority="1" percent="1" rank="10"/>
  </conditionalFormatting>
  <conditionalFormatting sqref="F89">
    <cfRule type="colorScale" priority="15">
      <colorScale>
        <cfvo type="min"/>
        <cfvo type="percentile" val="50"/>
        <cfvo type="max"/>
        <color rgb="FF63BE7B"/>
        <color rgb="FFFFEB84"/>
        <color rgb="FFF8696B"/>
      </colorScale>
    </cfRule>
    <cfRule type="colorScale" priority="18">
      <colorScale>
        <cfvo type="min"/>
        <cfvo type="percentile" val="50"/>
        <cfvo type="max"/>
        <color rgb="FF5A8AC6"/>
        <color rgb="FFFCFCFF"/>
        <color rgb="FFF8696B"/>
      </colorScale>
    </cfRule>
  </conditionalFormatting>
  <conditionalFormatting sqref="G3:G88">
    <cfRule type="top10" dxfId="12" priority="12" percent="1" rank="10"/>
  </conditionalFormatting>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CAD89-3E3B-4A80-9A13-9BC000A17538}">
  <dimension ref="A1"/>
  <sheetViews>
    <sheetView topLeftCell="A52" workbookViewId="0">
      <selection activeCell="AE59" sqref="AE59"/>
    </sheetView>
  </sheetViews>
  <sheetFormatPr defaultRowHeight="15.7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D5983-FD2A-4BC6-98F1-B94F41928287}">
  <dimension ref="A3:K6"/>
  <sheetViews>
    <sheetView workbookViewId="0">
      <selection activeCell="N18" sqref="N18"/>
    </sheetView>
  </sheetViews>
  <sheetFormatPr defaultRowHeight="15.75"/>
  <cols>
    <col min="1" max="1" width="12" bestFit="1" customWidth="1"/>
    <col min="2" max="2" width="14" bestFit="1" customWidth="1"/>
    <col min="3" max="3" width="10.375" bestFit="1" customWidth="1"/>
    <col min="4" max="4" width="11.75" bestFit="1" customWidth="1"/>
    <col min="9" max="9" width="12" bestFit="1" customWidth="1"/>
    <col min="10" max="10" width="19.375" bestFit="1" customWidth="1"/>
    <col min="11" max="11" width="22.625" bestFit="1" customWidth="1"/>
    <col min="12" max="12" width="23.625" bestFit="1" customWidth="1"/>
  </cols>
  <sheetData>
    <row r="3" spans="1:11">
      <c r="A3" s="1" t="s">
        <v>3638</v>
      </c>
      <c r="B3" t="s">
        <v>3639</v>
      </c>
      <c r="C3" t="s">
        <v>3640</v>
      </c>
      <c r="D3" t="s">
        <v>3641</v>
      </c>
      <c r="I3" s="1" t="s">
        <v>3638</v>
      </c>
      <c r="J3" t="s">
        <v>3642</v>
      </c>
      <c r="K3" t="s">
        <v>3643</v>
      </c>
    </row>
    <row r="4" spans="1:11">
      <c r="A4" s="57" t="s">
        <v>2164</v>
      </c>
      <c r="B4" s="25">
        <v>1581.746546961326</v>
      </c>
      <c r="C4" s="25">
        <v>596</v>
      </c>
      <c r="D4" s="25">
        <v>6024</v>
      </c>
      <c r="I4" s="57" t="s">
        <v>2164</v>
      </c>
      <c r="J4">
        <v>901</v>
      </c>
      <c r="K4" s="28">
        <v>39.506906077348063</v>
      </c>
    </row>
    <row r="5" spans="1:11">
      <c r="A5" s="57" t="s">
        <v>12</v>
      </c>
      <c r="B5" s="25">
        <v>1911.4902241297091</v>
      </c>
      <c r="C5" s="25">
        <v>262</v>
      </c>
      <c r="D5" s="25">
        <v>9800</v>
      </c>
      <c r="I5" s="57" t="s">
        <v>12</v>
      </c>
      <c r="J5">
        <v>595</v>
      </c>
      <c r="K5" s="28">
        <v>41.763948497854081</v>
      </c>
    </row>
    <row r="6" spans="1:11">
      <c r="A6" s="57" t="s">
        <v>3637</v>
      </c>
      <c r="B6" s="25">
        <v>1776.8022566995769</v>
      </c>
      <c r="C6" s="25">
        <v>262</v>
      </c>
      <c r="D6" s="25">
        <v>9800</v>
      </c>
      <c r="I6" s="57" t="s">
        <v>3637</v>
      </c>
      <c r="J6">
        <v>901</v>
      </c>
      <c r="K6" s="28">
        <v>40.842031029619179</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492F-4D82-44AF-8771-FEF0A430AFFE}">
  <dimension ref="A1"/>
  <sheetViews>
    <sheetView workbookViewId="0">
      <selection activeCell="R13" sqref="Q13:R13"/>
    </sheetView>
  </sheetViews>
  <sheetFormatPr defaultRowHeight="15.7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742B0-1196-4CD0-B36B-F5595CA6D849}">
  <dimension ref="A1:B31"/>
  <sheetViews>
    <sheetView workbookViewId="0">
      <selection activeCell="B34" sqref="B34"/>
    </sheetView>
  </sheetViews>
  <sheetFormatPr defaultRowHeight="15.75"/>
  <cols>
    <col min="1" max="1" width="9.25" bestFit="1" customWidth="1"/>
    <col min="2" max="2" width="14.125" bestFit="1" customWidth="1"/>
    <col min="3" max="37" width="7.375" bestFit="1" customWidth="1"/>
    <col min="38" max="678" width="8.375" bestFit="1" customWidth="1"/>
    <col min="679" max="682" width="9.875" bestFit="1" customWidth="1"/>
    <col min="683" max="683" width="10.125" bestFit="1" customWidth="1"/>
  </cols>
  <sheetData>
    <row r="1" spans="1:2">
      <c r="A1" s="60" t="s">
        <v>3644</v>
      </c>
      <c r="B1" s="60"/>
    </row>
    <row r="2" spans="1:2">
      <c r="A2" s="40" t="s">
        <v>12</v>
      </c>
      <c r="B2" s="40" t="s">
        <v>2164</v>
      </c>
    </row>
    <row r="3" spans="1:2" ht="18.75">
      <c r="A3" s="36">
        <f>COUNTIF('Unified Data'!C:C,"Oakland")</f>
        <v>2097</v>
      </c>
      <c r="B3" s="36">
        <f>COUNTIF('Unified Data'!C:C,"Macomb")</f>
        <v>1448</v>
      </c>
    </row>
    <row r="4" spans="1:2" ht="18.75">
      <c r="A4" s="37">
        <f>($A$3/$A$7)</f>
        <v>0.59153737658674188</v>
      </c>
      <c r="B4" s="37">
        <f>($B$3/$A$7)</f>
        <v>0.40846262341325812</v>
      </c>
    </row>
    <row r="5" spans="1:2">
      <c r="A5" s="31"/>
      <c r="B5" s="31"/>
    </row>
    <row r="6" spans="1:2">
      <c r="A6" s="39" t="s">
        <v>3645</v>
      </c>
      <c r="B6" s="31"/>
    </row>
    <row r="7" spans="1:2" ht="18.75">
      <c r="A7" s="38">
        <f>A3+B3</f>
        <v>3545</v>
      </c>
      <c r="B7" s="31"/>
    </row>
    <row r="26" spans="1:2">
      <c r="A26" s="1" t="s">
        <v>5</v>
      </c>
      <c r="B26" s="57">
        <v>3</v>
      </c>
    </row>
    <row r="27" spans="1:2">
      <c r="A27" s="1" t="s">
        <v>6</v>
      </c>
      <c r="B27" s="57">
        <v>2</v>
      </c>
    </row>
    <row r="29" spans="1:2">
      <c r="B29" t="s">
        <v>3632</v>
      </c>
    </row>
    <row r="30" spans="1:2">
      <c r="A30" s="57" t="s">
        <v>2164</v>
      </c>
      <c r="B30" s="26">
        <v>261418.89603960395</v>
      </c>
    </row>
    <row r="31" spans="1:2">
      <c r="A31" s="57" t="s">
        <v>12</v>
      </c>
      <c r="B31" s="26">
        <v>302870.90000000002</v>
      </c>
    </row>
  </sheetData>
  <mergeCells count="1">
    <mergeCell ref="A1:B1"/>
  </mergeCell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E02F0-D58B-40E8-B040-51D63452F8FC}">
  <dimension ref="A1:AA86"/>
  <sheetViews>
    <sheetView workbookViewId="0">
      <selection activeCell="F11" sqref="F11"/>
    </sheetView>
  </sheetViews>
  <sheetFormatPr defaultRowHeight="15.75"/>
  <cols>
    <col min="1" max="1" width="18" bestFit="1" customWidth="1"/>
    <col min="2" max="2" width="13.625" bestFit="1" customWidth="1"/>
    <col min="3" max="3" width="28.25" bestFit="1" customWidth="1"/>
    <col min="5" max="5" width="13.625" bestFit="1" customWidth="1"/>
    <col min="6" max="6" width="16.25" bestFit="1" customWidth="1"/>
    <col min="9" max="9" width="10.625" bestFit="1" customWidth="1"/>
    <col min="10" max="10" width="22.125" bestFit="1" customWidth="1"/>
    <col min="11" max="11" width="14.25" bestFit="1" customWidth="1"/>
    <col min="22" max="22" width="11.875" bestFit="1" customWidth="1"/>
    <col min="23" max="23" width="13.25" bestFit="1" customWidth="1"/>
    <col min="24" max="24" width="6" bestFit="1" customWidth="1"/>
    <col min="25" max="25" width="11.875" bestFit="1" customWidth="1"/>
  </cols>
  <sheetData>
    <row r="1" spans="1:27">
      <c r="A1" s="32" t="s">
        <v>1</v>
      </c>
      <c r="B1" s="3" t="s">
        <v>3646</v>
      </c>
      <c r="C1" t="s">
        <v>3647</v>
      </c>
      <c r="E1" s="41" t="s">
        <v>3648</v>
      </c>
      <c r="F1" s="42" t="s">
        <v>3649</v>
      </c>
      <c r="I1" s="1" t="s">
        <v>1</v>
      </c>
      <c r="J1" t="s">
        <v>3634</v>
      </c>
      <c r="K1" t="s">
        <v>3639</v>
      </c>
      <c r="V1" s="39" t="s">
        <v>3648</v>
      </c>
      <c r="W1" s="39" t="s">
        <v>3650</v>
      </c>
      <c r="X1" s="39" t="s">
        <v>3651</v>
      </c>
      <c r="Y1" s="39" t="s">
        <v>3652</v>
      </c>
    </row>
    <row r="2" spans="1:27">
      <c r="A2" s="30" t="s">
        <v>1425</v>
      </c>
      <c r="B2" s="26">
        <v>740600</v>
      </c>
      <c r="C2" s="26">
        <f t="shared" ref="C2:C33" si="0">ABS(B2-$E$2)</f>
        <v>440600</v>
      </c>
      <c r="E2" s="56">
        <v>300000</v>
      </c>
      <c r="F2" s="43" t="str">
        <f>INDEX(A:A, MATCH(MIN(C:C), C:C, 0))</f>
        <v>Armada Twp</v>
      </c>
      <c r="I2" t="s">
        <v>679</v>
      </c>
      <c r="J2" s="29">
        <v>400.88420837365476</v>
      </c>
      <c r="K2" s="25">
        <v>2437.0923076923077</v>
      </c>
      <c r="V2" s="29">
        <f>E2</f>
        <v>300000</v>
      </c>
      <c r="W2" s="29">
        <f>$J$2</f>
        <v>400.88420837365476</v>
      </c>
      <c r="X2">
        <v>1317.7068828135509</v>
      </c>
      <c r="Y2" s="29">
        <f>W2*X2</f>
        <v>528247.88058522658</v>
      </c>
    </row>
    <row r="3" spans="1:27">
      <c r="A3" s="30" t="s">
        <v>2261</v>
      </c>
      <c r="B3" s="26">
        <v>302250</v>
      </c>
      <c r="C3" s="26">
        <f t="shared" si="0"/>
        <v>2250</v>
      </c>
      <c r="I3" t="s">
        <v>3637</v>
      </c>
      <c r="J3" s="29">
        <v>400.88420837365476</v>
      </c>
      <c r="K3" s="25">
        <v>2437.0923076923077</v>
      </c>
    </row>
    <row r="4" spans="1:27">
      <c r="A4" s="30" t="s">
        <v>2685</v>
      </c>
      <c r="B4" s="26">
        <v>222666.66666666666</v>
      </c>
      <c r="C4" s="26">
        <f>ABS(B4-$E$2)</f>
        <v>77333.333333333343</v>
      </c>
      <c r="E4" s="62" t="s">
        <v>3653</v>
      </c>
      <c r="F4" s="62"/>
      <c r="V4" s="39" t="s">
        <v>1</v>
      </c>
      <c r="Y4" s="61" t="s">
        <v>3654</v>
      </c>
      <c r="Z4" s="61"/>
    </row>
    <row r="5" spans="1:27">
      <c r="A5" s="30" t="s">
        <v>25</v>
      </c>
      <c r="B5" s="26">
        <v>267721.15000000002</v>
      </c>
      <c r="C5" s="26">
        <f t="shared" si="0"/>
        <v>32278.849999999977</v>
      </c>
      <c r="E5" s="62"/>
      <c r="F5" s="62"/>
      <c r="V5" t="str">
        <f>I2</f>
        <v>Birmingham</v>
      </c>
      <c r="Y5" s="61"/>
      <c r="Z5" s="61"/>
    </row>
    <row r="6" spans="1:27">
      <c r="A6" s="30" t="s">
        <v>282</v>
      </c>
      <c r="B6" s="26">
        <v>346754.19512195123</v>
      </c>
      <c r="C6" s="26">
        <f t="shared" si="0"/>
        <v>46754.195121951227</v>
      </c>
      <c r="E6" s="62"/>
      <c r="F6" s="62"/>
      <c r="Z6" s="58">
        <f>X2</f>
        <v>1317.7068828135509</v>
      </c>
    </row>
    <row r="7" spans="1:27">
      <c r="A7" s="30" t="s">
        <v>1953</v>
      </c>
      <c r="B7" s="26">
        <v>737000</v>
      </c>
      <c r="C7" s="26">
        <f t="shared" si="0"/>
        <v>437000</v>
      </c>
      <c r="E7" s="62"/>
      <c r="F7" s="62"/>
    </row>
    <row r="8" spans="1:27">
      <c r="A8" s="30" t="s">
        <v>728</v>
      </c>
      <c r="B8" s="26">
        <v>508082.14285714284</v>
      </c>
      <c r="C8" s="26">
        <f t="shared" si="0"/>
        <v>208082.14285714284</v>
      </c>
    </row>
    <row r="9" spans="1:27" ht="15.75" customHeight="1">
      <c r="A9" s="30" t="s">
        <v>679</v>
      </c>
      <c r="B9" s="26">
        <v>1010921.5384615385</v>
      </c>
      <c r="C9" s="26">
        <f t="shared" si="0"/>
        <v>710921.5384615385</v>
      </c>
      <c r="V9" s="62" t="s">
        <v>3655</v>
      </c>
      <c r="W9" s="62"/>
      <c r="X9" s="62"/>
      <c r="Y9" s="62"/>
      <c r="Z9" s="62"/>
      <c r="AA9" s="62"/>
    </row>
    <row r="10" spans="1:27">
      <c r="A10" s="30" t="s">
        <v>1366</v>
      </c>
      <c r="B10" s="26">
        <v>1638100</v>
      </c>
      <c r="C10" s="26">
        <f t="shared" si="0"/>
        <v>1338100</v>
      </c>
      <c r="V10" s="62"/>
      <c r="W10" s="62"/>
      <c r="X10" s="62"/>
      <c r="Y10" s="62"/>
      <c r="Z10" s="62"/>
      <c r="AA10" s="62"/>
    </row>
    <row r="11" spans="1:27">
      <c r="A11" s="30" t="s">
        <v>960</v>
      </c>
      <c r="B11" s="26">
        <v>904421.91428571427</v>
      </c>
      <c r="C11" s="26">
        <f t="shared" si="0"/>
        <v>604421.91428571427</v>
      </c>
      <c r="V11" s="62"/>
      <c r="W11" s="62"/>
      <c r="X11" s="62"/>
      <c r="Y11" s="62"/>
      <c r="Z11" s="62"/>
      <c r="AA11" s="62"/>
    </row>
    <row r="12" spans="1:27">
      <c r="A12" s="30" t="s">
        <v>155</v>
      </c>
      <c r="B12" s="26">
        <v>325700</v>
      </c>
      <c r="C12" s="26">
        <f t="shared" si="0"/>
        <v>25700</v>
      </c>
      <c r="V12" s="62"/>
      <c r="W12" s="62"/>
      <c r="X12" s="62"/>
      <c r="Y12" s="62"/>
      <c r="Z12" s="62"/>
      <c r="AA12" s="62"/>
    </row>
    <row r="13" spans="1:27">
      <c r="A13" s="30" t="s">
        <v>3151</v>
      </c>
      <c r="B13" s="26">
        <v>633951.23529411759</v>
      </c>
      <c r="C13" s="26">
        <f t="shared" si="0"/>
        <v>333951.23529411759</v>
      </c>
      <c r="V13" s="62"/>
      <c r="W13" s="62"/>
      <c r="X13" s="62"/>
      <c r="Y13" s="62"/>
      <c r="Z13" s="62"/>
      <c r="AA13" s="62"/>
    </row>
    <row r="14" spans="1:27">
      <c r="A14" s="30" t="s">
        <v>2227</v>
      </c>
      <c r="B14" s="26">
        <v>181375</v>
      </c>
      <c r="C14" s="26">
        <f t="shared" si="0"/>
        <v>118625</v>
      </c>
      <c r="V14" s="62"/>
      <c r="W14" s="62"/>
      <c r="X14" s="62"/>
      <c r="Y14" s="62"/>
      <c r="Z14" s="62"/>
      <c r="AA14" s="62"/>
    </row>
    <row r="15" spans="1:27">
      <c r="A15" s="30" t="s">
        <v>2252</v>
      </c>
      <c r="B15" s="26">
        <v>379124.34328358207</v>
      </c>
      <c r="C15" s="26">
        <f t="shared" si="0"/>
        <v>79124.343283582071</v>
      </c>
    </row>
    <row r="16" spans="1:27">
      <c r="A16" s="30" t="s">
        <v>2781</v>
      </c>
      <c r="B16" s="26">
        <v>260000</v>
      </c>
      <c r="C16" s="26">
        <f t="shared" si="0"/>
        <v>40000</v>
      </c>
    </row>
    <row r="17" spans="1:3">
      <c r="A17" s="30" t="s">
        <v>363</v>
      </c>
      <c r="B17" s="26">
        <v>314252.06666666665</v>
      </c>
      <c r="C17" s="26">
        <f t="shared" si="0"/>
        <v>14252.066666666651</v>
      </c>
    </row>
    <row r="18" spans="1:3">
      <c r="A18" s="30" t="s">
        <v>2181</v>
      </c>
      <c r="B18" s="26">
        <v>284961.26126126124</v>
      </c>
      <c r="C18" s="26">
        <f t="shared" si="0"/>
        <v>15038.738738738757</v>
      </c>
    </row>
    <row r="19" spans="1:3">
      <c r="A19" s="30" t="s">
        <v>80</v>
      </c>
      <c r="B19" s="26">
        <v>463885.02</v>
      </c>
      <c r="C19" s="26">
        <f t="shared" si="0"/>
        <v>163885.02000000002</v>
      </c>
    </row>
    <row r="20" spans="1:3">
      <c r="A20" s="30" t="s">
        <v>2173</v>
      </c>
      <c r="B20" s="26">
        <v>153211.62626262626</v>
      </c>
      <c r="C20" s="26">
        <f t="shared" si="0"/>
        <v>146788.37373737374</v>
      </c>
    </row>
    <row r="21" spans="1:3">
      <c r="A21" s="30" t="s">
        <v>553</v>
      </c>
      <c r="B21" s="26">
        <v>386520</v>
      </c>
      <c r="C21" s="26">
        <f t="shared" si="0"/>
        <v>86520</v>
      </c>
    </row>
    <row r="22" spans="1:3">
      <c r="A22" s="30" t="s">
        <v>70</v>
      </c>
      <c r="B22" s="26">
        <v>380526.35416666669</v>
      </c>
      <c r="C22" s="26">
        <f t="shared" si="0"/>
        <v>80526.354166666686</v>
      </c>
    </row>
    <row r="23" spans="1:3">
      <c r="A23" s="30" t="s">
        <v>29</v>
      </c>
      <c r="B23" s="26">
        <v>253785.59322033898</v>
      </c>
      <c r="C23" s="26">
        <f t="shared" si="0"/>
        <v>46214.406779661018</v>
      </c>
    </row>
    <row r="24" spans="1:3">
      <c r="A24" s="30" t="s">
        <v>1344</v>
      </c>
      <c r="B24" s="26">
        <v>563833.33333333337</v>
      </c>
      <c r="C24" s="26">
        <f t="shared" si="0"/>
        <v>263833.33333333337</v>
      </c>
    </row>
    <row r="25" spans="1:3">
      <c r="A25" s="30" t="s">
        <v>2523</v>
      </c>
      <c r="B25" s="26">
        <v>278892</v>
      </c>
      <c r="C25" s="26">
        <f t="shared" si="0"/>
        <v>21108</v>
      </c>
    </row>
    <row r="26" spans="1:3">
      <c r="A26" s="30" t="s">
        <v>298</v>
      </c>
      <c r="B26" s="26">
        <v>435733.33333333331</v>
      </c>
      <c r="C26" s="26">
        <f t="shared" si="0"/>
        <v>135733.33333333331</v>
      </c>
    </row>
    <row r="27" spans="1:3">
      <c r="A27" s="30" t="s">
        <v>2407</v>
      </c>
      <c r="B27" s="26">
        <v>340948.57142857142</v>
      </c>
      <c r="C27" s="26">
        <f t="shared" si="0"/>
        <v>40948.57142857142</v>
      </c>
    </row>
    <row r="28" spans="1:3">
      <c r="A28" s="30" t="s">
        <v>36</v>
      </c>
      <c r="B28" s="26">
        <v>167808.77192982455</v>
      </c>
      <c r="C28" s="26">
        <f t="shared" si="0"/>
        <v>132191.22807017545</v>
      </c>
    </row>
    <row r="29" spans="1:3">
      <c r="A29" s="30" t="s">
        <v>117</v>
      </c>
      <c r="B29" s="26">
        <v>352371.66666666669</v>
      </c>
      <c r="C29" s="26">
        <f t="shared" si="0"/>
        <v>52371.666666666686</v>
      </c>
    </row>
    <row r="30" spans="1:3">
      <c r="A30" s="30" t="s">
        <v>54</v>
      </c>
      <c r="B30" s="26">
        <v>322512.5</v>
      </c>
      <c r="C30" s="26">
        <f t="shared" si="0"/>
        <v>22512.5</v>
      </c>
    </row>
    <row r="31" spans="1:3">
      <c r="A31" s="30" t="s">
        <v>229</v>
      </c>
      <c r="B31" s="26">
        <v>215000</v>
      </c>
      <c r="C31" s="26">
        <f t="shared" si="0"/>
        <v>85000</v>
      </c>
    </row>
    <row r="32" spans="1:3">
      <c r="A32" s="30" t="s">
        <v>1139</v>
      </c>
      <c r="B32" s="26">
        <v>524493.75</v>
      </c>
      <c r="C32" s="26">
        <f t="shared" si="0"/>
        <v>224493.75</v>
      </c>
    </row>
    <row r="33" spans="1:3">
      <c r="A33" s="30" t="s">
        <v>331</v>
      </c>
      <c r="B33" s="26">
        <v>441395.5</v>
      </c>
      <c r="C33" s="26">
        <f t="shared" si="0"/>
        <v>141395.5</v>
      </c>
    </row>
    <row r="34" spans="1:3">
      <c r="A34" s="30" t="s">
        <v>191</v>
      </c>
      <c r="B34" s="26">
        <v>218598</v>
      </c>
      <c r="C34" s="26">
        <f t="shared" ref="C34:C65" si="1">ABS(B34-$E$2)</f>
        <v>81402</v>
      </c>
    </row>
    <row r="35" spans="1:3">
      <c r="A35" s="30" t="s">
        <v>1818</v>
      </c>
      <c r="B35" s="26">
        <v>623000</v>
      </c>
      <c r="C35" s="26">
        <f t="shared" si="1"/>
        <v>323000</v>
      </c>
    </row>
    <row r="36" spans="1:3">
      <c r="A36" s="30" t="s">
        <v>474</v>
      </c>
      <c r="B36" s="26">
        <v>526581.81818181823</v>
      </c>
      <c r="C36" s="26">
        <f t="shared" si="1"/>
        <v>226581.81818181823</v>
      </c>
    </row>
    <row r="37" spans="1:3">
      <c r="A37" s="30" t="s">
        <v>867</v>
      </c>
      <c r="B37" s="26">
        <v>333931</v>
      </c>
      <c r="C37" s="26">
        <f t="shared" si="1"/>
        <v>33931</v>
      </c>
    </row>
    <row r="38" spans="1:3">
      <c r="A38" s="30" t="s">
        <v>2183</v>
      </c>
      <c r="B38" s="26">
        <v>197584.2</v>
      </c>
      <c r="C38" s="26">
        <f t="shared" si="1"/>
        <v>102415.79999999999</v>
      </c>
    </row>
    <row r="39" spans="1:3">
      <c r="A39" s="30" t="s">
        <v>544</v>
      </c>
      <c r="B39" s="26">
        <v>620377.6857142857</v>
      </c>
      <c r="C39" s="26">
        <f t="shared" si="1"/>
        <v>320377.6857142857</v>
      </c>
    </row>
    <row r="40" spans="1:3">
      <c r="A40" s="30" t="s">
        <v>2163</v>
      </c>
      <c r="B40" s="26">
        <v>439995.10619469028</v>
      </c>
      <c r="C40" s="26">
        <f t="shared" si="1"/>
        <v>139995.10619469028</v>
      </c>
    </row>
    <row r="41" spans="1:3">
      <c r="A41" s="30" t="s">
        <v>42</v>
      </c>
      <c r="B41" s="26">
        <v>218511.89285714287</v>
      </c>
      <c r="C41" s="26">
        <f t="shared" si="1"/>
        <v>81488.10714285713</v>
      </c>
    </row>
    <row r="42" spans="1:3">
      <c r="A42" s="30" t="s">
        <v>2335</v>
      </c>
      <c r="B42" s="26">
        <v>212250</v>
      </c>
      <c r="C42" s="26">
        <f t="shared" si="1"/>
        <v>87750</v>
      </c>
    </row>
    <row r="43" spans="1:3">
      <c r="A43" s="30" t="s">
        <v>1051</v>
      </c>
      <c r="B43" s="26">
        <v>529553.4615384615</v>
      </c>
      <c r="C43" s="26">
        <f t="shared" si="1"/>
        <v>229553.4615384615</v>
      </c>
    </row>
    <row r="44" spans="1:3">
      <c r="A44" s="30" t="s">
        <v>645</v>
      </c>
      <c r="B44" s="26">
        <v>525840</v>
      </c>
      <c r="C44" s="26">
        <f t="shared" si="1"/>
        <v>225840</v>
      </c>
    </row>
    <row r="45" spans="1:3">
      <c r="A45" s="30" t="s">
        <v>2171</v>
      </c>
      <c r="B45" s="26">
        <v>176685.71428571429</v>
      </c>
      <c r="C45" s="26">
        <f t="shared" si="1"/>
        <v>123314.28571428571</v>
      </c>
    </row>
    <row r="46" spans="1:3">
      <c r="A46" s="30" t="s">
        <v>2938</v>
      </c>
      <c r="B46" s="26">
        <v>400706.25</v>
      </c>
      <c r="C46" s="26">
        <f t="shared" si="1"/>
        <v>100706.25</v>
      </c>
    </row>
    <row r="47" spans="1:3">
      <c r="A47" s="30" t="s">
        <v>2273</v>
      </c>
      <c r="B47" s="26">
        <v>253100</v>
      </c>
      <c r="C47" s="26">
        <f t="shared" si="1"/>
        <v>46900</v>
      </c>
    </row>
    <row r="48" spans="1:3">
      <c r="A48" s="30" t="s">
        <v>1305</v>
      </c>
      <c r="B48" s="26">
        <v>465000</v>
      </c>
      <c r="C48" s="26">
        <f t="shared" si="1"/>
        <v>165000</v>
      </c>
    </row>
    <row r="49" spans="1:3">
      <c r="A49" s="30" t="s">
        <v>16</v>
      </c>
      <c r="B49" s="26">
        <v>741577.46938775515</v>
      </c>
      <c r="C49" s="26">
        <f t="shared" si="1"/>
        <v>441577.46938775515</v>
      </c>
    </row>
    <row r="50" spans="1:3">
      <c r="A50" s="30" t="s">
        <v>83</v>
      </c>
      <c r="B50" s="26">
        <v>207263.51470588235</v>
      </c>
      <c r="C50" s="26">
        <f t="shared" si="1"/>
        <v>92736.48529411765</v>
      </c>
    </row>
    <row r="51" spans="1:3">
      <c r="A51" s="30" t="s">
        <v>400</v>
      </c>
      <c r="B51" s="26">
        <v>720450.17647058819</v>
      </c>
      <c r="C51" s="26">
        <f t="shared" si="1"/>
        <v>420450.17647058819</v>
      </c>
    </row>
    <row r="52" spans="1:3">
      <c r="A52" s="30" t="s">
        <v>1802</v>
      </c>
      <c r="B52" s="26">
        <v>650750</v>
      </c>
      <c r="C52" s="26">
        <f t="shared" si="1"/>
        <v>350750</v>
      </c>
    </row>
    <row r="53" spans="1:3">
      <c r="A53" s="30" t="s">
        <v>77</v>
      </c>
      <c r="B53" s="26">
        <v>394735.55555555556</v>
      </c>
      <c r="C53" s="26">
        <f t="shared" si="1"/>
        <v>94735.555555555562</v>
      </c>
    </row>
    <row r="54" spans="1:3">
      <c r="A54" s="30" t="s">
        <v>1164</v>
      </c>
      <c r="B54" s="26">
        <v>368512.5</v>
      </c>
      <c r="C54" s="26">
        <f t="shared" si="1"/>
        <v>68512.5</v>
      </c>
    </row>
    <row r="55" spans="1:3">
      <c r="A55" s="30" t="s">
        <v>823</v>
      </c>
      <c r="B55" s="26">
        <v>509289.81578947371</v>
      </c>
      <c r="C55" s="26">
        <f t="shared" si="1"/>
        <v>209289.81578947371</v>
      </c>
    </row>
    <row r="56" spans="1:3">
      <c r="A56" s="30" t="s">
        <v>381</v>
      </c>
      <c r="B56" s="26">
        <v>329162.5</v>
      </c>
      <c r="C56" s="26">
        <f t="shared" si="1"/>
        <v>29162.5</v>
      </c>
    </row>
    <row r="57" spans="1:3">
      <c r="A57" s="30" t="s">
        <v>817</v>
      </c>
      <c r="B57" s="26">
        <v>659056.25</v>
      </c>
      <c r="C57" s="26">
        <f t="shared" si="1"/>
        <v>359056.25</v>
      </c>
    </row>
    <row r="58" spans="1:3">
      <c r="A58" s="30" t="s">
        <v>14</v>
      </c>
      <c r="B58" s="26">
        <v>138830.21495327103</v>
      </c>
      <c r="C58" s="26">
        <f t="shared" si="1"/>
        <v>161169.78504672897</v>
      </c>
    </row>
    <row r="59" spans="1:3">
      <c r="A59" s="30" t="s">
        <v>2578</v>
      </c>
      <c r="B59" s="26">
        <v>403360</v>
      </c>
      <c r="C59" s="26">
        <f t="shared" si="1"/>
        <v>103360</v>
      </c>
    </row>
    <row r="60" spans="1:3">
      <c r="A60" s="30" t="s">
        <v>2395</v>
      </c>
      <c r="B60" s="26">
        <v>314944.625</v>
      </c>
      <c r="C60" s="26">
        <f t="shared" si="1"/>
        <v>14944.625</v>
      </c>
    </row>
    <row r="61" spans="1:3">
      <c r="A61" s="30" t="s">
        <v>3037</v>
      </c>
      <c r="B61" s="26">
        <v>348333.33333333331</v>
      </c>
      <c r="C61" s="26">
        <f t="shared" si="1"/>
        <v>48333.333333333314</v>
      </c>
    </row>
    <row r="62" spans="1:3">
      <c r="A62" s="30" t="s">
        <v>888</v>
      </c>
      <c r="B62" s="26">
        <v>529107.69230769225</v>
      </c>
      <c r="C62" s="26">
        <f t="shared" si="1"/>
        <v>229107.69230769225</v>
      </c>
    </row>
    <row r="63" spans="1:3">
      <c r="A63" s="30" t="s">
        <v>18</v>
      </c>
      <c r="B63" s="26">
        <v>492385.85148514854</v>
      </c>
      <c r="C63" s="26">
        <f t="shared" si="1"/>
        <v>192385.85148514854</v>
      </c>
    </row>
    <row r="64" spans="1:3">
      <c r="A64" s="30" t="s">
        <v>2596</v>
      </c>
      <c r="B64" s="26">
        <v>297283.33333333331</v>
      </c>
      <c r="C64" s="26">
        <f t="shared" si="1"/>
        <v>2716.6666666666861</v>
      </c>
    </row>
    <row r="65" spans="1:3">
      <c r="A65" s="30" t="s">
        <v>878</v>
      </c>
      <c r="B65" s="26">
        <v>376785.35714285716</v>
      </c>
      <c r="C65" s="26">
        <f t="shared" si="1"/>
        <v>76785.357142857159</v>
      </c>
    </row>
    <row r="66" spans="1:3">
      <c r="A66" s="30" t="s">
        <v>2166</v>
      </c>
      <c r="B66" s="26">
        <v>168905.77777777778</v>
      </c>
      <c r="C66" s="26">
        <f t="shared" ref="C66:C86" si="2">ABS(B66-$E$2)</f>
        <v>131094.22222222222</v>
      </c>
    </row>
    <row r="67" spans="1:3">
      <c r="A67" s="30" t="s">
        <v>131</v>
      </c>
      <c r="B67" s="26">
        <v>426999.77987421385</v>
      </c>
      <c r="C67" s="26">
        <f t="shared" si="2"/>
        <v>126999.77987421385</v>
      </c>
    </row>
    <row r="68" spans="1:3">
      <c r="A68" s="30" t="s">
        <v>153</v>
      </c>
      <c r="B68" s="26">
        <v>170500</v>
      </c>
      <c r="C68" s="26">
        <f t="shared" si="2"/>
        <v>129500</v>
      </c>
    </row>
    <row r="69" spans="1:3">
      <c r="A69" s="30" t="s">
        <v>2316</v>
      </c>
      <c r="B69" s="26">
        <v>450963.08737864078</v>
      </c>
      <c r="C69" s="26">
        <f t="shared" si="2"/>
        <v>150963.08737864078</v>
      </c>
    </row>
    <row r="70" spans="1:3">
      <c r="A70" s="30" t="s">
        <v>93</v>
      </c>
      <c r="B70" s="26">
        <v>422890.90909090912</v>
      </c>
      <c r="C70" s="26">
        <f t="shared" si="2"/>
        <v>122890.90909090912</v>
      </c>
    </row>
    <row r="71" spans="1:3">
      <c r="A71" s="30" t="s">
        <v>73</v>
      </c>
      <c r="B71" s="26">
        <v>251438.44871794872</v>
      </c>
      <c r="C71" s="26">
        <f t="shared" si="2"/>
        <v>48561.551282051281</v>
      </c>
    </row>
    <row r="72" spans="1:3">
      <c r="A72" s="30" t="s">
        <v>318</v>
      </c>
      <c r="B72" s="26">
        <v>498547.8125</v>
      </c>
      <c r="C72" s="26">
        <f t="shared" si="2"/>
        <v>198547.8125</v>
      </c>
    </row>
    <row r="73" spans="1:3">
      <c r="A73" s="30" t="s">
        <v>2210</v>
      </c>
      <c r="B73" s="26">
        <v>225967.41666666666</v>
      </c>
      <c r="C73" s="26">
        <f t="shared" si="2"/>
        <v>74032.583333333343</v>
      </c>
    </row>
    <row r="74" spans="1:3">
      <c r="A74" s="30" t="s">
        <v>2193</v>
      </c>
      <c r="B74" s="26">
        <v>334680.31219512195</v>
      </c>
      <c r="C74" s="26">
        <f t="shared" si="2"/>
        <v>34680.312195121951</v>
      </c>
    </row>
    <row r="75" spans="1:3">
      <c r="A75" s="30" t="s">
        <v>398</v>
      </c>
      <c r="B75" s="26">
        <v>254323.8</v>
      </c>
      <c r="C75" s="26">
        <f t="shared" si="2"/>
        <v>45676.200000000012</v>
      </c>
    </row>
    <row r="76" spans="1:3">
      <c r="A76" s="30" t="s">
        <v>212</v>
      </c>
      <c r="B76" s="26">
        <v>494114.75238095236</v>
      </c>
      <c r="C76" s="26">
        <f t="shared" si="2"/>
        <v>194114.75238095236</v>
      </c>
    </row>
    <row r="77" spans="1:3">
      <c r="A77" s="30" t="s">
        <v>2542</v>
      </c>
      <c r="B77" s="26">
        <v>296233.33333333331</v>
      </c>
      <c r="C77" s="26">
        <f t="shared" si="2"/>
        <v>3766.6666666666861</v>
      </c>
    </row>
    <row r="78" spans="1:3">
      <c r="A78" s="30" t="s">
        <v>21</v>
      </c>
      <c r="B78" s="26">
        <v>452166.66666666669</v>
      </c>
      <c r="C78" s="26">
        <f t="shared" si="2"/>
        <v>152166.66666666669</v>
      </c>
    </row>
    <row r="79" spans="1:3">
      <c r="A79" s="30" t="s">
        <v>388</v>
      </c>
      <c r="B79" s="26">
        <v>280263.71428571426</v>
      </c>
      <c r="C79" s="26">
        <f t="shared" si="2"/>
        <v>19736.285714285739</v>
      </c>
    </row>
    <row r="80" spans="1:3">
      <c r="A80" s="30" t="s">
        <v>2168</v>
      </c>
      <c r="B80" s="26">
        <v>178560.99298245614</v>
      </c>
      <c r="C80" s="26">
        <f t="shared" si="2"/>
        <v>121439.00701754386</v>
      </c>
    </row>
    <row r="81" spans="1:3">
      <c r="A81" s="30" t="s">
        <v>2563</v>
      </c>
      <c r="B81" s="26">
        <v>612533.27586206899</v>
      </c>
      <c r="C81" s="26">
        <f t="shared" si="2"/>
        <v>312533.27586206899</v>
      </c>
    </row>
    <row r="82" spans="1:3">
      <c r="A82" s="30" t="s">
        <v>11</v>
      </c>
      <c r="B82" s="26">
        <v>280127.74509803922</v>
      </c>
      <c r="C82" s="26">
        <f t="shared" si="2"/>
        <v>19872.254901960783</v>
      </c>
    </row>
    <row r="83" spans="1:3">
      <c r="A83" s="30" t="s">
        <v>268</v>
      </c>
      <c r="B83" s="26">
        <v>587944.02409638558</v>
      </c>
      <c r="C83" s="26">
        <f t="shared" si="2"/>
        <v>287944.02409638558</v>
      </c>
    </row>
    <row r="84" spans="1:3">
      <c r="A84" s="30" t="s">
        <v>56</v>
      </c>
      <c r="B84" s="26">
        <v>394508.80769230769</v>
      </c>
      <c r="C84" s="26">
        <f t="shared" si="2"/>
        <v>94508.807692307688</v>
      </c>
    </row>
    <row r="85" spans="1:3">
      <c r="A85" s="30" t="s">
        <v>948</v>
      </c>
      <c r="B85" s="26">
        <v>485688.9</v>
      </c>
      <c r="C85" s="26">
        <f t="shared" si="2"/>
        <v>185688.90000000002</v>
      </c>
    </row>
    <row r="86" spans="1:3">
      <c r="A86" s="30" t="s">
        <v>384</v>
      </c>
      <c r="B86" s="26">
        <v>326880</v>
      </c>
      <c r="C86" s="26">
        <f t="shared" si="2"/>
        <v>26880</v>
      </c>
    </row>
  </sheetData>
  <mergeCells count="3">
    <mergeCell ref="Y4:Z5"/>
    <mergeCell ref="V9:AA14"/>
    <mergeCell ref="E4:F7"/>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goalSeek">
                <anchor moveWithCells="1">
                  <from>
                    <xdr:col>21</xdr:col>
                    <xdr:colOff>9525</xdr:colOff>
                    <xdr:row>7</xdr:row>
                    <xdr:rowOff>9525</xdr:rowOff>
                  </from>
                  <to>
                    <xdr:col>22</xdr:col>
                    <xdr:colOff>28575</xdr:colOff>
                    <xdr:row>8</xdr:row>
                    <xdr:rowOff>9525</xdr:rowOff>
                  </to>
                </anchor>
              </controlPr>
            </control>
          </mc:Choice>
        </mc:AlternateContent>
      </controls>
    </mc:Choice>
  </mc:AlternateContent>
  <tableParts count="1">
    <tablePart r:id="rId5"/>
  </tableParts>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067CE-6A75-4E2C-B772-817814D8B1E3}">
  <dimension ref="A2:W22"/>
  <sheetViews>
    <sheetView workbookViewId="0">
      <selection activeCell="Q27" sqref="Q27"/>
    </sheetView>
  </sheetViews>
  <sheetFormatPr defaultRowHeight="15.75"/>
  <cols>
    <col min="1" max="1" width="22.25" bestFit="1" customWidth="1"/>
    <col min="2" max="2" width="13.625" bestFit="1" customWidth="1"/>
    <col min="3" max="3" width="11.875" bestFit="1" customWidth="1"/>
    <col min="4" max="4" width="13.625" bestFit="1" customWidth="1"/>
    <col min="5" max="6" width="11.875" bestFit="1" customWidth="1"/>
    <col min="7" max="7" width="13.625" bestFit="1" customWidth="1"/>
    <col min="8" max="8" width="14.375" bestFit="1" customWidth="1"/>
    <col min="9" max="15" width="11.875" bestFit="1" customWidth="1"/>
    <col min="16" max="16" width="13.25" bestFit="1" customWidth="1"/>
    <col min="17" max="17" width="13.375" bestFit="1" customWidth="1"/>
    <col min="18" max="19" width="11.875" bestFit="1" customWidth="1"/>
    <col min="20" max="20" width="13.25" bestFit="1" customWidth="1"/>
    <col min="21" max="22" width="11.875" bestFit="1" customWidth="1"/>
    <col min="23" max="23" width="13.625" bestFit="1" customWidth="1"/>
    <col min="24" max="24" width="13.875" bestFit="1" customWidth="1"/>
    <col min="25" max="25" width="14.25" bestFit="1" customWidth="1"/>
    <col min="26" max="27" width="11.875" bestFit="1" customWidth="1"/>
    <col min="28" max="28" width="14.625" bestFit="1" customWidth="1"/>
    <col min="29" max="29" width="13.625" bestFit="1" customWidth="1"/>
  </cols>
  <sheetData>
    <row r="2" spans="1:23">
      <c r="F2" s="60" t="s">
        <v>3656</v>
      </c>
      <c r="G2" s="60"/>
      <c r="H2" s="60"/>
      <c r="W2" s="27"/>
    </row>
    <row r="3" spans="1:23">
      <c r="A3" s="1" t="s">
        <v>3657</v>
      </c>
      <c r="F3" t="s">
        <v>3630</v>
      </c>
      <c r="G3" t="s">
        <v>3631</v>
      </c>
      <c r="H3" t="s">
        <v>3632</v>
      </c>
    </row>
    <row r="4" spans="1:23">
      <c r="A4" t="s">
        <v>3658</v>
      </c>
      <c r="B4">
        <v>2097</v>
      </c>
      <c r="F4" s="26">
        <v>259000</v>
      </c>
      <c r="G4" s="26">
        <v>3250000</v>
      </c>
      <c r="H4" s="29">
        <v>1010921.5384615385</v>
      </c>
    </row>
    <row r="5" spans="1:23">
      <c r="A5" t="s">
        <v>3640</v>
      </c>
      <c r="B5">
        <v>262</v>
      </c>
    </row>
    <row r="6" spans="1:23">
      <c r="A6" t="s">
        <v>3659</v>
      </c>
      <c r="B6">
        <v>9800</v>
      </c>
    </row>
    <row r="7" spans="1:23">
      <c r="A7" t="s">
        <v>3639</v>
      </c>
      <c r="B7" s="25">
        <v>1911.4902241297091</v>
      </c>
    </row>
    <row r="8" spans="1:23">
      <c r="A8" t="s">
        <v>3660</v>
      </c>
      <c r="B8" s="26">
        <v>9.8684210526315788</v>
      </c>
    </row>
    <row r="9" spans="1:23">
      <c r="A9" t="s">
        <v>3661</v>
      </c>
      <c r="B9" s="26">
        <v>731.8840579710145</v>
      </c>
    </row>
    <row r="10" spans="1:23">
      <c r="A10" t="s">
        <v>3634</v>
      </c>
      <c r="B10" s="26">
        <v>219.39427885732331</v>
      </c>
    </row>
    <row r="11" spans="1:23">
      <c r="A11" t="s">
        <v>3630</v>
      </c>
      <c r="B11" s="26">
        <v>10000</v>
      </c>
    </row>
    <row r="12" spans="1:23">
      <c r="A12" t="s">
        <v>3631</v>
      </c>
      <c r="B12" s="26">
        <v>5000000</v>
      </c>
    </row>
    <row r="13" spans="1:23">
      <c r="A13" t="s">
        <v>3632</v>
      </c>
      <c r="B13" s="26">
        <v>433804.02241297089</v>
      </c>
    </row>
    <row r="14" spans="1:23">
      <c r="A14" t="s">
        <v>3662</v>
      </c>
      <c r="B14">
        <v>0</v>
      </c>
    </row>
    <row r="15" spans="1:23">
      <c r="A15" t="s">
        <v>3663</v>
      </c>
      <c r="B15">
        <v>9</v>
      </c>
    </row>
    <row r="16" spans="1:23">
      <c r="A16" t="s">
        <v>3664</v>
      </c>
      <c r="B16" s="25">
        <v>3.3547925608011444</v>
      </c>
    </row>
    <row r="17" spans="1:2">
      <c r="A17" t="s">
        <v>3665</v>
      </c>
      <c r="B17">
        <v>0</v>
      </c>
    </row>
    <row r="18" spans="1:2">
      <c r="A18" t="s">
        <v>3666</v>
      </c>
      <c r="B18">
        <v>11.3</v>
      </c>
    </row>
    <row r="19" spans="1:2">
      <c r="A19" t="s">
        <v>3667</v>
      </c>
      <c r="B19" s="25">
        <v>1.999856938483507</v>
      </c>
    </row>
    <row r="20" spans="1:2">
      <c r="A20" t="s">
        <v>3668</v>
      </c>
      <c r="B20">
        <v>0</v>
      </c>
    </row>
    <row r="21" spans="1:2">
      <c r="A21" t="s">
        <v>3642</v>
      </c>
      <c r="B21">
        <v>595</v>
      </c>
    </row>
    <row r="22" spans="1:2">
      <c r="A22" t="s">
        <v>3643</v>
      </c>
      <c r="B22" s="28">
        <v>41.763948497854081</v>
      </c>
    </row>
  </sheetData>
  <mergeCells count="1">
    <mergeCell ref="F2:H2"/>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0E697-488B-4DA1-9B1A-14C1612B0C9C}">
  <dimension ref="A1:D9"/>
  <sheetViews>
    <sheetView workbookViewId="0">
      <selection activeCell="D9" sqref="D9"/>
    </sheetView>
  </sheetViews>
  <sheetFormatPr defaultRowHeight="15.75"/>
  <cols>
    <col min="1" max="1" width="26.875" bestFit="1" customWidth="1"/>
    <col min="2" max="2" width="152" bestFit="1" customWidth="1"/>
    <col min="3" max="3" width="69.375" customWidth="1"/>
    <col min="4" max="4" width="19.875" bestFit="1" customWidth="1"/>
  </cols>
  <sheetData>
    <row r="1" spans="1:4">
      <c r="A1" s="39" t="s">
        <v>3669</v>
      </c>
      <c r="B1" s="39" t="s">
        <v>3670</v>
      </c>
      <c r="C1" s="39" t="s">
        <v>3671</v>
      </c>
      <c r="D1" s="39" t="s">
        <v>3672</v>
      </c>
    </row>
    <row r="2" spans="1:4" ht="47.25">
      <c r="A2" s="49" t="s">
        <v>3673</v>
      </c>
      <c r="B2" t="s">
        <v>3674</v>
      </c>
      <c r="C2" t="s">
        <v>3675</v>
      </c>
      <c r="D2" s="52" t="s">
        <v>3676</v>
      </c>
    </row>
    <row r="3" spans="1:4">
      <c r="A3" s="49" t="s">
        <v>3677</v>
      </c>
      <c r="B3" t="s">
        <v>3678</v>
      </c>
      <c r="C3" t="s">
        <v>3675</v>
      </c>
    </row>
    <row r="4" spans="1:4">
      <c r="A4" s="49" t="s">
        <v>3679</v>
      </c>
      <c r="B4" t="s">
        <v>3680</v>
      </c>
      <c r="C4" t="s">
        <v>3681</v>
      </c>
      <c r="D4" s="53" t="s">
        <v>3682</v>
      </c>
    </row>
    <row r="5" spans="1:4">
      <c r="A5" s="49" t="s">
        <v>3683</v>
      </c>
      <c r="B5" t="s">
        <v>3684</v>
      </c>
      <c r="C5" t="s">
        <v>3685</v>
      </c>
      <c r="D5" s="53" t="s">
        <v>3682</v>
      </c>
    </row>
    <row r="6" spans="1:4" ht="47.25">
      <c r="A6" s="49" t="s">
        <v>3644</v>
      </c>
      <c r="B6" t="s">
        <v>3686</v>
      </c>
      <c r="C6" s="51" t="s">
        <v>3687</v>
      </c>
      <c r="D6" s="52" t="s">
        <v>3688</v>
      </c>
    </row>
    <row r="7" spans="1:4" ht="108" customHeight="1">
      <c r="A7" s="50" t="s">
        <v>3689</v>
      </c>
      <c r="B7" s="48" t="s">
        <v>3690</v>
      </c>
      <c r="C7" s="51" t="s">
        <v>3691</v>
      </c>
      <c r="D7" s="52" t="s">
        <v>3692</v>
      </c>
    </row>
    <row r="8" spans="1:4" ht="156.75" customHeight="1">
      <c r="A8" s="49" t="s">
        <v>3693</v>
      </c>
      <c r="B8" s="48" t="s">
        <v>3694</v>
      </c>
      <c r="C8" s="51" t="s">
        <v>3695</v>
      </c>
      <c r="D8" s="52" t="s">
        <v>3696</v>
      </c>
    </row>
    <row r="9" spans="1:4" ht="76.5" customHeight="1">
      <c r="A9" s="49" t="s">
        <v>3697</v>
      </c>
      <c r="B9" s="48" t="s">
        <v>3698</v>
      </c>
      <c r="C9" s="51" t="s">
        <v>3699</v>
      </c>
      <c r="D9" s="52" t="s">
        <v>3700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D010C0976A75F49BDBBEB7F6D8769A3" ma:contentTypeVersion="4" ma:contentTypeDescription="Create a new document." ma:contentTypeScope="" ma:versionID="1497aae6f9997dc91e4ff37ed993b8a2">
  <xsd:schema xmlns:xsd="http://www.w3.org/2001/XMLSchema" xmlns:xs="http://www.w3.org/2001/XMLSchema" xmlns:p="http://schemas.microsoft.com/office/2006/metadata/properties" xmlns:ns2="35c9c570-32ef-4e2e-afc6-a8081ee2343d" targetNamespace="http://schemas.microsoft.com/office/2006/metadata/properties" ma:root="true" ma:fieldsID="d24b627a55e5f3c1583d6ac8d40ea190" ns2:_="">
    <xsd:import namespace="35c9c570-32ef-4e2e-afc6-a8081ee2343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c9c570-32ef-4e2e-afc6-a8081ee2343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7B048CB-0AEA-4CCD-9761-32217BE942F4}"/>
</file>

<file path=customXml/itemProps2.xml><?xml version="1.0" encoding="utf-8"?>
<ds:datastoreItem xmlns:ds="http://schemas.openxmlformats.org/officeDocument/2006/customXml" ds:itemID="{C3D1D988-4DA9-4697-B20D-992745B80AD7}"/>
</file>

<file path=customXml/itemProps3.xml><?xml version="1.0" encoding="utf-8"?>
<ds:datastoreItem xmlns:ds="http://schemas.openxmlformats.org/officeDocument/2006/customXml" ds:itemID="{D4E4611E-5042-4166-BFC7-3529EE2AF07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Cottec, Michael;Randy Huyck;Mohd Maher;Tyler Zytkowski</dc:creator>
  <cp:keywords/>
  <dc:description/>
  <cp:lastModifiedBy/>
  <cp:revision/>
  <dcterms:created xsi:type="dcterms:W3CDTF">2024-03-26T23:25:07Z</dcterms:created>
  <dcterms:modified xsi:type="dcterms:W3CDTF">2024-07-20T19:31:01Z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0x010100FD010C0976A75F49BDBBEB7F6D8769A3</vt:lpwstr>
  </property>
</Properties>
</file>